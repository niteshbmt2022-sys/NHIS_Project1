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6.xml" ContentType="application/vnd.openxmlformats-officedocument.spreadsheetml.pivotTable+xml"/>
  <Override PartName="/xl/drawings/drawing4.xml" ContentType="application/vnd.openxmlformats-officedocument.drawing+xml"/>
  <Override PartName="/xl/pivotTables/pivotTable7.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9.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0.xml" ContentType="application/vnd.openxmlformats-officedocument.spreadsheetml.pivotTable+xml"/>
  <Override PartName="/xl/drawings/drawing8.xml" ContentType="application/vnd.openxmlformats-officedocument.drawing+xml"/>
  <Override PartName="/xl/slicers/slicer2.xml" ContentType="application/vnd.ms-excel.slicer+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1.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nites\OneDrive\Desktop\Final Proje\"/>
    </mc:Choice>
  </mc:AlternateContent>
  <xr:revisionPtr revIDLastSave="17" documentId="8_{DC8E2202-0375-4063-81D1-667DE5234A00}" xr6:coauthVersionLast="36" xr6:coauthVersionMax="47" xr10:uidLastSave="{F83C15AC-4B73-490A-9B12-7D1F80A16EB3}"/>
  <bookViews>
    <workbookView xWindow="-108" yWindow="-108" windowWidth="23256" windowHeight="12456" xr2:uid="{541E78B4-907D-4253-9935-59404E66F59D}"/>
  </bookViews>
  <sheets>
    <sheet name="Dashboard" sheetId="7" r:id="rId1"/>
    <sheet name="Registered &amp; Casual by Date" sheetId="6" r:id="rId2"/>
    <sheet name="Humidity Impact" sheetId="9" r:id="rId3"/>
    <sheet name="Peak Hour Kpi " sheetId="10" r:id="rId4"/>
    <sheet name="KPI" sheetId="12" r:id="rId5"/>
    <sheet name="Total Ride by Hour" sheetId="13" r:id="rId6"/>
    <sheet name="Total Ride by Date" sheetId="14" r:id="rId7"/>
    <sheet name="Heatmap by Day Name" sheetId="15" r:id="rId8"/>
    <sheet name="Casual &amp; Registered by Hum" sheetId="18" r:id="rId9"/>
    <sheet name="Casual &amp; Registered by Day Type" sheetId="19" r:id="rId10"/>
    <sheet name="Total Ride by Day Name" sheetId="20" r:id="rId11"/>
    <sheet name="User Id by Category of Day" sheetId="23" r:id="rId12"/>
    <sheet name="Max Temp by Category of Day" sheetId="24" r:id="rId13"/>
    <sheet name="Finaldataset" sheetId="4" r:id="rId14"/>
    <sheet name="dataset_3" sheetId="3" r:id="rId15"/>
    <sheet name="Dataset A" sheetId="2" r:id="rId16"/>
  </sheets>
  <functionGroups builtInGroupCount="19"/>
  <externalReferences>
    <externalReference r:id="rId17"/>
  </externalReferences>
  <definedNames>
    <definedName name="ExternalData_1" localSheetId="15" hidden="1">'Dataset A'!$A$1:$N$611</definedName>
    <definedName name="ExternalData_2" localSheetId="14" hidden="1">dataset_3!$A$1:$N$391</definedName>
    <definedName name="ExternalData_3" localSheetId="13" hidden="1">Finaldataset!$A$1:$O$1001</definedName>
    <definedName name="Slicer_Category_of_Day">#N/A</definedName>
    <definedName name="Slicer_Date">#N/A</definedName>
    <definedName name="Slicer_Day_Name">#N/A</definedName>
    <definedName name="Slicer_Day_Type">#N/A</definedName>
    <definedName name="Slicer_Temp_Category">#N/A</definedName>
    <definedName name="Slicer_Weathercondition">#N/A</definedName>
  </definedNames>
  <calcPr calcId="191029"/>
  <pivotCaches>
    <pivotCache cacheId="0"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G19" i="6" l="1"/>
  <c r="G12" i="6"/>
  <c r="G5" i="6"/>
  <c r="E6" i="10"/>
  <c r="E7" i="10"/>
  <c r="F7" i="10" l="1"/>
  <c r="F6" i="10"/>
  <c r="C6" i="12"/>
  <c r="B6" i="12"/>
  <c r="D6" i="12"/>
  <c r="A6" i="12"/>
  <c r="D5" i="9" l="1"/>
  <c r="C5" i="9"/>
  <c r="B5" i="9"/>
  <c r="A5" i="9"/>
  <c r="A7" i="9" s="1"/>
  <c r="G4" i="6" l="1"/>
  <c r="G18" i="6"/>
  <c r="G11" i="6"/>
  <c r="I20" i="6"/>
  <c r="G21" i="6"/>
  <c r="I13" i="6"/>
  <c r="G7" i="6"/>
  <c r="I6" i="6"/>
  <c r="G14" i="6"/>
  <c r="G6" i="6"/>
  <c r="G20" i="6"/>
  <c r="G13" i="6"/>
  <c r="I7" i="6" l="1"/>
  <c r="I4" i="6"/>
  <c r="I5" i="6" s="1"/>
  <c r="R8" i="7" s="1"/>
  <c r="I14" i="6"/>
  <c r="I21" i="6"/>
  <c r="I18" i="6"/>
  <c r="I19" i="6" s="1"/>
  <c r="L8" i="7" s="1"/>
  <c r="I11" i="6"/>
  <c r="I12" i="6" s="1"/>
  <c r="O8"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336AD2F-72D7-4780-8690-B73C8F000B4F}" keepAlive="1" name="Query - Dataset A" description="Connection to the 'Dataset A' query in the workbook." type="5" refreshedVersion="6" background="1" saveData="1">
    <dbPr connection="Provider=Microsoft.Mashup.OleDb.1;Data Source=$Workbook$;Location=Dataset A;Extended Properties=&quot;&quot;" command="SELECT * FROM [Dataset A]"/>
  </connection>
  <connection id="2" xr16:uid="{8AE22806-7C9F-4D81-A299-92F1387A4389}" keepAlive="1" name="Query - dataset_3" description="Connection to the 'dataset_3' query in the workbook." type="5" refreshedVersion="6" background="1" saveData="1">
    <dbPr connection="Provider=Microsoft.Mashup.OleDb.1;Data Source=$Workbook$;Location=dataset_3;Extended Properties=&quot;&quot;" command="SELECT * FROM [dataset_3]"/>
  </connection>
  <connection id="3" xr16:uid="{81A46A8B-50E5-4BBE-87E0-61F91DE8C165}" keepAlive="1" name="Query - Finaldataset" description="Connection to the 'Finaldataset' query in the workbook." type="5" refreshedVersion="6" background="1" saveData="1">
    <dbPr connection="Provider=Microsoft.Mashup.OleDb.1;Data Source=$Workbook$;Location=Finaldataset;Extended Properties=&quot;&quot;" command="SELECT * FROM [Finaldataset]"/>
  </connection>
</connections>
</file>

<file path=xl/sharedStrings.xml><?xml version="1.0" encoding="utf-8"?>
<sst xmlns="http://schemas.openxmlformats.org/spreadsheetml/2006/main" count="5147" uniqueCount="91">
  <si>
    <t>instant</t>
  </si>
  <si>
    <t>dteday</t>
  </si>
  <si>
    <t>mnth</t>
  </si>
  <si>
    <t>hr</t>
  </si>
  <si>
    <t>holiday</t>
  </si>
  <si>
    <t>weekday</t>
  </si>
  <si>
    <t>weathersit</t>
  </si>
  <si>
    <t>temp</t>
  </si>
  <si>
    <t>atemp</t>
  </si>
  <si>
    <t>hum</t>
  </si>
  <si>
    <t>windspeed</t>
  </si>
  <si>
    <t>casual</t>
  </si>
  <si>
    <t>registered</t>
  </si>
  <si>
    <t>cnt</t>
  </si>
  <si>
    <t>Date</t>
  </si>
  <si>
    <t>Hour</t>
  </si>
  <si>
    <t>Day Type</t>
  </si>
  <si>
    <t>Day Name</t>
  </si>
  <si>
    <t>Weathercondition</t>
  </si>
  <si>
    <t>Temp</t>
  </si>
  <si>
    <t>Assume Temp</t>
  </si>
  <si>
    <t>Humidity</t>
  </si>
  <si>
    <t>Windspeed</t>
  </si>
  <si>
    <t>Casual</t>
  </si>
  <si>
    <t>Registered</t>
  </si>
  <si>
    <t>Total Ride</t>
  </si>
  <si>
    <t>Working Day</t>
  </si>
  <si>
    <t>Saturday</t>
  </si>
  <si>
    <t>Mist/Cloudy</t>
  </si>
  <si>
    <t>Light Snow/Rain</t>
  </si>
  <si>
    <t>Heavy Snow/Rain</t>
  </si>
  <si>
    <t>Sunday</t>
  </si>
  <si>
    <t>Monday</t>
  </si>
  <si>
    <t>Tuesday</t>
  </si>
  <si>
    <t>Wednesday</t>
  </si>
  <si>
    <t>Thursday</t>
  </si>
  <si>
    <t>Friday</t>
  </si>
  <si>
    <t>Extreme Snow/Rain</t>
  </si>
  <si>
    <t>User Id</t>
  </si>
  <si>
    <t>Category of Day</t>
  </si>
  <si>
    <t>Temp Category</t>
  </si>
  <si>
    <t>Night</t>
  </si>
  <si>
    <t>Normal</t>
  </si>
  <si>
    <t>Morning</t>
  </si>
  <si>
    <t>Cold</t>
  </si>
  <si>
    <t>Afternoon</t>
  </si>
  <si>
    <t>Hot</t>
  </si>
  <si>
    <t>Evening</t>
  </si>
  <si>
    <t>Grand Total</t>
  </si>
  <si>
    <t>Total Casual</t>
  </si>
  <si>
    <t>Total Registered</t>
  </si>
  <si>
    <t>current date</t>
  </si>
  <si>
    <t>Percent</t>
  </si>
  <si>
    <t>Previous Date</t>
  </si>
  <si>
    <t>Percent with symbol</t>
  </si>
  <si>
    <t>Registered current rides</t>
  </si>
  <si>
    <t>Registered Previous rides</t>
  </si>
  <si>
    <t>Casual current rides</t>
  </si>
  <si>
    <t>Casual Previous rides</t>
  </si>
  <si>
    <t>Current Date</t>
  </si>
  <si>
    <t>Previous date</t>
  </si>
  <si>
    <t>Current Rides</t>
  </si>
  <si>
    <t>Total rides in k</t>
  </si>
  <si>
    <t>Prevous Rides</t>
  </si>
  <si>
    <t>Current rides in k</t>
  </si>
  <si>
    <t>Helper</t>
  </si>
  <si>
    <t>Total Registered Rides in k</t>
  </si>
  <si>
    <t>Total Casual Rides in k</t>
  </si>
  <si>
    <t>Total Rides</t>
  </si>
  <si>
    <t>Humidity Impact</t>
  </si>
  <si>
    <t>Windspeed Impact</t>
  </si>
  <si>
    <t>Assume Temp Impact</t>
  </si>
  <si>
    <t>Low positive Impact</t>
  </si>
  <si>
    <t>Low Positive Impact</t>
  </si>
  <si>
    <t>Temp Impact</t>
  </si>
  <si>
    <t>Higher humidity slightly reduces ride demand, but the overall impact is limited.</t>
  </si>
  <si>
    <t>Low Negative Impact</t>
  </si>
  <si>
    <t>Sum of Total Ride</t>
  </si>
  <si>
    <t>Row Labels</t>
  </si>
  <si>
    <t xml:space="preserve"> Total Rides</t>
  </si>
  <si>
    <t>Max Temp</t>
  </si>
  <si>
    <t>Max of Assume Temp</t>
  </si>
  <si>
    <t>Average Humidity</t>
  </si>
  <si>
    <t>Average of Windspeed</t>
  </si>
  <si>
    <t>Column Labels</t>
  </si>
  <si>
    <t>Total  Registered</t>
  </si>
  <si>
    <t>Holiday</t>
  </si>
  <si>
    <t>Weather Condition</t>
  </si>
  <si>
    <t>Count User Id</t>
  </si>
  <si>
    <t>Morning Peak Hour</t>
  </si>
  <si>
    <t>Evening Peak Hour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</si>
</sst>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 x14ac:knownFonts="1">
    <font>
      <sz val="11"/>
      <color theme="1"/>
      <name val="Calibri"/>
      <family val="2"/>
      <scheme val="minor"/>
    </font>
    <font>
      <sz val="8"/>
      <name val="Calibri"/>
      <family val="2"/>
      <scheme val="minor"/>
    </font>
    <font>
      <b/>
      <sz val="18"/>
      <color theme="1"/>
      <name val="Calibri"/>
      <family val="2"/>
      <scheme val="minor"/>
    </font>
    <font>
      <sz val="22"/>
      <color theme="1"/>
      <name val="Calibri"/>
      <family val="2"/>
      <scheme val="minor"/>
    </font>
    <font>
      <sz val="22"/>
      <color theme="1"/>
      <name val="Segoe UI Emoji"/>
      <family val="2"/>
    </font>
    <font>
      <b/>
      <sz val="11"/>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27">
    <xf numFmtId="0" fontId="0" fillId="0" borderId="0" xfId="0"/>
    <xf numFmtId="14" fontId="0" fillId="0" borderId="0" xfId="0" applyNumberFormat="1"/>
    <xf numFmtId="0" fontId="0" fillId="0" borderId="0" xfId="0" applyNumberFormat="1"/>
    <xf numFmtId="164" fontId="0" fillId="0" borderId="0" xfId="0" applyNumberFormat="1"/>
    <xf numFmtId="0" fontId="0" fillId="0" borderId="0" xfId="0" pivotButton="1"/>
    <xf numFmtId="0" fontId="0" fillId="0" borderId="1" xfId="0" applyBorder="1"/>
    <xf numFmtId="14" fontId="0" fillId="0" borderId="1" xfId="0" applyNumberFormat="1" applyBorder="1"/>
    <xf numFmtId="0" fontId="0" fillId="2" borderId="1" xfId="0" applyFill="1" applyBorder="1"/>
    <xf numFmtId="0" fontId="0" fillId="3" borderId="0" xfId="0" applyFill="1" applyAlignment="1">
      <alignment horizontal="center"/>
    </xf>
    <xf numFmtId="0" fontId="0" fillId="4" borderId="2" xfId="0" applyFill="1" applyBorder="1"/>
    <xf numFmtId="0" fontId="0" fillId="4" borderId="3" xfId="0" applyFill="1" applyBorder="1"/>
    <xf numFmtId="0" fontId="0" fillId="4" borderId="4" xfId="0" applyFill="1" applyBorder="1"/>
    <xf numFmtId="0" fontId="0" fillId="4" borderId="5" xfId="0" applyFill="1" applyBorder="1"/>
    <xf numFmtId="0" fontId="0" fillId="4" borderId="0"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0" fontId="0" fillId="3" borderId="1" xfId="0" applyFill="1" applyBorder="1"/>
    <xf numFmtId="0" fontId="0" fillId="0" borderId="0" xfId="0" applyAlignment="1">
      <alignment horizontal="left"/>
    </xf>
    <xf numFmtId="2" fontId="0" fillId="0" borderId="0" xfId="0" applyNumberFormat="1"/>
    <xf numFmtId="0" fontId="5" fillId="4" borderId="0" xfId="0" applyFont="1" applyFill="1"/>
    <xf numFmtId="14" fontId="0" fillId="0" borderId="0" xfId="0" applyNumberFormat="1" applyAlignment="1">
      <alignment horizontal="left"/>
    </xf>
    <xf numFmtId="15" fontId="0" fillId="0" borderId="0" xfId="0" applyNumberFormat="1" applyAlignment="1">
      <alignment horizontal="left"/>
    </xf>
    <xf numFmtId="0" fontId="4" fillId="0" borderId="1" xfId="0" applyFont="1" applyFill="1" applyBorder="1"/>
    <xf numFmtId="0" fontId="3" fillId="0" borderId="1" xfId="0" applyFont="1" applyBorder="1"/>
    <xf numFmtId="0" fontId="2" fillId="4" borderId="0" xfId="0" applyFont="1" applyFill="1" applyBorder="1" applyAlignment="1">
      <alignment horizontal="center" vertical="top"/>
    </xf>
  </cellXfs>
  <cellStyles count="1">
    <cellStyle name="Normal" xfId="0" builtinId="0"/>
  </cellStyles>
  <dxfs count="25">
    <dxf>
      <font>
        <b/>
        <i val="0"/>
        <color theme="9" tint="-0.24994659260841701"/>
      </font>
      <fill>
        <patternFill>
          <bgColor theme="0" tint="-4.9989318521683403E-2"/>
        </patternFill>
      </fill>
    </dxf>
    <dxf>
      <font>
        <b/>
        <i val="0"/>
        <color rgb="FFFF0000"/>
      </font>
      <fill>
        <patternFill>
          <bgColor theme="0" tint="-4.9989318521683403E-2"/>
        </patternFill>
      </fill>
    </dxf>
    <dxf>
      <font>
        <b/>
        <i val="0"/>
        <color theme="7" tint="-0.24994659260841701"/>
      </font>
      <fill>
        <patternFill>
          <bgColor theme="0" tint="-4.9989318521683403E-2"/>
        </patternFill>
      </fill>
    </dxf>
    <dxf>
      <font>
        <b/>
        <i val="0"/>
        <color theme="9" tint="-0.24994659260841701"/>
      </font>
      <fill>
        <patternFill>
          <bgColor theme="0" tint="-4.9989318521683403E-2"/>
        </patternFill>
      </fill>
    </dxf>
    <dxf>
      <font>
        <b/>
        <i val="0"/>
        <color rgb="FFFF0000"/>
      </font>
      <fill>
        <patternFill>
          <bgColor theme="0" tint="-4.9989318521683403E-2"/>
        </patternFill>
      </fill>
    </dxf>
    <dxf>
      <font>
        <b/>
        <i val="0"/>
        <color theme="7" tint="-0.24994659260841701"/>
      </font>
      <fill>
        <patternFill>
          <bgColor theme="0" tint="-4.9989318521683403E-2"/>
        </patternFill>
      </fill>
    </dxf>
    <dxf>
      <font>
        <b/>
        <i val="0"/>
        <color theme="9" tint="-0.24994659260841701"/>
      </font>
      <fill>
        <patternFill>
          <bgColor theme="0" tint="-4.9989318521683403E-2"/>
        </patternFill>
      </fill>
    </dxf>
    <dxf>
      <font>
        <b/>
        <i val="0"/>
        <color rgb="FFFF0000"/>
      </font>
      <fill>
        <patternFill>
          <bgColor theme="0" tint="-4.9989318521683403E-2"/>
        </patternFill>
      </fill>
    </dxf>
    <dxf>
      <font>
        <b/>
        <i val="0"/>
        <color theme="7" tint="-0.24994659260841701"/>
      </font>
      <fill>
        <patternFill>
          <bgColor theme="0" tint="-4.9989318521683403E-2"/>
        </patternFill>
      </fill>
    </dxf>
    <dxf>
      <font>
        <b/>
        <i val="0"/>
        <color theme="9" tint="-0.24994659260841701"/>
      </font>
      <fill>
        <patternFill>
          <bgColor theme="0" tint="-4.9989318521683403E-2"/>
        </patternFill>
      </fill>
    </dxf>
    <dxf>
      <font>
        <b/>
        <i val="0"/>
        <color rgb="FFFF0000"/>
      </font>
      <fill>
        <patternFill>
          <bgColor theme="0" tint="-4.9989318521683403E-2"/>
        </patternFill>
      </fill>
    </dxf>
    <dxf>
      <font>
        <b/>
        <i val="0"/>
        <color theme="7" tint="-0.24994659260841701"/>
      </font>
      <fill>
        <patternFill>
          <bgColor theme="0" tint="-4.9989318521683403E-2"/>
        </patternFill>
      </fill>
    </dxf>
    <dxf>
      <numFmt numFmtId="19" formatCode="dd/mm/yyyy"/>
    </dxf>
    <dxf>
      <numFmt numFmtId="19" formatCode="dd/mm/yyyy"/>
    </dxf>
    <dxf>
      <numFmt numFmtId="164" formatCode="0.000"/>
    </dxf>
    <dxf>
      <numFmt numFmtId="164" formatCode="0.000"/>
    </dxf>
    <dxf>
      <numFmt numFmtId="164" formatCode="0.000"/>
    </dxf>
    <dxf>
      <numFmt numFmtId="0" formatCode="General"/>
    </dxf>
    <dxf>
      <numFmt numFmtId="164" formatCode="0.000"/>
    </dxf>
    <dxf>
      <numFmt numFmtId="0" formatCode="General"/>
    </dxf>
    <dxf>
      <numFmt numFmtId="0" formatCode="General"/>
    </dxf>
    <dxf>
      <numFmt numFmtId="19" formatCode="dd/mm/yyyy"/>
    </dxf>
    <dxf>
      <numFmt numFmtId="20" formatCode="dd/mmm/yy"/>
    </dxf>
    <dxf>
      <numFmt numFmtId="2" formatCode="0.00"/>
    </dxf>
    <dxf>
      <fill>
        <gradientFill type="path">
          <stop position="0">
            <color rgb="FF00B0F0"/>
          </stop>
          <stop position="1">
            <color rgb="FF75DBFF"/>
          </stop>
        </gradientFill>
      </fill>
    </dxf>
  </dxfs>
  <tableStyles count="1" defaultTableStyle="TableStyleMedium2" defaultPivotStyle="PivotStyleLight16">
    <tableStyle name="Slicer Style 1" pivot="0" table="0" count="1" xr9:uid="{ED997AE6-CB16-4148-A786-E56A631EDE55}">
      <tableStyleElement type="wholeTable" dxfId="24"/>
    </tableStyle>
  </tableStyles>
  <colors>
    <mruColors>
      <color rgb="FF53B5FF"/>
      <color rgb="FF75DBFF"/>
      <color rgb="FF000000"/>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connections" Target="connection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openxmlformats.org/officeDocument/2006/relationships/styles" Target="style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[FinalDataset.xlsm]Total Ride by Hour!Total Ride by Hour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Total Ride by</a:t>
            </a:r>
            <a:r>
              <a:rPr lang="en-US" b="1" baseline="0">
                <a:solidFill>
                  <a:schemeClr val="accent1">
                    <a:lumMod val="75000"/>
                  </a:schemeClr>
                </a:solidFill>
              </a:rPr>
              <a:t>  Hour</a:t>
            </a:r>
            <a:endParaRPr lang="en-US" b="1">
              <a:solidFill>
                <a:schemeClr val="accent1">
                  <a:lumMod val="75000"/>
                </a:schemeClr>
              </a:solidFill>
            </a:endParaRPr>
          </a:p>
        </c:rich>
      </c:tx>
      <c:layout>
        <c:manualLayout>
          <c:xMode val="edge"/>
          <c:yMode val="edge"/>
          <c:x val="0.37238192448166202"/>
          <c:y val="1.38312586445366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w="69850" cap="rnd">
            <a:solidFill>
              <a:srgbClr val="00B0F0"/>
            </a:solidFill>
            <a:round/>
          </a:ln>
          <a:effectLst>
            <a:outerShdw blurRad="101600" dist="101600" dir="2700000" algn="tl" rotWithShape="0">
              <a:srgbClr val="00B0F0">
                <a:alpha val="40000"/>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w="69850" cap="rnd">
            <a:solidFill>
              <a:srgbClr val="00B0F0"/>
            </a:solidFill>
            <a:round/>
          </a:ln>
          <a:effectLst>
            <a:outerShdw blurRad="101600" dist="101600" dir="2700000" algn="tl" rotWithShape="0">
              <a:srgbClr val="00B0F0">
                <a:alpha val="40000"/>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w="69850" cap="rnd">
            <a:solidFill>
              <a:srgbClr val="00B0F0"/>
            </a:solidFill>
            <a:round/>
          </a:ln>
          <a:effectLst>
            <a:outerShdw blurRad="101600" dist="101600" dir="2700000" algn="tl" rotWithShape="0">
              <a:srgbClr val="00B0F0">
                <a:alpha val="40000"/>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2154014550584292"/>
          <c:w val="0.99682865056377268"/>
          <c:h val="0.62416775442758976"/>
        </c:manualLayout>
      </c:layout>
      <c:barChart>
        <c:barDir val="col"/>
        <c:grouping val="clustered"/>
        <c:varyColors val="0"/>
        <c:ser>
          <c:idx val="0"/>
          <c:order val="0"/>
          <c:tx>
            <c:strRef>
              <c:f>'Total Ride by Hour'!$B$3</c:f>
              <c:strCache>
                <c:ptCount val="1"/>
                <c:pt idx="0">
                  <c:v>Total</c:v>
                </c:pt>
              </c:strCache>
            </c:strRef>
          </c:tx>
          <c:spPr>
            <a:solidFill>
              <a:srgbClr val="00B0F0"/>
            </a:solidFill>
            <a:ln w="69850" cap="rnd">
              <a:solidFill>
                <a:srgbClr val="00B0F0"/>
              </a:solidFill>
              <a:round/>
            </a:ln>
            <a:effectLst>
              <a:outerShdw blurRad="101600" dist="101600" dir="2700000" algn="tl" rotWithShape="0">
                <a:srgbClr val="00B0F0">
                  <a:alpha val="40000"/>
                </a:srgbClr>
              </a:outerShdw>
              <a:softEdge rad="0"/>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Ride by Hour'!$A$4:$A$28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'Total Ride by Hour'!$B$4:$B$28</c:f>
              <c:numCache>
                <c:formatCode>General</c:formatCode>
                <c:ptCount val="24"/>
                <c:pt idx="0">
                  <c:v>703</c:v>
                </c:pt>
                <c:pt idx="1">
                  <c:v>460</c:v>
                </c:pt>
                <c:pt idx="2">
                  <c:v>294</c:v>
                </c:pt>
                <c:pt idx="3">
                  <c:v>151</c:v>
                </c:pt>
                <c:pt idx="4">
                  <c:v>69</c:v>
                </c:pt>
                <c:pt idx="5">
                  <c:v>164</c:v>
                </c:pt>
                <c:pt idx="6">
                  <c:v>822</c:v>
                </c:pt>
                <c:pt idx="7">
                  <c:v>2339</c:v>
                </c:pt>
                <c:pt idx="8">
                  <c:v>5388</c:v>
                </c:pt>
                <c:pt idx="9">
                  <c:v>3672</c:v>
                </c:pt>
                <c:pt idx="10">
                  <c:v>2253</c:v>
                </c:pt>
                <c:pt idx="11">
                  <c:v>2494</c:v>
                </c:pt>
                <c:pt idx="12">
                  <c:v>3283</c:v>
                </c:pt>
                <c:pt idx="13">
                  <c:v>3376</c:v>
                </c:pt>
                <c:pt idx="14">
                  <c:v>3200</c:v>
                </c:pt>
                <c:pt idx="15">
                  <c:v>3352</c:v>
                </c:pt>
                <c:pt idx="16">
                  <c:v>3928</c:v>
                </c:pt>
                <c:pt idx="17">
                  <c:v>6169</c:v>
                </c:pt>
                <c:pt idx="18">
                  <c:v>5283</c:v>
                </c:pt>
                <c:pt idx="19">
                  <c:v>3661</c:v>
                </c:pt>
                <c:pt idx="20">
                  <c:v>2656</c:v>
                </c:pt>
                <c:pt idx="21">
                  <c:v>1996</c:v>
                </c:pt>
                <c:pt idx="22">
                  <c:v>1508</c:v>
                </c:pt>
                <c:pt idx="23">
                  <c:v>1083</c:v>
                </c:pt>
              </c:numCache>
            </c:numRef>
          </c:val>
          <c:extLst>
            <c:ext xmlns:c16="http://schemas.microsoft.com/office/drawing/2014/chart" uri="{C3380CC4-5D6E-409C-BE32-E72D297353CC}">
              <c16:uniqueId val="{00000000-515A-405E-86C2-E998DED5034B}"/>
            </c:ext>
          </c:extLst>
        </c:ser>
        <c:dLbls>
          <c:showLegendKey val="0"/>
          <c:showVal val="0"/>
          <c:showCatName val="0"/>
          <c:showSerName val="0"/>
          <c:showPercent val="0"/>
          <c:showBubbleSize val="0"/>
        </c:dLbls>
        <c:gapWidth val="150"/>
        <c:overlap val="-27"/>
        <c:axId val="229416832"/>
        <c:axId val="1519898560"/>
      </c:barChart>
      <c:catAx>
        <c:axId val="22941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19898560"/>
        <c:crosses val="autoZero"/>
        <c:auto val="1"/>
        <c:lblAlgn val="ctr"/>
        <c:lblOffset val="100"/>
        <c:noMultiLvlLbl val="0"/>
      </c:catAx>
      <c:valAx>
        <c:axId val="1519898560"/>
        <c:scaling>
          <c:orientation val="minMax"/>
        </c:scaling>
        <c:delete val="1"/>
        <c:axPos val="l"/>
        <c:numFmt formatCode="General" sourceLinked="1"/>
        <c:majorTickMark val="none"/>
        <c:minorTickMark val="none"/>
        <c:tickLblPos val="nextTo"/>
        <c:crossAx val="229416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[FinalDataset.xlsm]Total Ride by Date!Total Ride by Date</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Total Ride by Date</a:t>
            </a:r>
          </a:p>
        </c:rich>
      </c:tx>
      <c:layout>
        <c:manualLayout>
          <c:xMode val="edge"/>
          <c:yMode val="edge"/>
          <c:x val="0.36848361816988784"/>
          <c:y val="6.561679790026246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00B0F0"/>
            </a:solidFill>
            <a:round/>
          </a:ln>
          <a:effectLst/>
        </c:spPr>
        <c:marker>
          <c:symbol val="circle"/>
          <c:size val="5"/>
          <c:spPr>
            <a:solidFill>
              <a:schemeClr val="accent1">
                <a:lumMod val="75000"/>
              </a:schemeClr>
            </a:solidFill>
            <a:ln w="9525">
              <a:noFill/>
            </a:ln>
            <a:effectLst/>
          </c:spPr>
        </c:marker>
      </c:pivotFmt>
      <c:pivotFmt>
        <c:idx val="1"/>
        <c:spPr>
          <a:solidFill>
            <a:schemeClr val="accent1"/>
          </a:solidFill>
          <a:ln w="28575" cap="rnd">
            <a:solidFill>
              <a:srgbClr val="00B0F0"/>
            </a:solidFill>
            <a:round/>
          </a:ln>
          <a:effectLst/>
        </c:spPr>
        <c:marker>
          <c:symbol val="circle"/>
          <c:size val="5"/>
          <c:spPr>
            <a:solidFill>
              <a:schemeClr val="accent1">
                <a:lumMod val="75000"/>
              </a:schemeClr>
            </a:solidFill>
            <a:ln w="9525">
              <a:noFill/>
            </a:ln>
            <a:effectLst/>
          </c:spPr>
        </c:marker>
      </c:pivotFmt>
      <c:pivotFmt>
        <c:idx val="2"/>
        <c:spPr>
          <a:ln w="28575" cap="rnd">
            <a:solidFill>
              <a:srgbClr val="00B0F0"/>
            </a:solidFill>
            <a:round/>
          </a:ln>
          <a:effectLst>
            <a:outerShdw blurRad="50800" dist="38100" dir="2700000" algn="tl" rotWithShape="0">
              <a:srgbClr val="00B0F0">
                <a:alpha val="40000"/>
              </a:srgbClr>
            </a:outerShdw>
          </a:effectLst>
        </c:spPr>
        <c:marker>
          <c:symbol val="circle"/>
          <c:size val="5"/>
          <c:spPr>
            <a:solidFill>
              <a:schemeClr val="accent1">
                <a:lumMod val="75000"/>
              </a:schemeClr>
            </a:solidFill>
            <a:ln w="9525">
              <a:noFill/>
            </a:ln>
            <a:effectLst>
              <a:outerShdw blurRad="50800" dist="38100" dir="2700000" algn="tl" rotWithShape="0">
                <a:srgbClr val="00B0F0">
                  <a:alpha val="40000"/>
                </a:srgbClr>
              </a:outerShdw>
            </a:effectLst>
          </c:spPr>
        </c:marker>
      </c:pivotFmt>
    </c:pivotFmts>
    <c:plotArea>
      <c:layout>
        <c:manualLayout>
          <c:layoutTarget val="inner"/>
          <c:xMode val="edge"/>
          <c:yMode val="edge"/>
          <c:x val="8.5485825280362679E-2"/>
          <c:y val="0.13182414698162731"/>
          <c:w val="0.89571024016734746"/>
          <c:h val="0.48123656495058303"/>
        </c:manualLayout>
      </c:layout>
      <c:lineChart>
        <c:grouping val="stacked"/>
        <c:varyColors val="0"/>
        <c:ser>
          <c:idx val="0"/>
          <c:order val="0"/>
          <c:tx>
            <c:strRef>
              <c:f>'Total Ride by Date'!$B$3</c:f>
              <c:strCache>
                <c:ptCount val="1"/>
                <c:pt idx="0">
                  <c:v>Total</c:v>
                </c:pt>
              </c:strCache>
            </c:strRef>
          </c:tx>
          <c:spPr>
            <a:ln w="28575" cap="rnd">
              <a:solidFill>
                <a:srgbClr val="00B0F0"/>
              </a:solidFill>
              <a:round/>
            </a:ln>
            <a:effectLst>
              <a:outerShdw blurRad="50800" dist="38100" dir="2700000" algn="tl" rotWithShape="0">
                <a:srgbClr val="00B0F0">
                  <a:alpha val="40000"/>
                </a:srgbClr>
              </a:outerShdw>
            </a:effectLst>
          </c:spPr>
          <c:marker>
            <c:symbol val="circle"/>
            <c:size val="5"/>
            <c:spPr>
              <a:solidFill>
                <a:schemeClr val="accent1">
                  <a:lumMod val="75000"/>
                </a:schemeClr>
              </a:solidFill>
              <a:ln w="9525">
                <a:noFill/>
              </a:ln>
              <a:effectLst>
                <a:outerShdw blurRad="50800" dist="38100" dir="2700000" algn="tl" rotWithShape="0">
                  <a:srgbClr val="00B0F0">
                    <a:alpha val="40000"/>
                  </a:srgbClr>
                </a:outerShdw>
              </a:effectLst>
            </c:spPr>
          </c:marker>
          <c:cat>
            <c:strRef>
              <c:f>'Total Ride by Date'!$A$4:$A$49</c:f>
              <c:strCache>
                <c:ptCount val="45"/>
                <c:pt idx="0">
                  <c:v>01-01-2011</c:v>
                </c:pt>
                <c:pt idx="1">
                  <c:v>02-01-2011</c:v>
                </c:pt>
                <c:pt idx="2">
                  <c:v>03-01-2011</c:v>
                </c:pt>
                <c:pt idx="3">
                  <c:v>04-01-2011</c:v>
                </c:pt>
                <c:pt idx="4">
                  <c:v>05-01-2011</c:v>
                </c:pt>
                <c:pt idx="5">
                  <c:v>06-01-2011</c:v>
                </c:pt>
                <c:pt idx="6">
                  <c:v>07-01-2011</c:v>
                </c:pt>
                <c:pt idx="7">
                  <c:v>08-01-2011</c:v>
                </c:pt>
                <c:pt idx="8">
                  <c:v>09-01-2011</c:v>
                </c:pt>
                <c:pt idx="9">
                  <c:v>10-01-2011</c:v>
                </c:pt>
                <c:pt idx="10">
                  <c:v>11-01-2011</c:v>
                </c:pt>
                <c:pt idx="11">
                  <c:v>12-01-2011</c:v>
                </c:pt>
                <c:pt idx="12">
                  <c:v>13-01-2011</c:v>
                </c:pt>
                <c:pt idx="13">
                  <c:v>14-01-2011</c:v>
                </c:pt>
                <c:pt idx="14">
                  <c:v>15-01-2011</c:v>
                </c:pt>
                <c:pt idx="15">
                  <c:v>16-01-2011</c:v>
                </c:pt>
                <c:pt idx="16">
                  <c:v>17-01-2011</c:v>
                </c:pt>
                <c:pt idx="17">
                  <c:v>18-01-2011</c:v>
                </c:pt>
                <c:pt idx="18">
                  <c:v>19-01-2011</c:v>
                </c:pt>
                <c:pt idx="19">
                  <c:v>20-01-2011</c:v>
                </c:pt>
                <c:pt idx="20">
                  <c:v>21-01-2011</c:v>
                </c:pt>
                <c:pt idx="21">
                  <c:v>22-01-2011</c:v>
                </c:pt>
                <c:pt idx="22">
                  <c:v>23-01-2011</c:v>
                </c:pt>
                <c:pt idx="23">
                  <c:v>24-01-2011</c:v>
                </c:pt>
                <c:pt idx="24">
                  <c:v>25-01-2011</c:v>
                </c:pt>
                <c:pt idx="25">
                  <c:v>26-01-2011</c:v>
                </c:pt>
                <c:pt idx="26">
                  <c:v>27-01-2011</c:v>
                </c:pt>
                <c:pt idx="27">
                  <c:v>28-01-2011</c:v>
                </c:pt>
                <c:pt idx="28">
                  <c:v>29-01-2011</c:v>
                </c:pt>
                <c:pt idx="29">
                  <c:v>30-01-2011</c:v>
                </c:pt>
                <c:pt idx="30">
                  <c:v>31-01-2011</c:v>
                </c:pt>
                <c:pt idx="31">
                  <c:v>01-02-2011</c:v>
                </c:pt>
                <c:pt idx="32">
                  <c:v>02-02-2011</c:v>
                </c:pt>
                <c:pt idx="33">
                  <c:v>03-02-2011</c:v>
                </c:pt>
                <c:pt idx="34">
                  <c:v>04-02-2011</c:v>
                </c:pt>
                <c:pt idx="35">
                  <c:v>05-02-2011</c:v>
                </c:pt>
                <c:pt idx="36">
                  <c:v>06-02-2011</c:v>
                </c:pt>
                <c:pt idx="37">
                  <c:v>07-02-2011</c:v>
                </c:pt>
                <c:pt idx="38">
                  <c:v>08-02-2011</c:v>
                </c:pt>
                <c:pt idx="39">
                  <c:v>09-02-2011</c:v>
                </c:pt>
                <c:pt idx="40">
                  <c:v>10-02-2011</c:v>
                </c:pt>
                <c:pt idx="41">
                  <c:v>11-02-2011</c:v>
                </c:pt>
                <c:pt idx="42">
                  <c:v>12-02-2011</c:v>
                </c:pt>
                <c:pt idx="43">
                  <c:v>13-02-2011</c:v>
                </c:pt>
                <c:pt idx="44">
                  <c:v>14-02-2011</c:v>
                </c:pt>
              </c:strCache>
            </c:strRef>
          </c:cat>
          <c:val>
            <c:numRef>
              <c:f>'Total Ride by Date'!$B$4:$B$49</c:f>
              <c:numCache>
                <c:formatCode>General</c:formatCode>
                <c:ptCount val="45"/>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smooth val="1"/>
          <c:extLst>
            <c:ext xmlns:c16="http://schemas.microsoft.com/office/drawing/2014/chart" uri="{C3380CC4-5D6E-409C-BE32-E72D297353CC}">
              <c16:uniqueId val="{00000000-1BEF-4AEC-9C77-E0AD37FB9356}"/>
            </c:ext>
          </c:extLst>
        </c:ser>
        <c:dLbls>
          <c:showLegendKey val="0"/>
          <c:showVal val="0"/>
          <c:showCatName val="0"/>
          <c:showSerName val="0"/>
          <c:showPercent val="0"/>
          <c:showBubbleSize val="0"/>
        </c:dLbls>
        <c:marker val="1"/>
        <c:smooth val="0"/>
        <c:axId val="150670576"/>
        <c:axId val="1519891904"/>
      </c:lineChart>
      <c:catAx>
        <c:axId val="150670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19891904"/>
        <c:crosses val="autoZero"/>
        <c:auto val="1"/>
        <c:lblAlgn val="ctr"/>
        <c:lblOffset val="100"/>
        <c:noMultiLvlLbl val="0"/>
      </c:catAx>
      <c:valAx>
        <c:axId val="1519891904"/>
        <c:scaling>
          <c:orientation val="minMax"/>
        </c:scaling>
        <c:delete val="0"/>
        <c:axPos val="l"/>
        <c:majorGridlines>
          <c:spPr>
            <a:ln w="9525" cap="flat" cmpd="sng" algn="ctr">
              <a:solidFill>
                <a:schemeClr val="bg2">
                  <a:lumMod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067057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[FinalDataset.xlsm]Casual &amp; Registered by Hum!Casual &amp; Registered by Weather condition</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accent1">
                    <a:lumMod val="75000"/>
                  </a:schemeClr>
                </a:solidFill>
              </a:rPr>
              <a:t>Casual</a:t>
            </a:r>
            <a:r>
              <a:rPr lang="en-IN" b="1" baseline="0">
                <a:solidFill>
                  <a:schemeClr val="accent1">
                    <a:lumMod val="75000"/>
                  </a:schemeClr>
                </a:solidFill>
              </a:rPr>
              <a:t> &amp; Registered by Weather condition</a:t>
            </a:r>
            <a:endParaRPr lang="en-IN" b="1">
              <a:solidFill>
                <a:schemeClr val="accent1">
                  <a:lumMod val="75000"/>
                </a:schemeClr>
              </a:solidFill>
            </a:endParaRPr>
          </a:p>
        </c:rich>
      </c:tx>
      <c:layout>
        <c:manualLayout>
          <c:xMode val="edge"/>
          <c:yMode val="edge"/>
          <c:x val="0.15219445073386886"/>
          <c:y val="5.1030136560021675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alpha val="70000"/>
            </a:srgbClr>
          </a:solidFill>
          <a:ln w="63500" cap="rnd">
            <a:solidFill>
              <a:srgbClr val="00B0F0">
                <a:alpha val="70000"/>
              </a:srgb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w="63500" cap="rnd">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alpha val="70000"/>
            </a:srgbClr>
          </a:solidFill>
          <a:ln w="63500" cap="rnd">
            <a:solidFill>
              <a:srgbClr val="00B0F0">
                <a:alpha val="70000"/>
              </a:srgb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w="63500" cap="rnd">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F0">
              <a:alpha val="70000"/>
            </a:srgbClr>
          </a:solidFill>
          <a:ln w="63500" cap="rnd">
            <a:solidFill>
              <a:srgbClr val="00B0F0">
                <a:alpha val="70000"/>
              </a:srgbClr>
            </a:solidFill>
          </a:ln>
          <a:effectLst>
            <a:outerShdw blurRad="50800" dist="38100" dir="2700000" algn="tl" rotWithShape="0">
              <a:srgbClr val="00B0F0">
                <a:alpha val="4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w="63500" cap="rnd">
            <a:solidFill>
              <a:srgbClr val="00B0F0"/>
            </a:solidFill>
          </a:ln>
          <a:effectLst>
            <a:outerShdw blurRad="50800" dist="38100" dir="2700000" algn="tl" rotWithShape="0">
              <a:srgbClr val="00B0F0">
                <a:alpha val="4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F0">
              <a:alpha val="70000"/>
            </a:srgbClr>
          </a:solidFill>
          <a:ln w="63500" cap="rnd">
            <a:solidFill>
              <a:srgbClr val="00B0F0">
                <a:alpha val="70000"/>
              </a:srgbClr>
            </a:solidFill>
          </a:ln>
          <a:effectLst>
            <a:outerShdw blurRad="50800" dist="38100" dir="2700000" algn="tl" rotWithShape="0">
              <a:srgbClr val="00B0F0">
                <a:alpha val="4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0F0"/>
          </a:solidFill>
          <a:ln w="63500" cap="rnd">
            <a:solidFill>
              <a:srgbClr val="00B0F0"/>
            </a:solidFill>
          </a:ln>
          <a:effectLst>
            <a:outerShdw blurRad="50800" dist="38100" dir="2700000" algn="tl" rotWithShape="0">
              <a:srgbClr val="00B0F0">
                <a:alpha val="4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B0F0">
              <a:alpha val="70000"/>
            </a:srgbClr>
          </a:solidFill>
          <a:ln w="63500" cap="rnd">
            <a:solidFill>
              <a:srgbClr val="00B0F0">
                <a:alpha val="70000"/>
              </a:srgbClr>
            </a:solidFill>
          </a:ln>
          <a:effectLst>
            <a:outerShdw blurRad="50800" dist="38100" dir="2700000" algn="tl" rotWithShape="0">
              <a:srgbClr val="00B0F0">
                <a:alpha val="4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B0F0"/>
          </a:solidFill>
          <a:ln w="63500" cap="rnd">
            <a:solidFill>
              <a:srgbClr val="00B0F0"/>
            </a:solidFill>
          </a:ln>
          <a:effectLst>
            <a:outerShdw blurRad="50800" dist="38100" dir="2700000" algn="tl" rotWithShape="0">
              <a:srgbClr val="00B0F0">
                <a:alpha val="4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776647350471091E-3"/>
          <c:y val="0.2816918452967207"/>
          <c:w val="0.99722222222222223"/>
          <c:h val="0.5989507195117052"/>
        </c:manualLayout>
      </c:layout>
      <c:barChart>
        <c:barDir val="col"/>
        <c:grouping val="clustered"/>
        <c:varyColors val="0"/>
        <c:ser>
          <c:idx val="0"/>
          <c:order val="0"/>
          <c:tx>
            <c:strRef>
              <c:f>'Casual &amp; Registered by Hum'!$B$3</c:f>
              <c:strCache>
                <c:ptCount val="1"/>
                <c:pt idx="0">
                  <c:v>Total Casual</c:v>
                </c:pt>
              </c:strCache>
            </c:strRef>
          </c:tx>
          <c:spPr>
            <a:solidFill>
              <a:srgbClr val="00B0F0">
                <a:alpha val="70000"/>
              </a:srgbClr>
            </a:solidFill>
            <a:ln w="63500" cap="rnd">
              <a:solidFill>
                <a:srgbClr val="00B0F0">
                  <a:alpha val="70000"/>
                </a:srgbClr>
              </a:solidFill>
            </a:ln>
            <a:effectLst>
              <a:outerShdw blurRad="50800" dist="38100" dir="2700000" algn="tl" rotWithShape="0">
                <a:srgbClr val="00B0F0">
                  <a:alpha val="40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'Casual &amp; Registered by Hum'!$A$4:$A$8</c:f>
              <c:strCache>
                <c:ptCount val="4"/>
                <c:pt idx="0">
                  <c:v>Extreme Snow/Rain</c:v>
                </c:pt>
                <c:pt idx="1">
                  <c:v>Heavy Snow/Rain</c:v>
                </c:pt>
                <c:pt idx="2">
                  <c:v>Light Snow/Rain</c:v>
                </c:pt>
                <c:pt idx="3">
                  <c:v>Mist/Cloudy</c:v>
                </c:pt>
              </c:strCache>
            </c:strRef>
          </c:cat>
          <c:val>
            <c:numRef>
              <c:f>'Casual &amp; Registered by Hum'!$B$4:$B$8</c:f>
              <c:numCache>
                <c:formatCode>General</c:formatCode>
                <c:ptCount val="4"/>
                <c:pt idx="0">
                  <c:v>1</c:v>
                </c:pt>
                <c:pt idx="1">
                  <c:v>171</c:v>
                </c:pt>
                <c:pt idx="2">
                  <c:v>1538</c:v>
                </c:pt>
                <c:pt idx="3">
                  <c:v>3211</c:v>
                </c:pt>
              </c:numCache>
            </c:numRef>
          </c:val>
          <c:extLst>
            <c:ext xmlns:c16="http://schemas.microsoft.com/office/drawing/2014/chart" uri="{C3380CC4-5D6E-409C-BE32-E72D297353CC}">
              <c16:uniqueId val="{00000000-9042-455D-98A1-455BF371B235}"/>
            </c:ext>
          </c:extLst>
        </c:ser>
        <c:ser>
          <c:idx val="1"/>
          <c:order val="1"/>
          <c:tx>
            <c:strRef>
              <c:f>'Casual &amp; Registered by Hum'!$C$3</c:f>
              <c:strCache>
                <c:ptCount val="1"/>
                <c:pt idx="0">
                  <c:v>Total  Registered</c:v>
                </c:pt>
              </c:strCache>
            </c:strRef>
          </c:tx>
          <c:spPr>
            <a:solidFill>
              <a:srgbClr val="00B0F0"/>
            </a:solidFill>
            <a:ln w="63500" cap="rnd">
              <a:solidFill>
                <a:srgbClr val="00B0F0"/>
              </a:solidFill>
            </a:ln>
            <a:effectLst>
              <a:outerShdw blurRad="50800" dist="38100" dir="2700000" algn="tl" rotWithShape="0">
                <a:srgbClr val="00B0F0">
                  <a:alpha val="40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'Casual &amp; Registered by Hum'!$A$4:$A$8</c:f>
              <c:strCache>
                <c:ptCount val="4"/>
                <c:pt idx="0">
                  <c:v>Extreme Snow/Rain</c:v>
                </c:pt>
                <c:pt idx="1">
                  <c:v>Heavy Snow/Rain</c:v>
                </c:pt>
                <c:pt idx="2">
                  <c:v>Light Snow/Rain</c:v>
                </c:pt>
                <c:pt idx="3">
                  <c:v>Mist/Cloudy</c:v>
                </c:pt>
              </c:strCache>
            </c:strRef>
          </c:cat>
          <c:val>
            <c:numRef>
              <c:f>'Casual &amp; Registered by Hum'!$C$4:$C$8</c:f>
              <c:numCache>
                <c:formatCode>General</c:formatCode>
                <c:ptCount val="4"/>
                <c:pt idx="0">
                  <c:v>35</c:v>
                </c:pt>
                <c:pt idx="1">
                  <c:v>2618</c:v>
                </c:pt>
                <c:pt idx="2">
                  <c:v>16568</c:v>
                </c:pt>
                <c:pt idx="3">
                  <c:v>34162</c:v>
                </c:pt>
              </c:numCache>
            </c:numRef>
          </c:val>
          <c:extLst>
            <c:ext xmlns:c16="http://schemas.microsoft.com/office/drawing/2014/chart" uri="{C3380CC4-5D6E-409C-BE32-E72D297353CC}">
              <c16:uniqueId val="{00000001-9042-455D-98A1-455BF371B235}"/>
            </c:ext>
          </c:extLst>
        </c:ser>
        <c:dLbls>
          <c:dLblPos val="outEnd"/>
          <c:showLegendKey val="0"/>
          <c:showVal val="1"/>
          <c:showCatName val="0"/>
          <c:showSerName val="0"/>
          <c:showPercent val="0"/>
          <c:showBubbleSize val="0"/>
        </c:dLbls>
        <c:gapWidth val="50"/>
        <c:overlap val="-27"/>
        <c:axId val="1647464288"/>
        <c:axId val="217031664"/>
      </c:barChart>
      <c:catAx>
        <c:axId val="164746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7031664"/>
        <c:crosses val="autoZero"/>
        <c:auto val="1"/>
        <c:lblAlgn val="ctr"/>
        <c:lblOffset val="100"/>
        <c:noMultiLvlLbl val="0"/>
      </c:catAx>
      <c:valAx>
        <c:axId val="217031664"/>
        <c:scaling>
          <c:orientation val="minMax"/>
        </c:scaling>
        <c:delete val="1"/>
        <c:axPos val="l"/>
        <c:numFmt formatCode="General" sourceLinked="1"/>
        <c:majorTickMark val="none"/>
        <c:minorTickMark val="none"/>
        <c:tickLblPos val="nextTo"/>
        <c:crossAx val="1647464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[FinalDataset.xlsm]Casual &amp; Registered by Day Type!Casual &amp; Registered by Day Name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baseline="0">
                <a:solidFill>
                  <a:schemeClr val="accent1">
                    <a:lumMod val="75000"/>
                  </a:schemeClr>
                </a:solidFill>
              </a:rPr>
              <a:t>Casual &amp; Registered by Day Type</a:t>
            </a:r>
            <a:endParaRPr lang="en-IN" b="1">
              <a:solidFill>
                <a:schemeClr val="accent1">
                  <a:lumMod val="75000"/>
                </a:schemeClr>
              </a:solidFill>
            </a:endParaRPr>
          </a:p>
        </c:rich>
      </c:tx>
      <c:layout>
        <c:manualLayout>
          <c:xMode val="edge"/>
          <c:yMode val="edge"/>
          <c:x val="0.16473789836431799"/>
          <c:y val="0"/>
        </c:manualLayout>
      </c:layout>
      <c:overlay val="0"/>
      <c:spPr>
        <a:noFill/>
        <a:ln>
          <a:noFill/>
        </a:ln>
        <a:effectLst/>
      </c:spPr>
    </c:title>
    <c:autoTitleDeleted val="0"/>
    <c:pivotFmts>
      <c:pivotFmt>
        <c:idx val="0"/>
        <c:spPr>
          <a:solidFill>
            <a:schemeClr val="accent1"/>
          </a:solidFill>
          <a:ln w="60325">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
        <c:spPr>
          <a:solidFill>
            <a:srgbClr val="0070C0"/>
          </a:solidFill>
          <a:ln w="60325">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2"/>
        <c:spPr>
          <a:solidFill>
            <a:srgbClr val="00B0F0"/>
          </a:solidFill>
          <a:ln w="60325">
            <a:solidFill>
              <a:schemeClr val="lt1"/>
            </a:solidFill>
          </a:ln>
          <a:effectLst/>
        </c:spPr>
        <c:dLbl>
          <c:idx val="0"/>
          <c:layout>
            <c:manualLayout>
              <c:x val="8.3333333333332829E-3"/>
              <c:y val="-0.1342592592592592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3"/>
        <c:spPr>
          <a:solidFill>
            <a:srgbClr val="00B0F0"/>
          </a:solidFill>
          <a:ln w="60325">
            <a:solidFill>
              <a:schemeClr val="lt1"/>
            </a:solidFill>
          </a:ln>
          <a:effectLst/>
        </c:spPr>
        <c:dLbl>
          <c:idx val="0"/>
          <c:layout>
            <c:manualLayout>
              <c:x val="-0.25701266081493912"/>
              <c:y val="8.8417329796640146E-3"/>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4"/>
        <c:spPr>
          <a:solidFill>
            <a:schemeClr val="accent1"/>
          </a:solidFill>
          <a:ln w="60325">
            <a:solidFill>
              <a:schemeClr val="lt1"/>
            </a:solidFill>
          </a:ln>
          <a:effectLst/>
        </c:spPr>
        <c:dLbl>
          <c:idx val="0"/>
          <c:layout>
            <c:manualLayout>
              <c:x val="-9.7220034995625544E-3"/>
              <c:y val="0.1342596237970253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1405417760279965"/>
                  <c:h val="0.16645851560221639"/>
                </c:manualLayout>
              </c15:layout>
            </c:ext>
          </c:extLst>
        </c:dLbl>
      </c:pivotFmt>
      <c:pivotFmt>
        <c:idx val="5"/>
        <c:spPr>
          <a:solidFill>
            <a:srgbClr val="0070C0"/>
          </a:solidFill>
          <a:ln w="60325">
            <a:solidFill>
              <a:schemeClr val="lt1"/>
            </a:solidFill>
          </a:ln>
          <a:effectLst/>
        </c:spPr>
        <c:dLbl>
          <c:idx val="0"/>
          <c:layout>
            <c:manualLayout>
              <c:x val="0.15694444444444444"/>
              <c:y val="-6.0185185185185182E-2"/>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1405417760279965"/>
                  <c:h val="0.16645851560221639"/>
                </c:manualLayout>
              </c15:layout>
            </c:ext>
          </c:extLst>
        </c:dLbl>
      </c:pivotFmt>
      <c:pivotFmt>
        <c:idx val="6"/>
        <c:spPr>
          <a:solidFill>
            <a:schemeClr val="accent1"/>
          </a:solidFill>
          <a:ln w="60325">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7"/>
        <c:spPr>
          <a:solidFill>
            <a:schemeClr val="accent1"/>
          </a:solidFill>
          <a:ln w="60325">
            <a:solidFill>
              <a:schemeClr val="lt1"/>
            </a:solidFill>
          </a:ln>
          <a:effectLst/>
        </c:spPr>
        <c:dLbl>
          <c:idx val="0"/>
          <c:layout>
            <c:manualLayout>
              <c:x val="-9.7220034995625544E-3"/>
              <c:y val="0.1342596237970253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1405417760279965"/>
                  <c:h val="0.16645851560221639"/>
                </c:manualLayout>
              </c15:layout>
            </c:ext>
          </c:extLst>
        </c:dLbl>
      </c:pivotFmt>
      <c:pivotFmt>
        <c:idx val="8"/>
        <c:spPr>
          <a:solidFill>
            <a:srgbClr val="00B0F0"/>
          </a:solidFill>
          <a:ln w="60325">
            <a:solidFill>
              <a:schemeClr val="lt1"/>
            </a:solidFill>
          </a:ln>
          <a:effectLst/>
        </c:spPr>
        <c:dLbl>
          <c:idx val="0"/>
          <c:layout>
            <c:manualLayout>
              <c:x val="8.3333333333332829E-3"/>
              <c:y val="-0.1342592592592592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9"/>
        <c:spPr>
          <a:solidFill>
            <a:srgbClr val="0070C0"/>
          </a:solidFill>
          <a:ln w="60325">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0"/>
        <c:spPr>
          <a:solidFill>
            <a:srgbClr val="0070C0"/>
          </a:solidFill>
          <a:ln w="60325">
            <a:solidFill>
              <a:schemeClr val="lt1"/>
            </a:solidFill>
          </a:ln>
          <a:effectLst/>
        </c:spPr>
        <c:dLbl>
          <c:idx val="0"/>
          <c:layout>
            <c:manualLayout>
              <c:x val="0.15694444444444444"/>
              <c:y val="-6.0185185185185182E-2"/>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1405417760279965"/>
                  <c:h val="0.16645851560221639"/>
                </c:manualLayout>
              </c15:layout>
            </c:ext>
          </c:extLst>
        </c:dLbl>
      </c:pivotFmt>
      <c:pivotFmt>
        <c:idx val="11"/>
        <c:spPr>
          <a:solidFill>
            <a:srgbClr val="00B0F0"/>
          </a:solidFill>
          <a:ln w="60325">
            <a:solidFill>
              <a:schemeClr val="lt1"/>
            </a:solidFill>
          </a:ln>
          <a:effectLst/>
        </c:spPr>
        <c:dLbl>
          <c:idx val="0"/>
          <c:layout>
            <c:manualLayout>
              <c:x val="-0.25701266081493912"/>
              <c:y val="8.8417329796640146E-3"/>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2"/>
        <c:spPr>
          <a:ln w="60325"/>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3"/>
        <c:spPr>
          <a:solidFill>
            <a:schemeClr val="accent1"/>
          </a:solidFill>
          <a:ln w="60325">
            <a:solidFill>
              <a:schemeClr val="lt1"/>
            </a:solidFill>
          </a:ln>
          <a:effectLst/>
        </c:spPr>
        <c:dLbl>
          <c:idx val="0"/>
          <c:layout>
            <c:manualLayout>
              <c:x val="-0.2078094782209601"/>
              <c:y val="-6.1818882627416666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4054176885676173"/>
                  <c:h val="0.23998813107920333"/>
                </c:manualLayout>
              </c15:layout>
            </c:ext>
          </c:extLst>
        </c:dLbl>
      </c:pivotFmt>
      <c:pivotFmt>
        <c:idx val="14"/>
        <c:spPr>
          <a:solidFill>
            <a:srgbClr val="00B0F0"/>
          </a:solidFill>
          <a:ln w="60325">
            <a:solidFill>
              <a:schemeClr val="lt1"/>
            </a:solidFill>
          </a:ln>
          <a:effectLst/>
        </c:spPr>
        <c:dLbl>
          <c:idx val="0"/>
          <c:layout>
            <c:manualLayout>
              <c:x val="8.3333333333332829E-3"/>
              <c:y val="-0.1342592592592592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15"/>
        <c:spPr>
          <a:solidFill>
            <a:srgbClr val="0070C0"/>
          </a:solidFill>
          <a:ln w="60325"/>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6"/>
        <c:spPr>
          <a:solidFill>
            <a:srgbClr val="0070C0"/>
          </a:solidFill>
          <a:ln w="60325">
            <a:solidFill>
              <a:schemeClr val="lt1"/>
            </a:solidFill>
          </a:ln>
          <a:effectLst/>
        </c:spPr>
        <c:dLbl>
          <c:idx val="0"/>
          <c:layout>
            <c:manualLayout>
              <c:x val="0.15694444085882706"/>
              <c:y val="-2.0356651956495615E-2"/>
            </c:manualLayout>
          </c:layout>
          <c:numFmt formatCode="General"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14054176885676173"/>
                  <c:h val="0.24611558205959552"/>
                </c:manualLayout>
              </c15:layout>
            </c:ext>
          </c:extLst>
        </c:dLbl>
      </c:pivotFmt>
      <c:pivotFmt>
        <c:idx val="17"/>
        <c:spPr>
          <a:solidFill>
            <a:srgbClr val="00B0F0"/>
          </a:solidFill>
          <a:ln w="60325">
            <a:solidFill>
              <a:schemeClr val="lt1"/>
            </a:solidFill>
          </a:ln>
          <a:effectLst/>
        </c:spPr>
        <c:dLbl>
          <c:idx val="0"/>
          <c:layout>
            <c:manualLayout>
              <c:x val="-0.25701266081493912"/>
              <c:y val="8.8417329796640146E-3"/>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0.22926804999784864"/>
          <c:y val="0.21850104214914315"/>
          <c:w val="0.5038955939933738"/>
          <c:h val="0.78149895785085688"/>
        </c:manualLayout>
      </c:layout>
      <c:doughnutChart>
        <c:varyColors val="1"/>
        <c:ser>
          <c:idx val="0"/>
          <c:order val="0"/>
          <c:tx>
            <c:strRef>
              <c:f>'Casual &amp; Registered by Day Type'!$B$3</c:f>
              <c:strCache>
                <c:ptCount val="1"/>
                <c:pt idx="0">
                  <c:v>Total Casual</c:v>
                </c:pt>
              </c:strCache>
            </c:strRef>
          </c:tx>
          <c:spPr>
            <a:ln w="60325"/>
          </c:spPr>
          <c:dPt>
            <c:idx val="0"/>
            <c:bubble3D val="0"/>
            <c:spPr>
              <a:solidFill>
                <a:schemeClr val="accent1"/>
              </a:solidFill>
              <a:ln w="60325">
                <a:solidFill>
                  <a:schemeClr val="lt1"/>
                </a:solidFill>
              </a:ln>
              <a:effectLst/>
            </c:spPr>
            <c:extLst>
              <c:ext xmlns:c16="http://schemas.microsoft.com/office/drawing/2014/chart" uri="{C3380CC4-5D6E-409C-BE32-E72D297353CC}">
                <c16:uniqueId val="{00000001-62BF-448F-AFB0-01EBF2E343AB}"/>
              </c:ext>
            </c:extLst>
          </c:dPt>
          <c:dPt>
            <c:idx val="1"/>
            <c:bubble3D val="0"/>
            <c:spPr>
              <a:solidFill>
                <a:srgbClr val="00B0F0"/>
              </a:solidFill>
              <a:ln w="60325">
                <a:solidFill>
                  <a:schemeClr val="lt1"/>
                </a:solidFill>
              </a:ln>
              <a:effectLst/>
            </c:spPr>
            <c:extLst>
              <c:ext xmlns:c16="http://schemas.microsoft.com/office/drawing/2014/chart" uri="{C3380CC4-5D6E-409C-BE32-E72D297353CC}">
                <c16:uniqueId val="{00000003-62BF-448F-AFB0-01EBF2E343AB}"/>
              </c:ext>
            </c:extLst>
          </c:dPt>
          <c:dLbls>
            <c:dLbl>
              <c:idx val="0"/>
              <c:layout>
                <c:manualLayout>
                  <c:x val="-0.2078094782209601"/>
                  <c:y val="-6.1818882627416666E-2"/>
                </c:manualLayout>
              </c:layout>
              <c:showLegendKey val="0"/>
              <c:showVal val="1"/>
              <c:showCatName val="1"/>
              <c:showSerName val="0"/>
              <c:showPercent val="1"/>
              <c:showBubbleSize val="0"/>
              <c:separator>
</c:separator>
              <c:extLst>
                <c:ext xmlns:c15="http://schemas.microsoft.com/office/drawing/2012/chart" uri="{CE6537A1-D6FC-4f65-9D91-7224C49458BB}">
                  <c15:layout>
                    <c:manualLayout>
                      <c:w val="0.14054176885676173"/>
                      <c:h val="0.23998813107920333"/>
                    </c:manualLayout>
                  </c15:layout>
                </c:ext>
                <c:ext xmlns:c16="http://schemas.microsoft.com/office/drawing/2014/chart" uri="{C3380CC4-5D6E-409C-BE32-E72D297353CC}">
                  <c16:uniqueId val="{00000001-62BF-448F-AFB0-01EBF2E343AB}"/>
                </c:ext>
              </c:extLst>
            </c:dLbl>
            <c:dLbl>
              <c:idx val="1"/>
              <c:layout>
                <c:manualLayout>
                  <c:x val="8.3333333333332829E-3"/>
                  <c:y val="-0.13425925925925927"/>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62BF-448F-AFB0-01EBF2E343AB}"/>
                </c:ext>
              </c:extLst>
            </c:dLbl>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showLeaderLines val="1"/>
            <c:leaderLines>
              <c:spPr>
                <a:ln w="12700"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'Casual &amp; Registered by Day Type'!$A$4:$A$6</c:f>
              <c:strCache>
                <c:ptCount val="2"/>
                <c:pt idx="0">
                  <c:v>Holiday</c:v>
                </c:pt>
                <c:pt idx="1">
                  <c:v>Working Day</c:v>
                </c:pt>
              </c:strCache>
            </c:strRef>
          </c:cat>
          <c:val>
            <c:numRef>
              <c:f>'Casual &amp; Registered by Day Type'!$B$4:$B$6</c:f>
              <c:numCache>
                <c:formatCode>General</c:formatCode>
                <c:ptCount val="2"/>
                <c:pt idx="0">
                  <c:v>117</c:v>
                </c:pt>
                <c:pt idx="1">
                  <c:v>4804</c:v>
                </c:pt>
              </c:numCache>
            </c:numRef>
          </c:val>
          <c:extLst>
            <c:ext xmlns:c16="http://schemas.microsoft.com/office/drawing/2014/chart" uri="{C3380CC4-5D6E-409C-BE32-E72D297353CC}">
              <c16:uniqueId val="{00000004-62BF-448F-AFB0-01EBF2E343AB}"/>
            </c:ext>
          </c:extLst>
        </c:ser>
        <c:ser>
          <c:idx val="1"/>
          <c:order val="1"/>
          <c:tx>
            <c:strRef>
              <c:f>'Casual &amp; Registered by Day Type'!$C$3</c:f>
              <c:strCache>
                <c:ptCount val="1"/>
                <c:pt idx="0">
                  <c:v>Total Registered</c:v>
                </c:pt>
              </c:strCache>
            </c:strRef>
          </c:tx>
          <c:spPr>
            <a:solidFill>
              <a:srgbClr val="0070C0"/>
            </a:solidFill>
            <a:ln w="60325"/>
          </c:spPr>
          <c:dPt>
            <c:idx val="0"/>
            <c:bubble3D val="0"/>
            <c:spPr>
              <a:solidFill>
                <a:srgbClr val="0070C0"/>
              </a:solidFill>
              <a:ln w="60325">
                <a:solidFill>
                  <a:schemeClr val="lt1"/>
                </a:solidFill>
              </a:ln>
              <a:effectLst/>
            </c:spPr>
            <c:extLst>
              <c:ext xmlns:c16="http://schemas.microsoft.com/office/drawing/2014/chart" uri="{C3380CC4-5D6E-409C-BE32-E72D297353CC}">
                <c16:uniqueId val="{00000006-62BF-448F-AFB0-01EBF2E343AB}"/>
              </c:ext>
            </c:extLst>
          </c:dPt>
          <c:dPt>
            <c:idx val="1"/>
            <c:bubble3D val="0"/>
            <c:spPr>
              <a:solidFill>
                <a:srgbClr val="00B0F0"/>
              </a:solidFill>
              <a:ln w="60325">
                <a:solidFill>
                  <a:schemeClr val="lt1"/>
                </a:solidFill>
              </a:ln>
              <a:effectLst/>
            </c:spPr>
            <c:extLst>
              <c:ext xmlns:c16="http://schemas.microsoft.com/office/drawing/2014/chart" uri="{C3380CC4-5D6E-409C-BE32-E72D297353CC}">
                <c16:uniqueId val="{00000008-62BF-448F-AFB0-01EBF2E343AB}"/>
              </c:ext>
            </c:extLst>
          </c:dPt>
          <c:dLbls>
            <c:dLbl>
              <c:idx val="0"/>
              <c:layout>
                <c:manualLayout>
                  <c:x val="0.15694444085882706"/>
                  <c:y val="-2.0356651956495615E-2"/>
                </c:manualLayout>
              </c:layout>
              <c:numFmt formatCode="General" sourceLinked="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14054176885676173"/>
                      <c:h val="0.24611558205959552"/>
                    </c:manualLayout>
                  </c15:layout>
                </c:ext>
                <c:ext xmlns:c16="http://schemas.microsoft.com/office/drawing/2014/chart" uri="{C3380CC4-5D6E-409C-BE32-E72D297353CC}">
                  <c16:uniqueId val="{00000006-62BF-448F-AFB0-01EBF2E343AB}"/>
                </c:ext>
              </c:extLst>
            </c:dLbl>
            <c:dLbl>
              <c:idx val="1"/>
              <c:layout>
                <c:manualLayout>
                  <c:x val="-0.25701266081493912"/>
                  <c:y val="8.8417329796640146E-3"/>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8-62BF-448F-AFB0-01EBF2E343AB}"/>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showLeaderLines val="1"/>
            <c:leaderLines>
              <c:spPr>
                <a:ln w="12700"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'Casual &amp; Registered by Day Type'!$A$4:$A$6</c:f>
              <c:strCache>
                <c:ptCount val="2"/>
                <c:pt idx="0">
                  <c:v>Holiday</c:v>
                </c:pt>
                <c:pt idx="1">
                  <c:v>Working Day</c:v>
                </c:pt>
              </c:strCache>
            </c:strRef>
          </c:cat>
          <c:val>
            <c:numRef>
              <c:f>'Casual &amp; Registered by Day Type'!$C$4:$C$6</c:f>
              <c:numCache>
                <c:formatCode>General</c:formatCode>
                <c:ptCount val="2"/>
                <c:pt idx="0">
                  <c:v>883</c:v>
                </c:pt>
                <c:pt idx="1">
                  <c:v>52500</c:v>
                </c:pt>
              </c:numCache>
            </c:numRef>
          </c:val>
          <c:extLst>
            <c:ext xmlns:c16="http://schemas.microsoft.com/office/drawing/2014/chart" uri="{C3380CC4-5D6E-409C-BE32-E72D297353CC}">
              <c16:uniqueId val="{00000009-62BF-448F-AFB0-01EBF2E343AB}"/>
            </c:ext>
          </c:extLst>
        </c:ser>
        <c:dLbls>
          <c:showLegendKey val="0"/>
          <c:showVal val="1"/>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[FinalDataset.xlsm]Total Ride by Day Name!Total Ride by Day Name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Total Ride by Day Name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blipFill>
            <a:blip xmlns:r="http://schemas.openxmlformats.org/officeDocument/2006/relationships" r:embed="rId3"/>
            <a:stretch>
              <a:fillRect/>
            </a:stretch>
          </a:blipFill>
          <a:ln>
            <a:noFill/>
          </a:ln>
          <a:effectLst>
            <a:outerShdw blurRad="101600" dist="101600" dir="2700000" algn="tl" rotWithShape="0">
              <a:srgbClr val="00B0F0">
                <a:alpha val="4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blipFill>
            <a:blip xmlns:r="http://schemas.openxmlformats.org/officeDocument/2006/relationships" r:embed="rId3"/>
            <a:stretch>
              <a:fillRect/>
            </a:stretch>
          </a:blipFill>
          <a:ln>
            <a:noFill/>
          </a:ln>
          <a:effectLst>
            <a:outerShdw blurRad="101600" dist="101600" dir="2700000" algn="tl" rotWithShape="0">
              <a:srgbClr val="00B0F0">
                <a:alpha val="40000"/>
              </a:srgbClr>
            </a:outerShdw>
          </a:effectLst>
        </c:spPr>
      </c:pivotFmt>
      <c:pivotFmt>
        <c:idx val="2"/>
        <c:spPr>
          <a:blipFill>
            <a:blip xmlns:r="http://schemas.openxmlformats.org/officeDocument/2006/relationships" r:embed="rId3"/>
            <a:stretch>
              <a:fillRect/>
            </a:stretch>
          </a:blipFill>
          <a:ln>
            <a:noFill/>
          </a:ln>
          <a:effectLst>
            <a:outerShdw blurRad="101600" dist="101600" dir="2700000" algn="tl" rotWithShape="0">
              <a:srgbClr val="00B0F0">
                <a:alpha val="4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blipFill>
            <a:blip xmlns:r="http://schemas.openxmlformats.org/officeDocument/2006/relationships" r:embed="rId3"/>
            <a:stretch>
              <a:fillRect/>
            </a:stretch>
          </a:blipFill>
          <a:ln>
            <a:noFill/>
          </a:ln>
          <a:effectLst>
            <a:outerShdw blurRad="101600" dist="101600" dir="2700000" algn="tl" rotWithShape="0">
              <a:srgbClr val="00B0F0">
                <a:alpha val="4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3"/>
            <a:stretch>
              <a:fillRect/>
            </a:stretch>
          </a:blipFill>
          <a:ln>
            <a:noFill/>
          </a:ln>
          <a:effectLst>
            <a:outerShdw blurRad="101600" dist="101600" dir="2700000" algn="tl" rotWithShape="0">
              <a:srgbClr val="00B0F0">
                <a:alpha val="4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blipFill>
            <a:blip xmlns:r="http://schemas.openxmlformats.org/officeDocument/2006/relationships" r:embed="rId3"/>
            <a:stretch>
              <a:fillRect/>
            </a:stretch>
          </a:blipFill>
          <a:ln>
            <a:noFill/>
          </a:ln>
          <a:effectLst>
            <a:outerShdw blurRad="101600" dist="101600" dir="2700000" algn="tl" rotWithShape="0">
              <a:srgbClr val="00B0F0">
                <a:alpha val="4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279806917699645"/>
          <c:y val="0.10689814814814817"/>
          <c:w val="0.75720193082300358"/>
          <c:h val="0.89310185185185187"/>
        </c:manualLayout>
      </c:layout>
      <c:barChart>
        <c:barDir val="bar"/>
        <c:grouping val="clustered"/>
        <c:varyColors val="0"/>
        <c:ser>
          <c:idx val="0"/>
          <c:order val="0"/>
          <c:tx>
            <c:strRef>
              <c:f>'Total Ride by Day Name'!$B$3</c:f>
              <c:strCache>
                <c:ptCount val="1"/>
                <c:pt idx="0">
                  <c:v>Total</c:v>
                </c:pt>
              </c:strCache>
            </c:strRef>
          </c:tx>
          <c:spPr>
            <a:blipFill>
              <a:blip xmlns:r="http://schemas.openxmlformats.org/officeDocument/2006/relationships" r:embed="rId3"/>
              <a:stretch>
                <a:fillRect/>
              </a:stretch>
            </a:blipFill>
            <a:ln>
              <a:noFill/>
            </a:ln>
            <a:effectLst>
              <a:outerShdw blurRad="101600" dist="101600" dir="2700000" algn="tl" rotWithShape="0">
                <a:srgbClr val="00B0F0">
                  <a:alpha val="40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Ride by Day Name'!$A$4:$A$11</c:f>
              <c:strCache>
                <c:ptCount val="7"/>
                <c:pt idx="0">
                  <c:v>Sunday</c:v>
                </c:pt>
                <c:pt idx="1">
                  <c:v>Monday</c:v>
                </c:pt>
                <c:pt idx="2">
                  <c:v>Tuesday</c:v>
                </c:pt>
                <c:pt idx="3">
                  <c:v>Wednesday</c:v>
                </c:pt>
                <c:pt idx="4">
                  <c:v>Thursday</c:v>
                </c:pt>
                <c:pt idx="5">
                  <c:v>Friday</c:v>
                </c:pt>
                <c:pt idx="6">
                  <c:v>Saturday</c:v>
                </c:pt>
              </c:strCache>
            </c:strRef>
          </c:cat>
          <c:val>
            <c:numRef>
              <c:f>'Total Ride by Day Name'!$B$4:$B$11</c:f>
              <c:numCache>
                <c:formatCode>General</c:formatCode>
                <c:ptCount val="7"/>
                <c:pt idx="0">
                  <c:v>8121</c:v>
                </c:pt>
                <c:pt idx="1">
                  <c:v>8450</c:v>
                </c:pt>
                <c:pt idx="2">
                  <c:v>8383</c:v>
                </c:pt>
                <c:pt idx="3">
                  <c:v>8049</c:v>
                </c:pt>
                <c:pt idx="4">
                  <c:v>8458</c:v>
                </c:pt>
                <c:pt idx="5">
                  <c:v>9095</c:v>
                </c:pt>
                <c:pt idx="6">
                  <c:v>7748</c:v>
                </c:pt>
              </c:numCache>
            </c:numRef>
          </c:val>
          <c:extLst>
            <c:ext xmlns:c16="http://schemas.microsoft.com/office/drawing/2014/chart" uri="{C3380CC4-5D6E-409C-BE32-E72D297353CC}">
              <c16:uniqueId val="{00000000-3B49-4D8A-96E1-EE5BD0C6AE10}"/>
            </c:ext>
          </c:extLst>
        </c:ser>
        <c:dLbls>
          <c:dLblPos val="outEnd"/>
          <c:showLegendKey val="0"/>
          <c:showVal val="1"/>
          <c:showCatName val="0"/>
          <c:showSerName val="0"/>
          <c:showPercent val="0"/>
          <c:showBubbleSize val="0"/>
        </c:dLbls>
        <c:gapWidth val="50"/>
        <c:axId val="223055904"/>
        <c:axId val="1679748992"/>
      </c:barChart>
      <c:catAx>
        <c:axId val="22305590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79748992"/>
        <c:crosses val="autoZero"/>
        <c:auto val="1"/>
        <c:lblAlgn val="ctr"/>
        <c:lblOffset val="100"/>
        <c:noMultiLvlLbl val="0"/>
      </c:catAx>
      <c:valAx>
        <c:axId val="1679748992"/>
        <c:scaling>
          <c:orientation val="minMax"/>
        </c:scaling>
        <c:delete val="1"/>
        <c:axPos val="t"/>
        <c:numFmt formatCode="General" sourceLinked="1"/>
        <c:majorTickMark val="none"/>
        <c:minorTickMark val="none"/>
        <c:tickLblPos val="nextTo"/>
        <c:crossAx val="223055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Max</a:t>
            </a:r>
            <a:r>
              <a:rPr lang="en-US" b="1" baseline="0">
                <a:solidFill>
                  <a:schemeClr val="accent1">
                    <a:lumMod val="75000"/>
                  </a:schemeClr>
                </a:solidFill>
              </a:rPr>
              <a:t> Temp by Category of Day</a:t>
            </a:r>
            <a:endParaRPr lang="en-US" b="1">
              <a:solidFill>
                <a:schemeClr val="accent1">
                  <a:lumMod val="75000"/>
                </a:schemeClr>
              </a:solidFill>
            </a:endParaRPr>
          </a:p>
        </c:rich>
      </c:tx>
      <c:layout>
        <c:manualLayout>
          <c:xMode val="edge"/>
          <c:yMode val="edge"/>
          <c:x val="0.19731531272005634"/>
          <c:y val="1.141552511415525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00B0F0"/>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00B0F0"/>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00B0F0"/>
            </a:solidFill>
            <a:round/>
          </a:ln>
          <a:effectLst/>
        </c:spPr>
        <c:marker>
          <c:symbol val="circle"/>
          <c:size val="7"/>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4881889763789E-3"/>
          <c:y val="0.26303706899651241"/>
          <c:w val="0.99855511811023623"/>
          <c:h val="0.71127799949663828"/>
        </c:manualLayout>
      </c:layout>
      <c:lineChart>
        <c:grouping val="standard"/>
        <c:varyColors val="0"/>
        <c:dLbls>
          <c:showLegendKey val="0"/>
          <c:showVal val="0"/>
          <c:showCatName val="0"/>
          <c:showSerName val="0"/>
          <c:showPercent val="0"/>
          <c:showBubbleSize val="0"/>
        </c:dLbls>
        <c:marker val="1"/>
        <c:smooth val="0"/>
        <c:axId val="1635069872"/>
        <c:axId val="1684656096"/>
      </c:lineChart>
      <c:catAx>
        <c:axId val="1635069872"/>
        <c:scaling>
          <c:orientation val="minMax"/>
        </c:scaling>
        <c:delete val="1"/>
        <c:axPos val="b"/>
        <c:numFmt formatCode="General" sourceLinked="1"/>
        <c:majorTickMark val="none"/>
        <c:minorTickMark val="none"/>
        <c:tickLblPos val="nextTo"/>
        <c:crossAx val="1684656096"/>
        <c:crosses val="autoZero"/>
        <c:auto val="1"/>
        <c:lblAlgn val="ctr"/>
        <c:lblOffset val="100"/>
        <c:noMultiLvlLbl val="0"/>
      </c:catAx>
      <c:valAx>
        <c:axId val="1684656096"/>
        <c:scaling>
          <c:orientation val="minMax"/>
        </c:scaling>
        <c:delete val="1"/>
        <c:axPos val="l"/>
        <c:numFmt formatCode="General" sourceLinked="1"/>
        <c:majorTickMark val="none"/>
        <c:minorTickMark val="none"/>
        <c:tickLblPos val="nextTo"/>
        <c:crossAx val="163506987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[FinalDataset.xlsm]User Id by Category of Day!User Id by Category of Day</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Count</a:t>
            </a:r>
            <a:r>
              <a:rPr lang="en-US" b="1" baseline="0">
                <a:solidFill>
                  <a:schemeClr val="accent1">
                    <a:lumMod val="75000"/>
                  </a:schemeClr>
                </a:solidFill>
              </a:rPr>
              <a:t> User Id by Category of Day</a:t>
            </a:r>
            <a:endParaRPr lang="en-US" b="1">
              <a:solidFill>
                <a:schemeClr val="accent1">
                  <a:lumMod val="75000"/>
                </a:schemeClr>
              </a:solidFill>
            </a:endParaRPr>
          </a:p>
        </c:rich>
      </c:tx>
      <c:layout>
        <c:manualLayout>
          <c:xMode val="edge"/>
          <c:yMode val="edge"/>
          <c:x val="0.16148627576458391"/>
          <c:y val="1.107143604371386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5.7861307356343317E-2"/>
              <c:y val="0.16035393303109838"/>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0"/>
              <c:y val="8.2071104748270104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7.2859025032938077E-2"/>
              <c:y val="-0.13257535989819458"/>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6.587615283267457E-3"/>
              <c:y val="0.10101010101010111"/>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5.7861307356343317E-2"/>
              <c:y val="0.16035393303109838"/>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7.2859025032938077E-2"/>
              <c:y val="-0.13257535989819458"/>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6.587615283267457E-3"/>
              <c:y val="0.10101010101010111"/>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0"/>
              <c:y val="8.2071104748270104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5.7861307356343317E-2"/>
              <c:y val="0.16035393303109838"/>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7.2859025032938077E-2"/>
              <c:y val="-0.13257535989819458"/>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6.587615283267457E-3"/>
              <c:y val="0.10101010101010111"/>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0"/>
              <c:y val="8.2071104748270104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2.7777777777777779E-3"/>
          <c:y val="0.19566801732374622"/>
          <c:w val="0.99722222222222223"/>
          <c:h val="0.80433198267625372"/>
        </c:manualLayout>
      </c:layout>
      <c:lineChart>
        <c:grouping val="standard"/>
        <c:varyColors val="0"/>
        <c:ser>
          <c:idx val="0"/>
          <c:order val="0"/>
          <c:tx>
            <c:strRef>
              <c:f>'User Id by Category of Day'!$B$3</c:f>
              <c:strCache>
                <c:ptCount val="1"/>
                <c:pt idx="0">
                  <c:v>Total</c:v>
                </c:pt>
              </c:strCache>
            </c:strRef>
          </c:tx>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Pt>
            <c:idx val="0"/>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bubble3D val="0"/>
            <c:spPr>
              <a:ln w="28575" cap="rnd">
                <a:solidFill>
                  <a:srgbClr val="00B0F0"/>
                </a:solidFill>
                <a:round/>
              </a:ln>
              <a:effectLst>
                <a:outerShdw blurRad="101600" dist="101600" dir="2700000" algn="tl" rotWithShape="0">
                  <a:srgbClr val="00B0F0">
                    <a:alpha val="40000"/>
                  </a:srgbClr>
                </a:outerShdw>
              </a:effectLst>
            </c:spPr>
            <c:extLst>
              <c:ext xmlns:c16="http://schemas.microsoft.com/office/drawing/2014/chart" uri="{C3380CC4-5D6E-409C-BE32-E72D297353CC}">
                <c16:uniqueId val="{00000000-EB12-4449-BB2F-3EABA0CCE886}"/>
              </c:ext>
            </c:extLst>
          </c:dPt>
          <c:dPt>
            <c:idx val="1"/>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bubble3D val="0"/>
            <c:spPr>
              <a:ln w="28575" cap="rnd">
                <a:solidFill>
                  <a:srgbClr val="00B0F0"/>
                </a:solidFill>
                <a:round/>
              </a:ln>
              <a:effectLst>
                <a:outerShdw blurRad="101600" dist="101600" dir="2700000" algn="tl" rotWithShape="0">
                  <a:srgbClr val="00B0F0">
                    <a:alpha val="40000"/>
                  </a:srgbClr>
                </a:outerShdw>
              </a:effectLst>
            </c:spPr>
            <c:extLst>
              <c:ext xmlns:c16="http://schemas.microsoft.com/office/drawing/2014/chart" uri="{C3380CC4-5D6E-409C-BE32-E72D297353CC}">
                <c16:uniqueId val="{00000001-EB12-4449-BB2F-3EABA0CCE886}"/>
              </c:ext>
            </c:extLst>
          </c:dPt>
          <c:dPt>
            <c:idx val="2"/>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bubble3D val="0"/>
            <c:spPr>
              <a:ln w="28575" cap="rnd">
                <a:solidFill>
                  <a:srgbClr val="00B0F0"/>
                </a:solidFill>
                <a:round/>
              </a:ln>
              <a:effectLst>
                <a:outerShdw blurRad="101600" dist="101600" dir="2700000" algn="tl" rotWithShape="0">
                  <a:srgbClr val="00B0F0">
                    <a:alpha val="40000"/>
                  </a:srgbClr>
                </a:outerShdw>
              </a:effectLst>
            </c:spPr>
            <c:extLst>
              <c:ext xmlns:c16="http://schemas.microsoft.com/office/drawing/2014/chart" uri="{C3380CC4-5D6E-409C-BE32-E72D297353CC}">
                <c16:uniqueId val="{00000002-EB12-4449-BB2F-3EABA0CCE886}"/>
              </c:ext>
            </c:extLst>
          </c:dPt>
          <c:dPt>
            <c:idx val="3"/>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bubble3D val="0"/>
            <c:spPr>
              <a:ln w="28575" cap="rnd">
                <a:solidFill>
                  <a:srgbClr val="00B0F0"/>
                </a:solidFill>
                <a:round/>
              </a:ln>
              <a:effectLst>
                <a:outerShdw blurRad="101600" dist="101600" dir="2700000" algn="tl" rotWithShape="0">
                  <a:srgbClr val="00B0F0">
                    <a:alpha val="40000"/>
                  </a:srgbClr>
                </a:outerShdw>
              </a:effectLst>
            </c:spPr>
            <c:extLst>
              <c:ext xmlns:c16="http://schemas.microsoft.com/office/drawing/2014/chart" uri="{C3380CC4-5D6E-409C-BE32-E72D297353CC}">
                <c16:uniqueId val="{00000003-EB12-4449-BB2F-3EABA0CCE886}"/>
              </c:ext>
            </c:extLst>
          </c:dPt>
          <c:dLbls>
            <c:dLbl>
              <c:idx val="0"/>
              <c:layout>
                <c:manualLayout>
                  <c:x val="-5.7861307356343317E-2"/>
                  <c:y val="0.16035393303109838"/>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B12-4449-BB2F-3EABA0CCE886}"/>
                </c:ext>
              </c:extLst>
            </c:dLbl>
            <c:dLbl>
              <c:idx val="1"/>
              <c:layout>
                <c:manualLayout>
                  <c:x val="-7.2859025032938077E-2"/>
                  <c:y val="-0.13257535989819458"/>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B12-4449-BB2F-3EABA0CCE886}"/>
                </c:ext>
              </c:extLst>
            </c:dLbl>
            <c:dLbl>
              <c:idx val="2"/>
              <c:layout>
                <c:manualLayout>
                  <c:x val="-6.587615283267457E-3"/>
                  <c:y val="0.10101010101010111"/>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B12-4449-BB2F-3EABA0CCE886}"/>
                </c:ext>
              </c:extLst>
            </c:dLbl>
            <c:dLbl>
              <c:idx val="3"/>
              <c:layout>
                <c:manualLayout>
                  <c:x val="0"/>
                  <c:y val="8.207110474827010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B12-4449-BB2F-3EABA0CCE886}"/>
                </c:ext>
              </c:extLst>
            </c:dLbl>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'User Id by Category of Day'!$A$4:$A$8</c:f>
              <c:strCache>
                <c:ptCount val="4"/>
                <c:pt idx="0">
                  <c:v>Morning</c:v>
                </c:pt>
                <c:pt idx="1">
                  <c:v>Afternoon</c:v>
                </c:pt>
                <c:pt idx="2">
                  <c:v>Evening</c:v>
                </c:pt>
                <c:pt idx="3">
                  <c:v>Night</c:v>
                </c:pt>
              </c:strCache>
            </c:strRef>
          </c:cat>
          <c:val>
            <c:numRef>
              <c:f>'User Id by Category of Day'!$B$4:$B$8</c:f>
              <c:numCache>
                <c:formatCode>General</c:formatCode>
                <c:ptCount val="4"/>
                <c:pt idx="0">
                  <c:v>292</c:v>
                </c:pt>
                <c:pt idx="1">
                  <c:v>216</c:v>
                </c:pt>
                <c:pt idx="2">
                  <c:v>173</c:v>
                </c:pt>
                <c:pt idx="3">
                  <c:v>319</c:v>
                </c:pt>
              </c:numCache>
            </c:numRef>
          </c:val>
          <c:smooth val="1"/>
          <c:extLst>
            <c:ext xmlns:c16="http://schemas.microsoft.com/office/drawing/2014/chart" uri="{C3380CC4-5D6E-409C-BE32-E72D297353CC}">
              <c16:uniqueId val="{00000004-EB12-4449-BB2F-3EABA0CCE886}"/>
            </c:ext>
          </c:extLst>
        </c:ser>
        <c:dLbls>
          <c:showLegendKey val="0"/>
          <c:showVal val="0"/>
          <c:showCatName val="0"/>
          <c:showSerName val="0"/>
          <c:showPercent val="0"/>
          <c:showBubbleSize val="0"/>
        </c:dLbls>
        <c:marker val="1"/>
        <c:smooth val="0"/>
        <c:axId val="227591776"/>
        <c:axId val="10609488"/>
      </c:lineChart>
      <c:catAx>
        <c:axId val="227591776"/>
        <c:scaling>
          <c:orientation val="minMax"/>
        </c:scaling>
        <c:delete val="1"/>
        <c:axPos val="b"/>
        <c:numFmt formatCode="General" sourceLinked="1"/>
        <c:majorTickMark val="none"/>
        <c:minorTickMark val="none"/>
        <c:tickLblPos val="nextTo"/>
        <c:crossAx val="10609488"/>
        <c:crosses val="autoZero"/>
        <c:auto val="1"/>
        <c:lblAlgn val="ctr"/>
        <c:lblOffset val="100"/>
        <c:noMultiLvlLbl val="0"/>
      </c:catAx>
      <c:valAx>
        <c:axId val="10609488"/>
        <c:scaling>
          <c:orientation val="minMax"/>
        </c:scaling>
        <c:delete val="1"/>
        <c:axPos val="l"/>
        <c:numFmt formatCode="General" sourceLinked="1"/>
        <c:majorTickMark val="none"/>
        <c:minorTickMark val="none"/>
        <c:tickLblPos val="nextTo"/>
        <c:crossAx val="227591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[FinalDataset.xlsm]Max Temp by Category of Day!Max Temp by Category of Day</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Max</a:t>
            </a:r>
            <a:r>
              <a:rPr lang="en-US" b="1" baseline="0">
                <a:solidFill>
                  <a:schemeClr val="accent1">
                    <a:lumMod val="75000"/>
                  </a:schemeClr>
                </a:solidFill>
              </a:rPr>
              <a:t> Temp by Category of Day</a:t>
            </a:r>
            <a:endParaRPr lang="en-US" b="1">
              <a:solidFill>
                <a:schemeClr val="accent1">
                  <a:lumMod val="75000"/>
                </a:schemeClr>
              </a:solidFill>
            </a:endParaRPr>
          </a:p>
        </c:rich>
      </c:tx>
      <c:layout>
        <c:manualLayout>
          <c:xMode val="edge"/>
          <c:yMode val="edge"/>
          <c:x val="0.25179868415203616"/>
          <c:y val="1.033333550306257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5">
                <a:lumMod val="50000"/>
              </a:schemeClr>
            </a:solidFill>
            <a:ln w="9525">
              <a:solidFill>
                <a:schemeClr val="accent5">
                  <a:lumMod val="50000"/>
                </a:schemeClr>
              </a:solidFill>
            </a:ln>
            <a:effectLst>
              <a:outerShdw blurRad="101600" dist="101600" dir="2700000" algn="tl" rotWithShape="0">
                <a:srgbClr val="00B0F0">
                  <a:alpha val="40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5">
                <a:lumMod val="50000"/>
              </a:schemeClr>
            </a:solidFill>
            <a:ln w="9525">
              <a:solidFill>
                <a:schemeClr val="accent5">
                  <a:lumMod val="50000"/>
                </a:schemeClr>
              </a:solidFill>
            </a:ln>
            <a:effectLst>
              <a:outerShdw blurRad="101600" dist="101600" dir="2700000" algn="tl" rotWithShape="0">
                <a:srgbClr val="00B0F0">
                  <a:alpha val="40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1"/>
          <c:showSerName val="0"/>
          <c:showPercent val="0"/>
          <c:showBubbleSize val="0"/>
          <c:extLst>
            <c:ext xmlns:c15="http://schemas.microsoft.com/office/drawing/2012/chart" uri="{CE6537A1-D6FC-4f65-9D91-7224C49458BB}"/>
          </c:extLst>
        </c:dLbl>
      </c:pivotFmt>
      <c:pivotFmt>
        <c:idx val="2"/>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5">
                <a:lumMod val="50000"/>
              </a:schemeClr>
            </a:solidFill>
            <a:ln w="9525">
              <a:solidFill>
                <a:schemeClr val="accent5">
                  <a:lumMod val="50000"/>
                </a:schemeClr>
              </a:solidFill>
            </a:ln>
            <a:effectLst>
              <a:outerShdw blurRad="101600" dist="101600" dir="2700000" algn="tl" rotWithShape="0">
                <a:srgbClr val="00B0F0">
                  <a:alpha val="40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777777777777779E-3"/>
          <c:y val="0.32037820361589503"/>
          <c:w val="0.99722222222222223"/>
          <c:h val="0.66351856959152544"/>
        </c:manualLayout>
      </c:layout>
      <c:lineChart>
        <c:grouping val="standard"/>
        <c:varyColors val="0"/>
        <c:ser>
          <c:idx val="0"/>
          <c:order val="0"/>
          <c:tx>
            <c:strRef>
              <c:f>'Max Temp by Category of Day'!$B$3</c:f>
              <c:strCache>
                <c:ptCount val="1"/>
                <c:pt idx="0">
                  <c:v>Total</c:v>
                </c:pt>
              </c:strCache>
            </c:strRef>
          </c:tx>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5">
                  <a:lumMod val="50000"/>
                </a:schemeClr>
              </a:solidFill>
              <a:ln w="9525">
                <a:solidFill>
                  <a:schemeClr val="accent5">
                    <a:lumMod val="50000"/>
                  </a:schemeClr>
                </a:solidFill>
              </a:ln>
              <a:effectLst>
                <a:outerShdw blurRad="101600" dist="101600" dir="2700000" algn="tl" rotWithShape="0">
                  <a:srgbClr val="00B0F0">
                    <a:alpha val="40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'Max Temp by Category of Day'!$A$4:$A$8</c:f>
              <c:strCache>
                <c:ptCount val="4"/>
                <c:pt idx="0">
                  <c:v>Morning</c:v>
                </c:pt>
                <c:pt idx="1">
                  <c:v>Afternoon</c:v>
                </c:pt>
                <c:pt idx="2">
                  <c:v>Evening</c:v>
                </c:pt>
                <c:pt idx="3">
                  <c:v>Night</c:v>
                </c:pt>
              </c:strCache>
            </c:strRef>
          </c:cat>
          <c:val>
            <c:numRef>
              <c:f>'Max Temp by Category of Day'!$B$4:$B$8</c:f>
              <c:numCache>
                <c:formatCode>General</c:formatCode>
                <c:ptCount val="4"/>
                <c:pt idx="0">
                  <c:v>0.42</c:v>
                </c:pt>
                <c:pt idx="1">
                  <c:v>0.46</c:v>
                </c:pt>
                <c:pt idx="2">
                  <c:v>0.44</c:v>
                </c:pt>
                <c:pt idx="3">
                  <c:v>0.46</c:v>
                </c:pt>
              </c:numCache>
            </c:numRef>
          </c:val>
          <c:smooth val="1"/>
          <c:extLst>
            <c:ext xmlns:c16="http://schemas.microsoft.com/office/drawing/2014/chart" uri="{C3380CC4-5D6E-409C-BE32-E72D297353CC}">
              <c16:uniqueId val="{00000000-27E1-4B77-908A-070A8BA5F821}"/>
            </c:ext>
          </c:extLst>
        </c:ser>
        <c:dLbls>
          <c:showLegendKey val="0"/>
          <c:showVal val="0"/>
          <c:showCatName val="0"/>
          <c:showSerName val="0"/>
          <c:showPercent val="0"/>
          <c:showBubbleSize val="0"/>
        </c:dLbls>
        <c:marker val="1"/>
        <c:smooth val="0"/>
        <c:axId val="10413520"/>
        <c:axId val="2052163456"/>
      </c:lineChart>
      <c:catAx>
        <c:axId val="10413520"/>
        <c:scaling>
          <c:orientation val="minMax"/>
        </c:scaling>
        <c:delete val="1"/>
        <c:axPos val="b"/>
        <c:numFmt formatCode="General" sourceLinked="1"/>
        <c:majorTickMark val="none"/>
        <c:minorTickMark val="none"/>
        <c:tickLblPos val="nextTo"/>
        <c:crossAx val="2052163456"/>
        <c:crosses val="autoZero"/>
        <c:auto val="1"/>
        <c:lblAlgn val="ctr"/>
        <c:lblOffset val="100"/>
        <c:noMultiLvlLbl val="0"/>
      </c:catAx>
      <c:valAx>
        <c:axId val="2052163456"/>
        <c:scaling>
          <c:orientation val="minMax"/>
        </c:scaling>
        <c:delete val="1"/>
        <c:axPos val="l"/>
        <c:numFmt formatCode="General" sourceLinked="1"/>
        <c:majorTickMark val="none"/>
        <c:minorTickMark val="none"/>
        <c:tickLblPos val="nextTo"/>
        <c:crossAx val="10413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[FinalDataset.xlsm]Total Ride by Hour!Total Ride by Hour</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Total Ride by</a:t>
            </a:r>
            <a:r>
              <a:rPr lang="en-US" b="1" baseline="0">
                <a:solidFill>
                  <a:schemeClr val="accent1">
                    <a:lumMod val="75000"/>
                  </a:schemeClr>
                </a:solidFill>
              </a:rPr>
              <a:t>  Hour</a:t>
            </a:r>
            <a:endParaRPr lang="en-US" b="1">
              <a:solidFill>
                <a:schemeClr val="accent1">
                  <a:lumMod val="75000"/>
                </a:schemeClr>
              </a:solidFill>
            </a:endParaRPr>
          </a:p>
        </c:rich>
      </c:tx>
      <c:layout>
        <c:manualLayout>
          <c:xMode val="edge"/>
          <c:yMode val="edge"/>
          <c:x val="0.37238192448166202"/>
          <c:y val="1.38312586445366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w="69850" cap="rnd">
            <a:solidFill>
              <a:srgbClr val="00B0F0"/>
            </a:solidFill>
            <a:round/>
          </a:ln>
          <a:effectLst>
            <a:outerShdw blurRad="101600" dist="101600" dir="2700000" algn="tl" rotWithShape="0">
              <a:srgbClr val="00B0F0">
                <a:alpha val="40000"/>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583559168925021E-3"/>
          <c:y val="0.13201936376210233"/>
          <c:w val="0.99416206104318261"/>
          <c:h val="0.70755001579159449"/>
        </c:manualLayout>
      </c:layout>
      <c:barChart>
        <c:barDir val="col"/>
        <c:grouping val="clustered"/>
        <c:varyColors val="0"/>
        <c:ser>
          <c:idx val="0"/>
          <c:order val="0"/>
          <c:tx>
            <c:strRef>
              <c:f>'Total Ride by Hour'!$B$3</c:f>
              <c:strCache>
                <c:ptCount val="1"/>
                <c:pt idx="0">
                  <c:v>Total</c:v>
                </c:pt>
              </c:strCache>
            </c:strRef>
          </c:tx>
          <c:spPr>
            <a:solidFill>
              <a:srgbClr val="00B0F0"/>
            </a:solidFill>
            <a:ln w="69850" cap="rnd">
              <a:solidFill>
                <a:srgbClr val="00B0F0"/>
              </a:solidFill>
              <a:round/>
            </a:ln>
            <a:effectLst>
              <a:outerShdw blurRad="101600" dist="101600" dir="2700000" algn="tl" rotWithShape="0">
                <a:srgbClr val="00B0F0">
                  <a:alpha val="40000"/>
                </a:srgbClr>
              </a:outerShdw>
              <a:softEdge rad="0"/>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Ride by Hour'!$A$4:$A$28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'Total Ride by Hour'!$B$4:$B$28</c:f>
              <c:numCache>
                <c:formatCode>General</c:formatCode>
                <c:ptCount val="24"/>
                <c:pt idx="0">
                  <c:v>703</c:v>
                </c:pt>
                <c:pt idx="1">
                  <c:v>460</c:v>
                </c:pt>
                <c:pt idx="2">
                  <c:v>294</c:v>
                </c:pt>
                <c:pt idx="3">
                  <c:v>151</c:v>
                </c:pt>
                <c:pt idx="4">
                  <c:v>69</c:v>
                </c:pt>
                <c:pt idx="5">
                  <c:v>164</c:v>
                </c:pt>
                <c:pt idx="6">
                  <c:v>822</c:v>
                </c:pt>
                <c:pt idx="7">
                  <c:v>2339</c:v>
                </c:pt>
                <c:pt idx="8">
                  <c:v>5388</c:v>
                </c:pt>
                <c:pt idx="9">
                  <c:v>3672</c:v>
                </c:pt>
                <c:pt idx="10">
                  <c:v>2253</c:v>
                </c:pt>
                <c:pt idx="11">
                  <c:v>2494</c:v>
                </c:pt>
                <c:pt idx="12">
                  <c:v>3283</c:v>
                </c:pt>
                <c:pt idx="13">
                  <c:v>3376</c:v>
                </c:pt>
                <c:pt idx="14">
                  <c:v>3200</c:v>
                </c:pt>
                <c:pt idx="15">
                  <c:v>3352</c:v>
                </c:pt>
                <c:pt idx="16">
                  <c:v>3928</c:v>
                </c:pt>
                <c:pt idx="17">
                  <c:v>6169</c:v>
                </c:pt>
                <c:pt idx="18">
                  <c:v>5283</c:v>
                </c:pt>
                <c:pt idx="19">
                  <c:v>3661</c:v>
                </c:pt>
                <c:pt idx="20">
                  <c:v>2656</c:v>
                </c:pt>
                <c:pt idx="21">
                  <c:v>1996</c:v>
                </c:pt>
                <c:pt idx="22">
                  <c:v>1508</c:v>
                </c:pt>
                <c:pt idx="23">
                  <c:v>1083</c:v>
                </c:pt>
              </c:numCache>
            </c:numRef>
          </c:val>
          <c:extLst>
            <c:ext xmlns:c16="http://schemas.microsoft.com/office/drawing/2014/chart" uri="{C3380CC4-5D6E-409C-BE32-E72D297353CC}">
              <c16:uniqueId val="{00000000-FEAF-4CE7-8A77-5C777517FC30}"/>
            </c:ext>
          </c:extLst>
        </c:ser>
        <c:dLbls>
          <c:showLegendKey val="0"/>
          <c:showVal val="0"/>
          <c:showCatName val="0"/>
          <c:showSerName val="0"/>
          <c:showPercent val="0"/>
          <c:showBubbleSize val="0"/>
        </c:dLbls>
        <c:gapWidth val="150"/>
        <c:overlap val="-27"/>
        <c:axId val="229416832"/>
        <c:axId val="1519898560"/>
      </c:barChart>
      <c:catAx>
        <c:axId val="22941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19898560"/>
        <c:crosses val="autoZero"/>
        <c:auto val="1"/>
        <c:lblAlgn val="ctr"/>
        <c:lblOffset val="100"/>
        <c:noMultiLvlLbl val="0"/>
      </c:catAx>
      <c:valAx>
        <c:axId val="1519898560"/>
        <c:scaling>
          <c:orientation val="minMax"/>
        </c:scaling>
        <c:delete val="1"/>
        <c:axPos val="l"/>
        <c:numFmt formatCode="General" sourceLinked="1"/>
        <c:majorTickMark val="none"/>
        <c:minorTickMark val="none"/>
        <c:tickLblPos val="nextTo"/>
        <c:crossAx val="229416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[FinalDataset.xlsm]Total Ride by Date!Total Ride by Date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Total Ride by Date</a:t>
            </a:r>
          </a:p>
        </c:rich>
      </c:tx>
      <c:layout>
        <c:manualLayout>
          <c:xMode val="edge"/>
          <c:yMode val="edge"/>
          <c:x val="0.36848361816988784"/>
          <c:y val="6.561679790026246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00B0F0"/>
            </a:solidFill>
            <a:round/>
          </a:ln>
          <a:effectLst/>
        </c:spPr>
        <c:marker>
          <c:symbol val="circle"/>
          <c:size val="5"/>
          <c:spPr>
            <a:solidFill>
              <a:schemeClr val="accent1">
                <a:lumMod val="75000"/>
              </a:schemeClr>
            </a:solidFill>
            <a:ln w="9525">
              <a:noFill/>
            </a:ln>
            <a:effectLst/>
          </c:spPr>
        </c:marker>
      </c:pivotFmt>
    </c:pivotFmts>
    <c:plotArea>
      <c:layout>
        <c:manualLayout>
          <c:layoutTarget val="inner"/>
          <c:xMode val="edge"/>
          <c:yMode val="edge"/>
          <c:x val="8.5485825280362679E-2"/>
          <c:y val="0.13182414698162731"/>
          <c:w val="0.88093142298973992"/>
          <c:h val="0.54224223448446895"/>
        </c:manualLayout>
      </c:layout>
      <c:lineChart>
        <c:grouping val="stacked"/>
        <c:varyColors val="0"/>
        <c:ser>
          <c:idx val="0"/>
          <c:order val="0"/>
          <c:tx>
            <c:strRef>
              <c:f>'Total Ride by Date'!$B$3</c:f>
              <c:strCache>
                <c:ptCount val="1"/>
                <c:pt idx="0">
                  <c:v>Total</c:v>
                </c:pt>
              </c:strCache>
            </c:strRef>
          </c:tx>
          <c:spPr>
            <a:ln w="28575" cap="rnd">
              <a:solidFill>
                <a:srgbClr val="00B0F0"/>
              </a:solidFill>
              <a:round/>
            </a:ln>
            <a:effectLst/>
          </c:spPr>
          <c:marker>
            <c:symbol val="circle"/>
            <c:size val="5"/>
            <c:spPr>
              <a:solidFill>
                <a:schemeClr val="accent1">
                  <a:lumMod val="75000"/>
                </a:schemeClr>
              </a:solidFill>
              <a:ln w="9525">
                <a:noFill/>
              </a:ln>
              <a:effectLst/>
            </c:spPr>
          </c:marker>
          <c:cat>
            <c:strRef>
              <c:f>'Total Ride by Date'!$A$4:$A$49</c:f>
              <c:strCache>
                <c:ptCount val="45"/>
                <c:pt idx="0">
                  <c:v>01-01-2011</c:v>
                </c:pt>
                <c:pt idx="1">
                  <c:v>02-01-2011</c:v>
                </c:pt>
                <c:pt idx="2">
                  <c:v>03-01-2011</c:v>
                </c:pt>
                <c:pt idx="3">
                  <c:v>04-01-2011</c:v>
                </c:pt>
                <c:pt idx="4">
                  <c:v>05-01-2011</c:v>
                </c:pt>
                <c:pt idx="5">
                  <c:v>06-01-2011</c:v>
                </c:pt>
                <c:pt idx="6">
                  <c:v>07-01-2011</c:v>
                </c:pt>
                <c:pt idx="7">
                  <c:v>08-01-2011</c:v>
                </c:pt>
                <c:pt idx="8">
                  <c:v>09-01-2011</c:v>
                </c:pt>
                <c:pt idx="9">
                  <c:v>10-01-2011</c:v>
                </c:pt>
                <c:pt idx="10">
                  <c:v>11-01-2011</c:v>
                </c:pt>
                <c:pt idx="11">
                  <c:v>12-01-2011</c:v>
                </c:pt>
                <c:pt idx="12">
                  <c:v>13-01-2011</c:v>
                </c:pt>
                <c:pt idx="13">
                  <c:v>14-01-2011</c:v>
                </c:pt>
                <c:pt idx="14">
                  <c:v>15-01-2011</c:v>
                </c:pt>
                <c:pt idx="15">
                  <c:v>16-01-2011</c:v>
                </c:pt>
                <c:pt idx="16">
                  <c:v>17-01-2011</c:v>
                </c:pt>
                <c:pt idx="17">
                  <c:v>18-01-2011</c:v>
                </c:pt>
                <c:pt idx="18">
                  <c:v>19-01-2011</c:v>
                </c:pt>
                <c:pt idx="19">
                  <c:v>20-01-2011</c:v>
                </c:pt>
                <c:pt idx="20">
                  <c:v>21-01-2011</c:v>
                </c:pt>
                <c:pt idx="21">
                  <c:v>22-01-2011</c:v>
                </c:pt>
                <c:pt idx="22">
                  <c:v>23-01-2011</c:v>
                </c:pt>
                <c:pt idx="23">
                  <c:v>24-01-2011</c:v>
                </c:pt>
                <c:pt idx="24">
                  <c:v>25-01-2011</c:v>
                </c:pt>
                <c:pt idx="25">
                  <c:v>26-01-2011</c:v>
                </c:pt>
                <c:pt idx="26">
                  <c:v>27-01-2011</c:v>
                </c:pt>
                <c:pt idx="27">
                  <c:v>28-01-2011</c:v>
                </c:pt>
                <c:pt idx="28">
                  <c:v>29-01-2011</c:v>
                </c:pt>
                <c:pt idx="29">
                  <c:v>30-01-2011</c:v>
                </c:pt>
                <c:pt idx="30">
                  <c:v>31-01-2011</c:v>
                </c:pt>
                <c:pt idx="31">
                  <c:v>01-02-2011</c:v>
                </c:pt>
                <c:pt idx="32">
                  <c:v>02-02-2011</c:v>
                </c:pt>
                <c:pt idx="33">
                  <c:v>03-02-2011</c:v>
                </c:pt>
                <c:pt idx="34">
                  <c:v>04-02-2011</c:v>
                </c:pt>
                <c:pt idx="35">
                  <c:v>05-02-2011</c:v>
                </c:pt>
                <c:pt idx="36">
                  <c:v>06-02-2011</c:v>
                </c:pt>
                <c:pt idx="37">
                  <c:v>07-02-2011</c:v>
                </c:pt>
                <c:pt idx="38">
                  <c:v>08-02-2011</c:v>
                </c:pt>
                <c:pt idx="39">
                  <c:v>09-02-2011</c:v>
                </c:pt>
                <c:pt idx="40">
                  <c:v>10-02-2011</c:v>
                </c:pt>
                <c:pt idx="41">
                  <c:v>11-02-2011</c:v>
                </c:pt>
                <c:pt idx="42">
                  <c:v>12-02-2011</c:v>
                </c:pt>
                <c:pt idx="43">
                  <c:v>13-02-2011</c:v>
                </c:pt>
                <c:pt idx="44">
                  <c:v>14-02-2011</c:v>
                </c:pt>
              </c:strCache>
            </c:strRef>
          </c:cat>
          <c:val>
            <c:numRef>
              <c:f>'Total Ride by Date'!$B$4:$B$49</c:f>
              <c:numCache>
                <c:formatCode>General</c:formatCode>
                <c:ptCount val="45"/>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smooth val="0"/>
          <c:extLst>
            <c:ext xmlns:c16="http://schemas.microsoft.com/office/drawing/2014/chart" uri="{C3380CC4-5D6E-409C-BE32-E72D297353CC}">
              <c16:uniqueId val="{00000000-324C-4FE6-B7C3-581786AC9872}"/>
            </c:ext>
          </c:extLst>
        </c:ser>
        <c:dLbls>
          <c:showLegendKey val="0"/>
          <c:showVal val="0"/>
          <c:showCatName val="0"/>
          <c:showSerName val="0"/>
          <c:showPercent val="0"/>
          <c:showBubbleSize val="0"/>
        </c:dLbls>
        <c:marker val="1"/>
        <c:smooth val="0"/>
        <c:axId val="150670576"/>
        <c:axId val="1519891904"/>
      </c:lineChart>
      <c:catAx>
        <c:axId val="150670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46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19891904"/>
        <c:crosses val="autoZero"/>
        <c:auto val="1"/>
        <c:lblAlgn val="ctr"/>
        <c:lblOffset val="100"/>
        <c:noMultiLvlLbl val="0"/>
      </c:catAx>
      <c:valAx>
        <c:axId val="1519891904"/>
        <c:scaling>
          <c:orientation val="minMax"/>
        </c:scaling>
        <c:delete val="0"/>
        <c:axPos val="l"/>
        <c:majorGridlines>
          <c:spPr>
            <a:ln w="9525" cap="flat" cmpd="sng" algn="ctr">
              <a:solidFill>
                <a:schemeClr val="bg2">
                  <a:lumMod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067057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[FinalDataset.xlsm]Casual &amp; Registered by Hum!Casual &amp; Registered by Weather condition</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accent1">
                    <a:lumMod val="75000"/>
                  </a:schemeClr>
                </a:solidFill>
              </a:rPr>
              <a:t>Casual</a:t>
            </a:r>
            <a:r>
              <a:rPr lang="en-IN" b="1" baseline="0">
                <a:solidFill>
                  <a:schemeClr val="accent1">
                    <a:lumMod val="75000"/>
                  </a:schemeClr>
                </a:solidFill>
              </a:rPr>
              <a:t> &amp; Registered by Weather condition</a:t>
            </a:r>
            <a:endParaRPr lang="en-IN" b="1">
              <a:solidFill>
                <a:schemeClr val="accent1">
                  <a:lumMod val="75000"/>
                </a:schemeClr>
              </a:solidFill>
            </a:endParaRPr>
          </a:p>
        </c:rich>
      </c:tx>
      <c:layout>
        <c:manualLayout>
          <c:xMode val="edge"/>
          <c:yMode val="edge"/>
          <c:x val="0.15219444444444444"/>
          <c:y val="1.801801801801801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alpha val="70000"/>
            </a:srgbClr>
          </a:solidFill>
          <a:ln w="63500" cap="rnd">
            <a:solidFill>
              <a:srgbClr val="00B0F0">
                <a:alpha val="70000"/>
              </a:srgb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w="63500" cap="rnd">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777777777777779E-3"/>
          <c:y val="0.13962503255795319"/>
          <c:w val="0.99722222222222223"/>
          <c:h val="0.70227204423874501"/>
        </c:manualLayout>
      </c:layout>
      <c:barChart>
        <c:barDir val="col"/>
        <c:grouping val="clustered"/>
        <c:varyColors val="0"/>
        <c:ser>
          <c:idx val="0"/>
          <c:order val="0"/>
          <c:tx>
            <c:strRef>
              <c:f>'Casual &amp; Registered by Hum'!$B$3</c:f>
              <c:strCache>
                <c:ptCount val="1"/>
                <c:pt idx="0">
                  <c:v>Total Casual</c:v>
                </c:pt>
              </c:strCache>
            </c:strRef>
          </c:tx>
          <c:spPr>
            <a:solidFill>
              <a:srgbClr val="00B0F0">
                <a:alpha val="70000"/>
              </a:srgbClr>
            </a:solidFill>
            <a:ln w="63500" cap="rnd">
              <a:solidFill>
                <a:srgbClr val="00B0F0">
                  <a:alpha val="70000"/>
                </a:srgb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'Casual &amp; Registered by Hum'!$A$4:$A$8</c:f>
              <c:strCache>
                <c:ptCount val="4"/>
                <c:pt idx="0">
                  <c:v>Extreme Snow/Rain</c:v>
                </c:pt>
                <c:pt idx="1">
                  <c:v>Heavy Snow/Rain</c:v>
                </c:pt>
                <c:pt idx="2">
                  <c:v>Light Snow/Rain</c:v>
                </c:pt>
                <c:pt idx="3">
                  <c:v>Mist/Cloudy</c:v>
                </c:pt>
              </c:strCache>
            </c:strRef>
          </c:cat>
          <c:val>
            <c:numRef>
              <c:f>'Casual &amp; Registered by Hum'!$B$4:$B$8</c:f>
              <c:numCache>
                <c:formatCode>General</c:formatCode>
                <c:ptCount val="4"/>
                <c:pt idx="0">
                  <c:v>1</c:v>
                </c:pt>
                <c:pt idx="1">
                  <c:v>171</c:v>
                </c:pt>
                <c:pt idx="2">
                  <c:v>1538</c:v>
                </c:pt>
                <c:pt idx="3">
                  <c:v>3211</c:v>
                </c:pt>
              </c:numCache>
            </c:numRef>
          </c:val>
          <c:extLst>
            <c:ext xmlns:c16="http://schemas.microsoft.com/office/drawing/2014/chart" uri="{C3380CC4-5D6E-409C-BE32-E72D297353CC}">
              <c16:uniqueId val="{00000000-B479-4983-8DF8-891222451EF8}"/>
            </c:ext>
          </c:extLst>
        </c:ser>
        <c:ser>
          <c:idx val="1"/>
          <c:order val="1"/>
          <c:tx>
            <c:strRef>
              <c:f>'Casual &amp; Registered by Hum'!$C$3</c:f>
              <c:strCache>
                <c:ptCount val="1"/>
                <c:pt idx="0">
                  <c:v>Total  Registered</c:v>
                </c:pt>
              </c:strCache>
            </c:strRef>
          </c:tx>
          <c:spPr>
            <a:solidFill>
              <a:srgbClr val="00B0F0"/>
            </a:solidFill>
            <a:ln w="63500" cap="rnd">
              <a:solidFill>
                <a:srgbClr val="00B0F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'Casual &amp; Registered by Hum'!$A$4:$A$8</c:f>
              <c:strCache>
                <c:ptCount val="4"/>
                <c:pt idx="0">
                  <c:v>Extreme Snow/Rain</c:v>
                </c:pt>
                <c:pt idx="1">
                  <c:v>Heavy Snow/Rain</c:v>
                </c:pt>
                <c:pt idx="2">
                  <c:v>Light Snow/Rain</c:v>
                </c:pt>
                <c:pt idx="3">
                  <c:v>Mist/Cloudy</c:v>
                </c:pt>
              </c:strCache>
            </c:strRef>
          </c:cat>
          <c:val>
            <c:numRef>
              <c:f>'Casual &amp; Registered by Hum'!$C$4:$C$8</c:f>
              <c:numCache>
                <c:formatCode>General</c:formatCode>
                <c:ptCount val="4"/>
                <c:pt idx="0">
                  <c:v>35</c:v>
                </c:pt>
                <c:pt idx="1">
                  <c:v>2618</c:v>
                </c:pt>
                <c:pt idx="2">
                  <c:v>16568</c:v>
                </c:pt>
                <c:pt idx="3">
                  <c:v>34162</c:v>
                </c:pt>
              </c:numCache>
            </c:numRef>
          </c:val>
          <c:extLst>
            <c:ext xmlns:c16="http://schemas.microsoft.com/office/drawing/2014/chart" uri="{C3380CC4-5D6E-409C-BE32-E72D297353CC}">
              <c16:uniqueId val="{00000001-B479-4983-8DF8-891222451EF8}"/>
            </c:ext>
          </c:extLst>
        </c:ser>
        <c:dLbls>
          <c:dLblPos val="outEnd"/>
          <c:showLegendKey val="0"/>
          <c:showVal val="1"/>
          <c:showCatName val="0"/>
          <c:showSerName val="0"/>
          <c:showPercent val="0"/>
          <c:showBubbleSize val="0"/>
        </c:dLbls>
        <c:gapWidth val="150"/>
        <c:overlap val="-27"/>
        <c:axId val="1647464288"/>
        <c:axId val="217031664"/>
      </c:barChart>
      <c:catAx>
        <c:axId val="164746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7031664"/>
        <c:crosses val="autoZero"/>
        <c:auto val="1"/>
        <c:lblAlgn val="ctr"/>
        <c:lblOffset val="100"/>
        <c:noMultiLvlLbl val="0"/>
      </c:catAx>
      <c:valAx>
        <c:axId val="217031664"/>
        <c:scaling>
          <c:orientation val="minMax"/>
        </c:scaling>
        <c:delete val="1"/>
        <c:axPos val="l"/>
        <c:numFmt formatCode="General" sourceLinked="1"/>
        <c:majorTickMark val="none"/>
        <c:minorTickMark val="none"/>
        <c:tickLblPos val="nextTo"/>
        <c:crossAx val="1647464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[FinalDataset.xlsm]Casual &amp; Registered by Day Type!Casual &amp; Registered by Day Name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accent1">
                    <a:lumMod val="75000"/>
                  </a:schemeClr>
                </a:solidFill>
              </a:rPr>
              <a:t>Total</a:t>
            </a:r>
            <a:r>
              <a:rPr lang="en-IN" b="1" baseline="0">
                <a:solidFill>
                  <a:schemeClr val="accent1">
                    <a:lumMod val="75000"/>
                  </a:schemeClr>
                </a:solidFill>
              </a:rPr>
              <a:t> Casual &amp; Registered by Day Type</a:t>
            </a:r>
            <a:endParaRPr lang="en-IN" b="1">
              <a:solidFill>
                <a:schemeClr val="accent1">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60325">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1"/>
        <c:spPr>
          <a:solidFill>
            <a:srgbClr val="0070C0"/>
          </a:solidFill>
          <a:ln w="60325">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2"/>
        <c:spPr>
          <a:solidFill>
            <a:schemeClr val="accent1"/>
          </a:solidFill>
          <a:ln w="60325">
            <a:solidFill>
              <a:schemeClr val="lt1"/>
            </a:solidFill>
          </a:ln>
          <a:effectLst/>
        </c:spPr>
        <c:dLbl>
          <c:idx val="0"/>
          <c:layout>
            <c:manualLayout>
              <c:x val="8.3333333333332829E-3"/>
              <c:y val="-0.1342592592592592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3"/>
        <c:spPr>
          <a:solidFill>
            <a:srgbClr val="0070C0"/>
          </a:solidFill>
          <a:ln w="60325">
            <a:solidFill>
              <a:schemeClr val="lt1"/>
            </a:solidFill>
          </a:ln>
          <a:effectLst/>
        </c:spPr>
        <c:dLbl>
          <c:idx val="0"/>
          <c:layout>
            <c:manualLayout>
              <c:x val="-0.25701266081493912"/>
              <c:y val="8.8417329796640146E-3"/>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4"/>
        <c:spPr>
          <a:solidFill>
            <a:schemeClr val="accent1"/>
          </a:solidFill>
          <a:ln w="60325">
            <a:solidFill>
              <a:schemeClr val="lt1"/>
            </a:solidFill>
          </a:ln>
          <a:effectLst/>
        </c:spPr>
        <c:dLbl>
          <c:idx val="0"/>
          <c:layout>
            <c:manualLayout>
              <c:x val="-9.7220034995625544E-3"/>
              <c:y val="0.1342596237970253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1405417760279965"/>
                  <c:h val="0.16645851560221639"/>
                </c:manualLayout>
              </c15:layout>
            </c:ext>
          </c:extLst>
        </c:dLbl>
      </c:pivotFmt>
      <c:pivotFmt>
        <c:idx val="5"/>
        <c:spPr>
          <a:solidFill>
            <a:srgbClr val="0070C0"/>
          </a:solidFill>
          <a:ln w="60325">
            <a:solidFill>
              <a:schemeClr val="lt1"/>
            </a:solidFill>
          </a:ln>
          <a:effectLst/>
        </c:spPr>
        <c:dLbl>
          <c:idx val="0"/>
          <c:layout>
            <c:manualLayout>
              <c:x val="0.15694444444444444"/>
              <c:y val="-6.0185185185185182E-2"/>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1405417760279965"/>
                  <c:h val="0.16645851560221639"/>
                </c:manualLayout>
              </c15:layout>
            </c:ext>
          </c:extLst>
        </c:dLbl>
      </c:pivotFmt>
    </c:pivotFmts>
    <c:plotArea>
      <c:layout/>
      <c:doughnutChart>
        <c:varyColors val="1"/>
        <c:ser>
          <c:idx val="0"/>
          <c:order val="0"/>
          <c:tx>
            <c:strRef>
              <c:f>'Casual &amp; Registered by Day Type'!$B$3</c:f>
              <c:strCache>
                <c:ptCount val="1"/>
                <c:pt idx="0">
                  <c:v>Total Casual</c:v>
                </c:pt>
              </c:strCache>
            </c:strRef>
          </c:tx>
          <c:spPr>
            <a:ln w="60325"/>
          </c:spPr>
          <c:dPt>
            <c:idx val="0"/>
            <c:bubble3D val="0"/>
            <c:spPr>
              <a:solidFill>
                <a:schemeClr val="accent1"/>
              </a:solidFill>
              <a:ln w="60325">
                <a:solidFill>
                  <a:schemeClr val="lt1"/>
                </a:solidFill>
              </a:ln>
              <a:effectLst/>
            </c:spPr>
            <c:extLst>
              <c:ext xmlns:c16="http://schemas.microsoft.com/office/drawing/2014/chart" uri="{C3380CC4-5D6E-409C-BE32-E72D297353CC}">
                <c16:uniqueId val="{00000004-F233-40AE-A567-644C98F95CB1}"/>
              </c:ext>
            </c:extLst>
          </c:dPt>
          <c:dPt>
            <c:idx val="1"/>
            <c:bubble3D val="0"/>
            <c:spPr>
              <a:solidFill>
                <a:schemeClr val="accent2"/>
              </a:solidFill>
              <a:ln w="60325">
                <a:solidFill>
                  <a:schemeClr val="lt1"/>
                </a:solidFill>
              </a:ln>
              <a:effectLst/>
            </c:spPr>
            <c:extLst>
              <c:ext xmlns:c16="http://schemas.microsoft.com/office/drawing/2014/chart" uri="{C3380CC4-5D6E-409C-BE32-E72D297353CC}">
                <c16:uniqueId val="{00000002-F233-40AE-A567-644C98F95CB1}"/>
              </c:ext>
            </c:extLst>
          </c:dPt>
          <c:dLbls>
            <c:dLbl>
              <c:idx val="0"/>
              <c:layout>
                <c:manualLayout>
                  <c:x val="-9.7220034995625544E-3"/>
                  <c:y val="0.13425962379702538"/>
                </c:manualLayout>
              </c:layout>
              <c:showLegendKey val="0"/>
              <c:showVal val="1"/>
              <c:showCatName val="1"/>
              <c:showSerName val="0"/>
              <c:showPercent val="1"/>
              <c:showBubbleSize val="0"/>
              <c:separator>
</c:separator>
              <c:extLst>
                <c:ext xmlns:c15="http://schemas.microsoft.com/office/drawing/2012/chart" uri="{CE6537A1-D6FC-4f65-9D91-7224C49458BB}">
                  <c15:layout>
                    <c:manualLayout>
                      <c:w val="0.1405417760279965"/>
                      <c:h val="0.16645851560221639"/>
                    </c:manualLayout>
                  </c15:layout>
                </c:ext>
                <c:ext xmlns:c16="http://schemas.microsoft.com/office/drawing/2014/chart" uri="{C3380CC4-5D6E-409C-BE32-E72D297353CC}">
                  <c16:uniqueId val="{00000004-F233-40AE-A567-644C98F95CB1}"/>
                </c:ext>
              </c:extLst>
            </c:dLbl>
            <c:dLbl>
              <c:idx val="1"/>
              <c:layout>
                <c:manualLayout>
                  <c:x val="8.3333333333332829E-3"/>
                  <c:y val="-0.13425925925925927"/>
                </c:manualLayout>
              </c:layou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2-F233-40AE-A567-644C98F95CB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'Casual &amp; Registered by Day Type'!$A$4:$A$6</c:f>
              <c:strCache>
                <c:ptCount val="2"/>
                <c:pt idx="0">
                  <c:v>Holiday</c:v>
                </c:pt>
                <c:pt idx="1">
                  <c:v>Working Day</c:v>
                </c:pt>
              </c:strCache>
            </c:strRef>
          </c:cat>
          <c:val>
            <c:numRef>
              <c:f>'Casual &amp; Registered by Day Type'!$B$4:$B$6</c:f>
              <c:numCache>
                <c:formatCode>General</c:formatCode>
                <c:ptCount val="2"/>
                <c:pt idx="0">
                  <c:v>117</c:v>
                </c:pt>
                <c:pt idx="1">
                  <c:v>4804</c:v>
                </c:pt>
              </c:numCache>
            </c:numRef>
          </c:val>
          <c:extLst>
            <c:ext xmlns:c16="http://schemas.microsoft.com/office/drawing/2014/chart" uri="{C3380CC4-5D6E-409C-BE32-E72D297353CC}">
              <c16:uniqueId val="{00000000-F233-40AE-A567-644C98F95CB1}"/>
            </c:ext>
          </c:extLst>
        </c:ser>
        <c:ser>
          <c:idx val="1"/>
          <c:order val="1"/>
          <c:tx>
            <c:strRef>
              <c:f>'Casual &amp; Registered by Day Type'!$C$3</c:f>
              <c:strCache>
                <c:ptCount val="1"/>
                <c:pt idx="0">
                  <c:v>Total Registered</c:v>
                </c:pt>
              </c:strCache>
            </c:strRef>
          </c:tx>
          <c:spPr>
            <a:solidFill>
              <a:srgbClr val="0070C0"/>
            </a:solidFill>
            <a:ln w="60325"/>
          </c:spPr>
          <c:dPt>
            <c:idx val="0"/>
            <c:bubble3D val="0"/>
            <c:spPr>
              <a:solidFill>
                <a:srgbClr val="0070C0"/>
              </a:solidFill>
              <a:ln w="60325">
                <a:solidFill>
                  <a:schemeClr val="lt1"/>
                </a:solidFill>
              </a:ln>
              <a:effectLst/>
            </c:spPr>
            <c:extLst>
              <c:ext xmlns:c16="http://schemas.microsoft.com/office/drawing/2014/chart" uri="{C3380CC4-5D6E-409C-BE32-E72D297353CC}">
                <c16:uniqueId val="{00000005-F233-40AE-A567-644C98F95CB1}"/>
              </c:ext>
            </c:extLst>
          </c:dPt>
          <c:dPt>
            <c:idx val="1"/>
            <c:bubble3D val="0"/>
            <c:spPr>
              <a:solidFill>
                <a:srgbClr val="0070C0"/>
              </a:solidFill>
              <a:ln w="60325">
                <a:solidFill>
                  <a:schemeClr val="lt1"/>
                </a:solidFill>
              </a:ln>
              <a:effectLst/>
            </c:spPr>
            <c:extLst>
              <c:ext xmlns:c16="http://schemas.microsoft.com/office/drawing/2014/chart" uri="{C3380CC4-5D6E-409C-BE32-E72D297353CC}">
                <c16:uniqueId val="{00000003-F233-40AE-A567-644C98F95CB1}"/>
              </c:ext>
            </c:extLst>
          </c:dPt>
          <c:dLbls>
            <c:dLbl>
              <c:idx val="0"/>
              <c:layout>
                <c:manualLayout>
                  <c:x val="0.15694444444444444"/>
                  <c:y val="-6.0185185185185182E-2"/>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15:layout>
                    <c:manualLayout>
                      <c:w val="0.1405417760279965"/>
                      <c:h val="0.16645851560221639"/>
                    </c:manualLayout>
                  </c15:layout>
                </c:ext>
                <c:ext xmlns:c16="http://schemas.microsoft.com/office/drawing/2014/chart" uri="{C3380CC4-5D6E-409C-BE32-E72D297353CC}">
                  <c16:uniqueId val="{00000005-F233-40AE-A567-644C98F95CB1}"/>
                </c:ext>
              </c:extLst>
            </c:dLbl>
            <c:dLbl>
              <c:idx val="1"/>
              <c:layout>
                <c:manualLayout>
                  <c:x val="-0.25701266081493912"/>
                  <c:y val="8.8417329796640146E-3"/>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F233-40AE-A567-644C98F95CB1}"/>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'Casual &amp; Registered by Day Type'!$A$4:$A$6</c:f>
              <c:strCache>
                <c:ptCount val="2"/>
                <c:pt idx="0">
                  <c:v>Holiday</c:v>
                </c:pt>
                <c:pt idx="1">
                  <c:v>Working Day</c:v>
                </c:pt>
              </c:strCache>
            </c:strRef>
          </c:cat>
          <c:val>
            <c:numRef>
              <c:f>'Casual &amp; Registered by Day Type'!$C$4:$C$6</c:f>
              <c:numCache>
                <c:formatCode>General</c:formatCode>
                <c:ptCount val="2"/>
                <c:pt idx="0">
                  <c:v>883</c:v>
                </c:pt>
                <c:pt idx="1">
                  <c:v>52500</c:v>
                </c:pt>
              </c:numCache>
            </c:numRef>
          </c:val>
          <c:extLst>
            <c:ext xmlns:c16="http://schemas.microsoft.com/office/drawing/2014/chart" uri="{C3380CC4-5D6E-409C-BE32-E72D297353CC}">
              <c16:uniqueId val="{00000001-F233-40AE-A567-644C98F95CB1}"/>
            </c:ext>
          </c:extLst>
        </c:ser>
        <c:dLbls>
          <c:showLegendKey val="0"/>
          <c:showVal val="1"/>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[FinalDataset.xlsm]Total Ride by Day Name!Total Ride by Day Name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Total Ride by Day Name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blipFill>
            <a:blip xmlns:r="http://schemas.openxmlformats.org/officeDocument/2006/relationships" r:embed="rId3"/>
            <a:stretch>
              <a:fillRect/>
            </a:stretch>
          </a:blipFill>
          <a:ln>
            <a:noFill/>
          </a:ln>
          <a:effectLst>
            <a:outerShdw blurRad="101600" dist="101600" dir="2700000" algn="tl" rotWithShape="0">
              <a:srgbClr val="00B0F0">
                <a:alpha val="4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blipFill>
            <a:blip xmlns:r="http://schemas.openxmlformats.org/officeDocument/2006/relationships" r:embed="rId3"/>
            <a:stretch>
              <a:fillRect/>
            </a:stretch>
          </a:blipFill>
          <a:ln>
            <a:noFill/>
          </a:ln>
          <a:effectLst>
            <a:outerShdw blurRad="101600" dist="101600" dir="2700000" algn="tl" rotWithShape="0">
              <a:srgbClr val="00B0F0">
                <a:alpha val="40000"/>
              </a:srgbClr>
            </a:outerShdw>
          </a:effectLst>
        </c:spPr>
      </c:pivotFmt>
    </c:pivotFmts>
    <c:plotArea>
      <c:layout>
        <c:manualLayout>
          <c:layoutTarget val="inner"/>
          <c:xMode val="edge"/>
          <c:yMode val="edge"/>
          <c:x val="0.24279806917699645"/>
          <c:y val="0.10689814814814817"/>
          <c:w val="0.75720193082300358"/>
          <c:h val="0.89310185185185187"/>
        </c:manualLayout>
      </c:layout>
      <c:barChart>
        <c:barDir val="bar"/>
        <c:grouping val="clustered"/>
        <c:varyColors val="0"/>
        <c:ser>
          <c:idx val="0"/>
          <c:order val="0"/>
          <c:tx>
            <c:strRef>
              <c:f>'Total Ride by Day Name'!$B$3</c:f>
              <c:strCache>
                <c:ptCount val="1"/>
                <c:pt idx="0">
                  <c:v>Total</c:v>
                </c:pt>
              </c:strCache>
            </c:strRef>
          </c:tx>
          <c:spPr>
            <a:blipFill>
              <a:blip xmlns:r="http://schemas.openxmlformats.org/officeDocument/2006/relationships" r:embed="rId3"/>
              <a:stretch>
                <a:fillRect/>
              </a:stretch>
            </a:blipFill>
            <a:ln>
              <a:noFill/>
            </a:ln>
            <a:effectLst>
              <a:outerShdw blurRad="101600" dist="101600" dir="2700000" algn="tl" rotWithShape="0">
                <a:srgbClr val="00B0F0">
                  <a:alpha val="40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Ride by Day Name'!$A$4:$A$11</c:f>
              <c:strCache>
                <c:ptCount val="7"/>
                <c:pt idx="0">
                  <c:v>Sunday</c:v>
                </c:pt>
                <c:pt idx="1">
                  <c:v>Monday</c:v>
                </c:pt>
                <c:pt idx="2">
                  <c:v>Tuesday</c:v>
                </c:pt>
                <c:pt idx="3">
                  <c:v>Wednesday</c:v>
                </c:pt>
                <c:pt idx="4">
                  <c:v>Thursday</c:v>
                </c:pt>
                <c:pt idx="5">
                  <c:v>Friday</c:v>
                </c:pt>
                <c:pt idx="6">
                  <c:v>Saturday</c:v>
                </c:pt>
              </c:strCache>
            </c:strRef>
          </c:cat>
          <c:val>
            <c:numRef>
              <c:f>'Total Ride by Day Name'!$B$4:$B$11</c:f>
              <c:numCache>
                <c:formatCode>General</c:formatCode>
                <c:ptCount val="7"/>
                <c:pt idx="0">
                  <c:v>8121</c:v>
                </c:pt>
                <c:pt idx="1">
                  <c:v>8450</c:v>
                </c:pt>
                <c:pt idx="2">
                  <c:v>8383</c:v>
                </c:pt>
                <c:pt idx="3">
                  <c:v>8049</c:v>
                </c:pt>
                <c:pt idx="4">
                  <c:v>8458</c:v>
                </c:pt>
                <c:pt idx="5">
                  <c:v>9095</c:v>
                </c:pt>
                <c:pt idx="6">
                  <c:v>7748</c:v>
                </c:pt>
              </c:numCache>
            </c:numRef>
          </c:val>
          <c:extLst>
            <c:ext xmlns:c16="http://schemas.microsoft.com/office/drawing/2014/chart" uri="{C3380CC4-5D6E-409C-BE32-E72D297353CC}">
              <c16:uniqueId val="{00000000-F262-4482-A2E8-B15BCC83927F}"/>
            </c:ext>
          </c:extLst>
        </c:ser>
        <c:dLbls>
          <c:dLblPos val="outEnd"/>
          <c:showLegendKey val="0"/>
          <c:showVal val="1"/>
          <c:showCatName val="0"/>
          <c:showSerName val="0"/>
          <c:showPercent val="0"/>
          <c:showBubbleSize val="0"/>
        </c:dLbls>
        <c:gapWidth val="50"/>
        <c:axId val="223055904"/>
        <c:axId val="1679748992"/>
      </c:barChart>
      <c:catAx>
        <c:axId val="22305590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79748992"/>
        <c:crosses val="autoZero"/>
        <c:auto val="1"/>
        <c:lblAlgn val="ctr"/>
        <c:lblOffset val="100"/>
        <c:noMultiLvlLbl val="0"/>
      </c:catAx>
      <c:valAx>
        <c:axId val="1679748992"/>
        <c:scaling>
          <c:orientation val="minMax"/>
        </c:scaling>
        <c:delete val="1"/>
        <c:axPos val="t"/>
        <c:numFmt formatCode="General" sourceLinked="1"/>
        <c:majorTickMark val="none"/>
        <c:minorTickMark val="none"/>
        <c:tickLblPos val="nextTo"/>
        <c:crossAx val="223055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[FinalDataset.xlsm]User Id by Category of Day!User Id by Category of Day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Count</a:t>
            </a:r>
            <a:r>
              <a:rPr lang="en-US" b="1" baseline="0">
                <a:solidFill>
                  <a:schemeClr val="accent1">
                    <a:lumMod val="75000"/>
                  </a:schemeClr>
                </a:solidFill>
              </a:rPr>
              <a:t> User Id by Category of Day</a:t>
            </a:r>
            <a:endParaRPr lang="en-US" b="1">
              <a:solidFill>
                <a:schemeClr val="accent1">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5.7861307356343317E-2"/>
              <c:y val="0.16035393303109838"/>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0"/>
              <c:y val="8.2071104748270104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7.2859025032938077E-2"/>
              <c:y val="-0.13257535989819458"/>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Lbl>
          <c:idx val="0"/>
          <c:layout>
            <c:manualLayout>
              <c:x val="-6.587615283267457E-3"/>
              <c:y val="0.10101010101010111"/>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2.7777777777777779E-3"/>
          <c:y val="0.16245370370370371"/>
          <c:w val="0.99722222222222223"/>
          <c:h val="0.83754629629629629"/>
        </c:manualLayout>
      </c:layout>
      <c:lineChart>
        <c:grouping val="standard"/>
        <c:varyColors val="0"/>
        <c:ser>
          <c:idx val="0"/>
          <c:order val="0"/>
          <c:tx>
            <c:strRef>
              <c:f>'User Id by Category of Day'!$B$3</c:f>
              <c:strCache>
                <c:ptCount val="1"/>
                <c:pt idx="0">
                  <c:v>Total</c:v>
                </c:pt>
              </c:strCache>
            </c:strRef>
          </c:tx>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dPt>
            <c:idx val="0"/>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bubble3D val="0"/>
            <c:extLst>
              <c:ext xmlns:c16="http://schemas.microsoft.com/office/drawing/2014/chart" uri="{C3380CC4-5D6E-409C-BE32-E72D297353CC}">
                <c16:uniqueId val="{00000003-7065-47A9-9F95-65FE447FF756}"/>
              </c:ext>
            </c:extLst>
          </c:dPt>
          <c:dPt>
            <c:idx val="1"/>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bubble3D val="0"/>
            <c:extLst>
              <c:ext xmlns:c16="http://schemas.microsoft.com/office/drawing/2014/chart" uri="{C3380CC4-5D6E-409C-BE32-E72D297353CC}">
                <c16:uniqueId val="{00000004-7065-47A9-9F95-65FE447FF756}"/>
              </c:ext>
            </c:extLst>
          </c:dPt>
          <c:dPt>
            <c:idx val="2"/>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bubble3D val="0"/>
            <c:extLst>
              <c:ext xmlns:c16="http://schemas.microsoft.com/office/drawing/2014/chart" uri="{C3380CC4-5D6E-409C-BE32-E72D297353CC}">
                <c16:uniqueId val="{00000001-7065-47A9-9F95-65FE447FF756}"/>
              </c:ext>
            </c:extLst>
          </c:dPt>
          <c:dPt>
            <c:idx val="3"/>
            <c:marker>
              <c:symbol val="circle"/>
              <c:size val="7"/>
              <c:spPr>
                <a:solidFill>
                  <a:schemeClr val="accent1"/>
                </a:solidFill>
                <a:ln w="9525">
                  <a:solidFill>
                    <a:schemeClr val="accent1"/>
                  </a:solidFill>
                </a:ln>
                <a:effectLst>
                  <a:outerShdw blurRad="101600" dist="101600" dir="2700000" algn="tl" rotWithShape="0">
                    <a:srgbClr val="00B0F0">
                      <a:alpha val="40000"/>
                    </a:srgbClr>
                  </a:outerShdw>
                </a:effectLst>
              </c:spPr>
            </c:marker>
            <c:bubble3D val="0"/>
            <c:extLst>
              <c:ext xmlns:c16="http://schemas.microsoft.com/office/drawing/2014/chart" uri="{C3380CC4-5D6E-409C-BE32-E72D297353CC}">
                <c16:uniqueId val="{00000002-7065-47A9-9F95-65FE447FF756}"/>
              </c:ext>
            </c:extLst>
          </c:dPt>
          <c:dLbls>
            <c:dLbl>
              <c:idx val="0"/>
              <c:layout>
                <c:manualLayout>
                  <c:x val="-5.7861307356343317E-2"/>
                  <c:y val="0.16035393303109838"/>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7065-47A9-9F95-65FE447FF756}"/>
                </c:ext>
              </c:extLst>
            </c:dLbl>
            <c:dLbl>
              <c:idx val="1"/>
              <c:layout>
                <c:manualLayout>
                  <c:x val="-7.2859025032938077E-2"/>
                  <c:y val="-0.13257535989819458"/>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7065-47A9-9F95-65FE447FF756}"/>
                </c:ext>
              </c:extLst>
            </c:dLbl>
            <c:dLbl>
              <c:idx val="2"/>
              <c:layout>
                <c:manualLayout>
                  <c:x val="-6.587615283267457E-3"/>
                  <c:y val="0.10101010101010111"/>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7065-47A9-9F95-65FE447FF756}"/>
                </c:ext>
              </c:extLst>
            </c:dLbl>
            <c:dLbl>
              <c:idx val="3"/>
              <c:layout>
                <c:manualLayout>
                  <c:x val="0"/>
                  <c:y val="8.2071104748270104E-2"/>
                </c:manualLayout>
              </c:layout>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7065-47A9-9F95-65FE447FF756}"/>
                </c:ext>
              </c:extLst>
            </c:dLbl>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'User Id by Category of Day'!$A$4:$A$8</c:f>
              <c:strCache>
                <c:ptCount val="4"/>
                <c:pt idx="0">
                  <c:v>Morning</c:v>
                </c:pt>
                <c:pt idx="1">
                  <c:v>Afternoon</c:v>
                </c:pt>
                <c:pt idx="2">
                  <c:v>Evening</c:v>
                </c:pt>
                <c:pt idx="3">
                  <c:v>Night</c:v>
                </c:pt>
              </c:strCache>
            </c:strRef>
          </c:cat>
          <c:val>
            <c:numRef>
              <c:f>'User Id by Category of Day'!$B$4:$B$8</c:f>
              <c:numCache>
                <c:formatCode>General</c:formatCode>
                <c:ptCount val="4"/>
                <c:pt idx="0">
                  <c:v>292</c:v>
                </c:pt>
                <c:pt idx="1">
                  <c:v>216</c:v>
                </c:pt>
                <c:pt idx="2">
                  <c:v>173</c:v>
                </c:pt>
                <c:pt idx="3">
                  <c:v>319</c:v>
                </c:pt>
              </c:numCache>
            </c:numRef>
          </c:val>
          <c:smooth val="1"/>
          <c:extLst>
            <c:ext xmlns:c16="http://schemas.microsoft.com/office/drawing/2014/chart" uri="{C3380CC4-5D6E-409C-BE32-E72D297353CC}">
              <c16:uniqueId val="{00000000-7065-47A9-9F95-65FE447FF756}"/>
            </c:ext>
          </c:extLst>
        </c:ser>
        <c:dLbls>
          <c:showLegendKey val="0"/>
          <c:showVal val="0"/>
          <c:showCatName val="0"/>
          <c:showSerName val="0"/>
          <c:showPercent val="0"/>
          <c:showBubbleSize val="0"/>
        </c:dLbls>
        <c:marker val="1"/>
        <c:smooth val="0"/>
        <c:axId val="227591776"/>
        <c:axId val="10609488"/>
      </c:lineChart>
      <c:catAx>
        <c:axId val="227591776"/>
        <c:scaling>
          <c:orientation val="minMax"/>
        </c:scaling>
        <c:delete val="1"/>
        <c:axPos val="b"/>
        <c:numFmt formatCode="General" sourceLinked="1"/>
        <c:majorTickMark val="none"/>
        <c:minorTickMark val="none"/>
        <c:tickLblPos val="nextTo"/>
        <c:crossAx val="10609488"/>
        <c:crosses val="autoZero"/>
        <c:auto val="1"/>
        <c:lblAlgn val="ctr"/>
        <c:lblOffset val="100"/>
        <c:noMultiLvlLbl val="0"/>
      </c:catAx>
      <c:valAx>
        <c:axId val="10609488"/>
        <c:scaling>
          <c:orientation val="minMax"/>
        </c:scaling>
        <c:delete val="1"/>
        <c:axPos val="l"/>
        <c:numFmt formatCode="General" sourceLinked="1"/>
        <c:majorTickMark val="none"/>
        <c:minorTickMark val="none"/>
        <c:tickLblPos val="nextTo"/>
        <c:crossAx val="227591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[FinalDataset.xlsm]Max Temp by Category of Day!Max Temp by Category of Day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Max</a:t>
            </a:r>
            <a:r>
              <a:rPr lang="en-US" b="1" baseline="0">
                <a:solidFill>
                  <a:schemeClr val="accent1">
                    <a:lumMod val="75000"/>
                  </a:schemeClr>
                </a:solidFill>
              </a:rPr>
              <a:t> Temp by Category of Day</a:t>
            </a:r>
            <a:endParaRPr lang="en-US" b="1">
              <a:solidFill>
                <a:schemeClr val="accent1">
                  <a:lumMod val="75000"/>
                </a:schemeClr>
              </a:solidFill>
            </a:endParaRPr>
          </a:p>
        </c:rich>
      </c:tx>
      <c:layout>
        <c:manualLayout>
          <c:xMode val="edge"/>
          <c:yMode val="edge"/>
          <c:x val="0.2517985564304461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5">
                <a:lumMod val="50000"/>
              </a:schemeClr>
            </a:solidFill>
            <a:ln w="9525">
              <a:solidFill>
                <a:schemeClr val="accent5">
                  <a:lumMod val="50000"/>
                </a:schemeClr>
              </a:solidFill>
            </a:ln>
            <a:effectLst>
              <a:outerShdw blurRad="101600" dist="101600" dir="2700000" algn="tl" rotWithShape="0">
                <a:srgbClr val="00B0F0">
                  <a:alpha val="40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777777777777779E-3"/>
          <c:y val="0.15370370370370368"/>
          <c:w val="0.99722222222222223"/>
          <c:h val="0.8301932367149758"/>
        </c:manualLayout>
      </c:layout>
      <c:lineChart>
        <c:grouping val="standard"/>
        <c:varyColors val="0"/>
        <c:ser>
          <c:idx val="0"/>
          <c:order val="0"/>
          <c:tx>
            <c:strRef>
              <c:f>'Max Temp by Category of Day'!$B$3</c:f>
              <c:strCache>
                <c:ptCount val="1"/>
                <c:pt idx="0">
                  <c:v>Total</c:v>
                </c:pt>
              </c:strCache>
            </c:strRef>
          </c:tx>
          <c:spPr>
            <a:ln w="28575" cap="rnd">
              <a:solidFill>
                <a:srgbClr val="00B0F0"/>
              </a:solidFill>
              <a:round/>
            </a:ln>
            <a:effectLst>
              <a:outerShdw blurRad="101600" dist="101600" dir="2700000" algn="tl" rotWithShape="0">
                <a:srgbClr val="00B0F0">
                  <a:alpha val="40000"/>
                </a:srgbClr>
              </a:outerShdw>
            </a:effectLst>
          </c:spPr>
          <c:marker>
            <c:symbol val="circle"/>
            <c:size val="7"/>
            <c:spPr>
              <a:solidFill>
                <a:schemeClr val="accent5">
                  <a:lumMod val="50000"/>
                </a:schemeClr>
              </a:solidFill>
              <a:ln w="9525">
                <a:solidFill>
                  <a:schemeClr val="accent5">
                    <a:lumMod val="50000"/>
                  </a:schemeClr>
                </a:solidFill>
              </a:ln>
              <a:effectLst>
                <a:outerShdw blurRad="101600" dist="101600" dir="2700000" algn="tl" rotWithShape="0">
                  <a:srgbClr val="00B0F0">
                    <a:alpha val="40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'Max Temp by Category of Day'!$A$4:$A$8</c:f>
              <c:strCache>
                <c:ptCount val="4"/>
                <c:pt idx="0">
                  <c:v>Morning</c:v>
                </c:pt>
                <c:pt idx="1">
                  <c:v>Afternoon</c:v>
                </c:pt>
                <c:pt idx="2">
                  <c:v>Evening</c:v>
                </c:pt>
                <c:pt idx="3">
                  <c:v>Night</c:v>
                </c:pt>
              </c:strCache>
            </c:strRef>
          </c:cat>
          <c:val>
            <c:numRef>
              <c:f>'Max Temp by Category of Day'!$B$4:$B$8</c:f>
              <c:numCache>
                <c:formatCode>General</c:formatCode>
                <c:ptCount val="4"/>
                <c:pt idx="0">
                  <c:v>0.42</c:v>
                </c:pt>
                <c:pt idx="1">
                  <c:v>0.46</c:v>
                </c:pt>
                <c:pt idx="2">
                  <c:v>0.44</c:v>
                </c:pt>
                <c:pt idx="3">
                  <c:v>0.46</c:v>
                </c:pt>
              </c:numCache>
            </c:numRef>
          </c:val>
          <c:smooth val="1"/>
          <c:extLst>
            <c:ext xmlns:c16="http://schemas.microsoft.com/office/drawing/2014/chart" uri="{C3380CC4-5D6E-409C-BE32-E72D297353CC}">
              <c16:uniqueId val="{00000000-BAA9-420B-AFAA-94475FBBCF86}"/>
            </c:ext>
          </c:extLst>
        </c:ser>
        <c:dLbls>
          <c:showLegendKey val="0"/>
          <c:showVal val="0"/>
          <c:showCatName val="0"/>
          <c:showSerName val="0"/>
          <c:showPercent val="0"/>
          <c:showBubbleSize val="0"/>
        </c:dLbls>
        <c:marker val="1"/>
        <c:smooth val="0"/>
        <c:axId val="10413520"/>
        <c:axId val="2052163456"/>
      </c:lineChart>
      <c:catAx>
        <c:axId val="10413520"/>
        <c:scaling>
          <c:orientation val="minMax"/>
        </c:scaling>
        <c:delete val="1"/>
        <c:axPos val="b"/>
        <c:numFmt formatCode="General" sourceLinked="1"/>
        <c:majorTickMark val="none"/>
        <c:minorTickMark val="none"/>
        <c:tickLblPos val="nextTo"/>
        <c:crossAx val="2052163456"/>
        <c:crosses val="autoZero"/>
        <c:auto val="1"/>
        <c:lblAlgn val="ctr"/>
        <c:lblOffset val="100"/>
        <c:noMultiLvlLbl val="0"/>
      </c:catAx>
      <c:valAx>
        <c:axId val="2052163456"/>
        <c:scaling>
          <c:orientation val="minMax"/>
        </c:scaling>
        <c:delete val="1"/>
        <c:axPos val="l"/>
        <c:numFmt formatCode="General" sourceLinked="1"/>
        <c:majorTickMark val="none"/>
        <c:minorTickMark val="none"/>
        <c:tickLblPos val="nextTo"/>
        <c:crossAx val="10413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6.xml"/><Relationship Id="rId3" Type="http://schemas.openxmlformats.org/officeDocument/2006/relationships/image" Target="../media/image2.jpg"/><Relationship Id="rId7" Type="http://schemas.openxmlformats.org/officeDocument/2006/relationships/image" Target="../media/image6.png"/><Relationship Id="rId12" Type="http://schemas.openxmlformats.org/officeDocument/2006/relationships/chart" Target="../charts/chart5.xml"/><Relationship Id="rId2" Type="http://schemas.openxmlformats.org/officeDocument/2006/relationships/hyperlink" Target="https://pxhere.com/en/photo/1168194" TargetMode="External"/><Relationship Id="rId1" Type="http://schemas.openxmlformats.org/officeDocument/2006/relationships/image" Target="../media/image1.jpeg"/><Relationship Id="rId6" Type="http://schemas.openxmlformats.org/officeDocument/2006/relationships/image" Target="../media/image5.png"/><Relationship Id="rId11" Type="http://schemas.openxmlformats.org/officeDocument/2006/relationships/chart" Target="../charts/chart4.xml"/><Relationship Id="rId5" Type="http://schemas.openxmlformats.org/officeDocument/2006/relationships/image" Target="../media/image4.jpeg"/><Relationship Id="rId15" Type="http://schemas.openxmlformats.org/officeDocument/2006/relationships/chart" Target="../charts/chart8.xml"/><Relationship Id="rId10" Type="http://schemas.openxmlformats.org/officeDocument/2006/relationships/chart" Target="../charts/chart3.xml"/><Relationship Id="rId4" Type="http://schemas.openxmlformats.org/officeDocument/2006/relationships/image" Target="../media/image3.jpeg"/><Relationship Id="rId9" Type="http://schemas.openxmlformats.org/officeDocument/2006/relationships/chart" Target="../charts/chart2.xml"/><Relationship Id="rId14" Type="http://schemas.openxmlformats.org/officeDocument/2006/relationships/chart" Target="../charts/chart7.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9</xdr:col>
      <xdr:colOff>548640</xdr:colOff>
      <xdr:row>8</xdr:row>
      <xdr:rowOff>144780</xdr:rowOff>
    </xdr:from>
    <xdr:to>
      <xdr:col>18</xdr:col>
      <xdr:colOff>106680</xdr:colOff>
      <xdr:row>18</xdr:row>
      <xdr:rowOff>7980</xdr:rowOff>
    </xdr:to>
    <xdr:sp macro="" textlink="">
      <xdr:nvSpPr>
        <xdr:cNvPr id="83" name="Rectangle 82">
          <a:extLst>
            <a:ext uri="{FF2B5EF4-FFF2-40B4-BE49-F238E27FC236}">
              <a16:creationId xmlns:a16="http://schemas.microsoft.com/office/drawing/2014/main" id="{B7CF6B6C-6D80-471C-B178-5F0A3371FC77}"/>
            </a:ext>
          </a:extLst>
        </xdr:cNvPr>
        <xdr:cNvSpPr/>
      </xdr:nvSpPr>
      <xdr:spPr>
        <a:xfrm>
          <a:off x="6005543" y="1586845"/>
          <a:ext cx="5014943" cy="166578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228600</xdr:colOff>
      <xdr:row>3</xdr:row>
      <xdr:rowOff>167640</xdr:rowOff>
    </xdr:from>
    <xdr:to>
      <xdr:col>18</xdr:col>
      <xdr:colOff>199800</xdr:colOff>
      <xdr:row>8</xdr:row>
      <xdr:rowOff>45240</xdr:rowOff>
    </xdr:to>
    <xdr:grpSp>
      <xdr:nvGrpSpPr>
        <xdr:cNvPr id="5" name="Group 4">
          <a:extLst>
            <a:ext uri="{FF2B5EF4-FFF2-40B4-BE49-F238E27FC236}">
              <a16:creationId xmlns:a16="http://schemas.microsoft.com/office/drawing/2014/main" id="{DFE151BA-470D-4754-92CF-AD281C8E9401}"/>
            </a:ext>
          </a:extLst>
        </xdr:cNvPr>
        <xdr:cNvGrpSpPr/>
      </xdr:nvGrpSpPr>
      <xdr:grpSpPr>
        <a:xfrm>
          <a:off x="9372600" y="716280"/>
          <a:ext cx="1800000" cy="792000"/>
          <a:chOff x="8163037" y="724909"/>
          <a:chExt cx="1773443" cy="792000"/>
        </a:xfrm>
      </xdr:grpSpPr>
      <xdr:grpSp>
        <xdr:nvGrpSpPr>
          <xdr:cNvPr id="6" name="Group 5">
            <a:extLst>
              <a:ext uri="{FF2B5EF4-FFF2-40B4-BE49-F238E27FC236}">
                <a16:creationId xmlns:a16="http://schemas.microsoft.com/office/drawing/2014/main" id="{2F01B026-BAF1-4AF8-9C70-1F15DCB5F45C}"/>
              </a:ext>
            </a:extLst>
          </xdr:cNvPr>
          <xdr:cNvGrpSpPr/>
        </xdr:nvGrpSpPr>
        <xdr:grpSpPr>
          <a:xfrm>
            <a:off x="8163037" y="724909"/>
            <a:ext cx="1728000" cy="792000"/>
            <a:chOff x="8388436" y="926077"/>
            <a:chExt cx="2358000" cy="1234725"/>
          </a:xfrm>
        </xdr:grpSpPr>
        <xdr:sp macro="" textlink="">
          <xdr:nvSpPr>
            <xdr:cNvPr id="12" name="Rectangle: Rounded Corners 6">
              <a:extLst>
                <a:ext uri="{FF2B5EF4-FFF2-40B4-BE49-F238E27FC236}">
                  <a16:creationId xmlns:a16="http://schemas.microsoft.com/office/drawing/2014/main" id="{0988E8EA-D8EC-42CD-9938-7B73D6E4CA50}"/>
                </a:ext>
              </a:extLst>
            </xdr:cNvPr>
            <xdr:cNvSpPr/>
          </xdr:nvSpPr>
          <xdr:spPr>
            <a:xfrm rot="5400000">
              <a:off x="8953636" y="368002"/>
              <a:ext cx="1227600" cy="2358000"/>
            </a:xfrm>
            <a:prstGeom prst="round2SameRect">
              <a:avLst/>
            </a:prstGeom>
            <a:solidFill>
              <a:schemeClr val="accent1">
                <a:lumMod val="20000"/>
                <a:lumOff val="80000"/>
                <a:alpha val="5000"/>
              </a:schemeClr>
            </a:solidFill>
            <a:ln w="22225" cap="rnd">
              <a:solidFill>
                <a:schemeClr val="bg1"/>
              </a:solidFill>
              <a:round/>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 name="Flowchart: Document 12" descr="Track cycling team racing in velodrome">
              <a:extLst>
                <a:ext uri="{FF2B5EF4-FFF2-40B4-BE49-F238E27FC236}">
                  <a16:creationId xmlns:a16="http://schemas.microsoft.com/office/drawing/2014/main" id="{0D7AF3CB-8FAF-4AB7-AFB1-21260D73A0FF}"/>
                </a:ext>
                <a:ext uri="{C183D7F6-B498-43B3-948B-1728B52AA6E4}">
                  <adec:decorative xmlns:adec="http://schemas.microsoft.com/office/drawing/2017/decorative" val="1"/>
                </a:ext>
              </a:extLst>
            </xdr:cNvPr>
            <xdr:cNvSpPr/>
          </xdr:nvSpPr>
          <xdr:spPr>
            <a:xfrm rot="16200000">
              <a:off x="8154350" y="1167003"/>
              <a:ext cx="1226445" cy="744594"/>
            </a:xfrm>
            <a:prstGeom prst="flowChartDocument">
              <a:avLst/>
            </a:prstGeom>
            <a:blipFill dpi="0" rotWithShape="1">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rcRect/>
              <a:stretch>
                <a:fillRect/>
              </a:stretch>
            </a:blipFill>
            <a:ln>
              <a:noFill/>
            </a:ln>
            <a:effectLst>
              <a:outerShdw blurRad="88900" dist="25400" dir="54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endParaRPr>
            </a:p>
          </xdr:txBody>
        </xdr:sp>
      </xdr:grpSp>
      <xdr:sp macro="" textlink="'Registered &amp; Casual by Date'!I6">
        <xdr:nvSpPr>
          <xdr:cNvPr id="7" name="Rectangle 6">
            <a:extLst>
              <a:ext uri="{FF2B5EF4-FFF2-40B4-BE49-F238E27FC236}">
                <a16:creationId xmlns:a16="http://schemas.microsoft.com/office/drawing/2014/main" id="{1CBF61F5-1062-4BF6-892C-A2956F114739}"/>
              </a:ext>
            </a:extLst>
          </xdr:cNvPr>
          <xdr:cNvSpPr/>
        </xdr:nvSpPr>
        <xdr:spPr>
          <a:xfrm>
            <a:off x="8671560" y="845820"/>
            <a:ext cx="868680" cy="3276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27446EF-513A-4D9C-8F6B-141079D7021A}" type="TxLink">
              <a:rPr lang="en-US" sz="1800" b="1" i="0" u="none" strike="noStrike">
                <a:solidFill>
                  <a:schemeClr val="accent1">
                    <a:lumMod val="75000"/>
                  </a:schemeClr>
                </a:solidFill>
                <a:latin typeface="Calibri"/>
                <a:ea typeface="Calibri"/>
                <a:cs typeface="Calibri"/>
              </a:rPr>
              <a:pPr algn="l"/>
              <a:t>58.30K</a:t>
            </a:fld>
            <a:endParaRPr lang="en-IN" sz="3200" b="1">
              <a:solidFill>
                <a:schemeClr val="accent1">
                  <a:lumMod val="75000"/>
                </a:schemeClr>
              </a:solidFill>
            </a:endParaRPr>
          </a:p>
        </xdr:txBody>
      </xdr:sp>
      <xdr:sp macro="" textlink="">
        <xdr:nvSpPr>
          <xdr:cNvPr id="8" name="Rectangle 7">
            <a:extLst>
              <a:ext uri="{FF2B5EF4-FFF2-40B4-BE49-F238E27FC236}">
                <a16:creationId xmlns:a16="http://schemas.microsoft.com/office/drawing/2014/main" id="{7D0CF2BC-FC9E-4E15-B995-00728D2C778C}"/>
              </a:ext>
            </a:extLst>
          </xdr:cNvPr>
          <xdr:cNvSpPr/>
        </xdr:nvSpPr>
        <xdr:spPr>
          <a:xfrm>
            <a:off x="8663940" y="731520"/>
            <a:ext cx="838200" cy="2514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00" b="1">
                <a:solidFill>
                  <a:schemeClr val="tx1">
                    <a:lumMod val="85000"/>
                    <a:lumOff val="15000"/>
                  </a:schemeClr>
                </a:solidFill>
              </a:rPr>
              <a:t>Total Rides</a:t>
            </a:r>
          </a:p>
        </xdr:txBody>
      </xdr:sp>
      <xdr:sp macro="" textlink="">
        <xdr:nvSpPr>
          <xdr:cNvPr id="9" name="Rectangle 8">
            <a:extLst>
              <a:ext uri="{FF2B5EF4-FFF2-40B4-BE49-F238E27FC236}">
                <a16:creationId xmlns:a16="http://schemas.microsoft.com/office/drawing/2014/main" id="{CD52EF1F-B743-4B6F-BD5E-1823B25CC7A3}"/>
              </a:ext>
            </a:extLst>
          </xdr:cNvPr>
          <xdr:cNvSpPr/>
        </xdr:nvSpPr>
        <xdr:spPr>
          <a:xfrm>
            <a:off x="8679180" y="1127760"/>
            <a:ext cx="472440" cy="2209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lumMod val="85000"/>
                    <a:lumOff val="15000"/>
                  </a:schemeClr>
                </a:solidFill>
              </a:rPr>
              <a:t>Today</a:t>
            </a:r>
          </a:p>
        </xdr:txBody>
      </xdr:sp>
      <xdr:sp macro="" textlink="">
        <xdr:nvSpPr>
          <xdr:cNvPr id="10" name="Rectangle 9">
            <a:extLst>
              <a:ext uri="{FF2B5EF4-FFF2-40B4-BE49-F238E27FC236}">
                <a16:creationId xmlns:a16="http://schemas.microsoft.com/office/drawing/2014/main" id="{016B5AF8-7FFD-4DE4-A5EB-B4E2CD8ADFE8}"/>
              </a:ext>
            </a:extLst>
          </xdr:cNvPr>
          <xdr:cNvSpPr/>
        </xdr:nvSpPr>
        <xdr:spPr>
          <a:xfrm>
            <a:off x="9052560" y="1127760"/>
            <a:ext cx="883920" cy="1828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lumMod val="85000"/>
                    <a:lumOff val="15000"/>
                  </a:schemeClr>
                </a:solidFill>
              </a:rPr>
              <a:t>Prev.vs</a:t>
            </a:r>
            <a:r>
              <a:rPr lang="en-IN" sz="800" b="1" baseline="0">
                <a:solidFill>
                  <a:schemeClr val="tx1">
                    <a:lumMod val="85000"/>
                    <a:lumOff val="15000"/>
                  </a:schemeClr>
                </a:solidFill>
              </a:rPr>
              <a:t> growth</a:t>
            </a:r>
            <a:endParaRPr lang="en-IN" sz="800" b="1">
              <a:solidFill>
                <a:schemeClr val="tx1">
                  <a:lumMod val="85000"/>
                  <a:lumOff val="15000"/>
                </a:schemeClr>
              </a:solidFill>
            </a:endParaRPr>
          </a:p>
        </xdr:txBody>
      </xdr:sp>
      <xdr:sp macro="" textlink="'Registered &amp; Casual by Date'!I7">
        <xdr:nvSpPr>
          <xdr:cNvPr id="11" name="Rectangle 10">
            <a:extLst>
              <a:ext uri="{FF2B5EF4-FFF2-40B4-BE49-F238E27FC236}">
                <a16:creationId xmlns:a16="http://schemas.microsoft.com/office/drawing/2014/main" id="{EE5E2783-78DF-446D-B963-E925D8478A1E}"/>
              </a:ext>
            </a:extLst>
          </xdr:cNvPr>
          <xdr:cNvSpPr/>
        </xdr:nvSpPr>
        <xdr:spPr>
          <a:xfrm>
            <a:off x="8679180" y="1249680"/>
            <a:ext cx="510540"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B93CCE2F-882A-474E-8620-A790534965DE}" type="TxLink">
              <a:rPr lang="en-US" sz="1100" b="1" i="0" u="none" strike="noStrike">
                <a:solidFill>
                  <a:schemeClr val="accent1">
                    <a:lumMod val="75000"/>
                  </a:schemeClr>
                </a:solidFill>
                <a:latin typeface="Calibri"/>
                <a:ea typeface="Calibri"/>
                <a:cs typeface="Calibri"/>
              </a:rPr>
              <a:pPr algn="l"/>
              <a:t>151</a:t>
            </a:fld>
            <a:endParaRPr lang="en-IN" sz="1000" b="1">
              <a:solidFill>
                <a:schemeClr val="accent1">
                  <a:lumMod val="75000"/>
                </a:schemeClr>
              </a:solidFill>
            </a:endParaRPr>
          </a:p>
        </xdr:txBody>
      </xdr:sp>
    </xdr:grpSp>
    <xdr:clientData/>
  </xdr:twoCellAnchor>
  <xdr:twoCellAnchor>
    <xdr:from>
      <xdr:col>18</xdr:col>
      <xdr:colOff>213932</xdr:colOff>
      <xdr:row>0</xdr:row>
      <xdr:rowOff>7620</xdr:rowOff>
    </xdr:from>
    <xdr:to>
      <xdr:col>23</xdr:col>
      <xdr:colOff>8193</xdr:colOff>
      <xdr:row>8</xdr:row>
      <xdr:rowOff>53869</xdr:rowOff>
    </xdr:to>
    <xdr:sp macro="" textlink="">
      <xdr:nvSpPr>
        <xdr:cNvPr id="14" name="Rectangle 13" descr="Track cycling team racing in velodrome">
          <a:extLst>
            <a:ext uri="{FF2B5EF4-FFF2-40B4-BE49-F238E27FC236}">
              <a16:creationId xmlns:a16="http://schemas.microsoft.com/office/drawing/2014/main" id="{6F658B17-D276-4ABB-8206-871B0CBCF1BE}"/>
            </a:ext>
          </a:extLst>
        </xdr:cNvPr>
        <xdr:cNvSpPr/>
      </xdr:nvSpPr>
      <xdr:spPr>
        <a:xfrm>
          <a:off x="11127738" y="7620"/>
          <a:ext cx="2825874" cy="1488314"/>
        </a:xfrm>
        <a:prstGeom prst="rect">
          <a:avLst/>
        </a:prstGeom>
        <a:blipFill dpi="0" rotWithShape="1">
          <a:blip xmlns:r="http://schemas.openxmlformats.org/officeDocument/2006/relationships" r:embed="rId4" cstate="print">
            <a:extLst>
              <a:ext uri="{28A0092B-C50C-407E-A947-70E740481C1C}">
                <a14:useLocalDpi xmlns:a14="http://schemas.microsoft.com/office/drawing/2010/main" val="0"/>
              </a:ext>
            </a:extLst>
          </a:blip>
          <a:srcRect/>
          <a:stretch>
            <a:fillRect/>
          </a:stretch>
        </a:blip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213362</xdr:colOff>
      <xdr:row>3</xdr:row>
      <xdr:rowOff>167640</xdr:rowOff>
    </xdr:from>
    <xdr:to>
      <xdr:col>15</xdr:col>
      <xdr:colOff>190502</xdr:colOff>
      <xdr:row>8</xdr:row>
      <xdr:rowOff>45240</xdr:rowOff>
    </xdr:to>
    <xdr:grpSp>
      <xdr:nvGrpSpPr>
        <xdr:cNvPr id="15" name="Group 14">
          <a:extLst>
            <a:ext uri="{FF2B5EF4-FFF2-40B4-BE49-F238E27FC236}">
              <a16:creationId xmlns:a16="http://schemas.microsoft.com/office/drawing/2014/main" id="{B12E81D9-4F94-4086-85A2-06EBD08F51DB}"/>
            </a:ext>
          </a:extLst>
        </xdr:cNvPr>
        <xdr:cNvGrpSpPr/>
      </xdr:nvGrpSpPr>
      <xdr:grpSpPr>
        <a:xfrm>
          <a:off x="7528562" y="716280"/>
          <a:ext cx="1805940" cy="792000"/>
          <a:chOff x="8163037" y="724909"/>
          <a:chExt cx="1779295" cy="792000"/>
        </a:xfrm>
      </xdr:grpSpPr>
      <xdr:grpSp>
        <xdr:nvGrpSpPr>
          <xdr:cNvPr id="16" name="Group 15">
            <a:extLst>
              <a:ext uri="{FF2B5EF4-FFF2-40B4-BE49-F238E27FC236}">
                <a16:creationId xmlns:a16="http://schemas.microsoft.com/office/drawing/2014/main" id="{83E999BC-CDC2-41A3-BCA5-295CAD37B6FA}"/>
              </a:ext>
            </a:extLst>
          </xdr:cNvPr>
          <xdr:cNvGrpSpPr/>
        </xdr:nvGrpSpPr>
        <xdr:grpSpPr>
          <a:xfrm>
            <a:off x="8163037" y="724909"/>
            <a:ext cx="1728000" cy="792000"/>
            <a:chOff x="8388436" y="926077"/>
            <a:chExt cx="2358000" cy="1234725"/>
          </a:xfrm>
        </xdr:grpSpPr>
        <xdr:sp macro="" textlink="">
          <xdr:nvSpPr>
            <xdr:cNvPr id="22" name="Rectangle: Rounded Corners 6">
              <a:extLst>
                <a:ext uri="{FF2B5EF4-FFF2-40B4-BE49-F238E27FC236}">
                  <a16:creationId xmlns:a16="http://schemas.microsoft.com/office/drawing/2014/main" id="{8383C686-2506-4B6D-BC6C-E289924291AF}"/>
                </a:ext>
              </a:extLst>
            </xdr:cNvPr>
            <xdr:cNvSpPr/>
          </xdr:nvSpPr>
          <xdr:spPr>
            <a:xfrm rot="5400000">
              <a:off x="8953636" y="368002"/>
              <a:ext cx="1227600" cy="2358000"/>
            </a:xfrm>
            <a:prstGeom prst="round2SameRect">
              <a:avLst/>
            </a:prstGeom>
            <a:solidFill>
              <a:schemeClr val="accent1">
                <a:lumMod val="20000"/>
                <a:lumOff val="80000"/>
                <a:alpha val="5000"/>
              </a:schemeClr>
            </a:solidFill>
            <a:ln w="22225" cap="rnd">
              <a:solidFill>
                <a:schemeClr val="bg1"/>
              </a:solidFill>
              <a:round/>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3" name="Flowchart: Document 22" descr="Track cycling team racing in velodrome">
              <a:extLst>
                <a:ext uri="{FF2B5EF4-FFF2-40B4-BE49-F238E27FC236}">
                  <a16:creationId xmlns:a16="http://schemas.microsoft.com/office/drawing/2014/main" id="{7ECCEF02-0BD2-4C43-B4CE-3A3BC927372F}"/>
                </a:ext>
                <a:ext uri="{C183D7F6-B498-43B3-948B-1728B52AA6E4}">
                  <adec:decorative xmlns:adec="http://schemas.microsoft.com/office/drawing/2017/decorative" val="1"/>
                </a:ext>
              </a:extLst>
            </xdr:cNvPr>
            <xdr:cNvSpPr/>
          </xdr:nvSpPr>
          <xdr:spPr>
            <a:xfrm rot="16200000">
              <a:off x="8154350" y="1167003"/>
              <a:ext cx="1226445" cy="744594"/>
            </a:xfrm>
            <a:prstGeom prst="flowChartDocument">
              <a:avLst/>
            </a:prstGeom>
            <a:blipFill dpi="0" rotWithShape="1">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rcRect/>
              <a:stretch>
                <a:fillRect/>
              </a:stretch>
            </a:blipFill>
            <a:ln>
              <a:noFill/>
            </a:ln>
            <a:effectLst>
              <a:outerShdw blurRad="88900" dist="25400" dir="54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endParaRPr>
            </a:p>
          </xdr:txBody>
        </xdr:sp>
      </xdr:grpSp>
      <xdr:sp macro="" textlink="'Registered &amp; Casual by Date'!I13">
        <xdr:nvSpPr>
          <xdr:cNvPr id="17" name="Rectangle 16">
            <a:extLst>
              <a:ext uri="{FF2B5EF4-FFF2-40B4-BE49-F238E27FC236}">
                <a16:creationId xmlns:a16="http://schemas.microsoft.com/office/drawing/2014/main" id="{FADC35D4-C2EA-49E9-9A88-FE9114167201}"/>
              </a:ext>
            </a:extLst>
          </xdr:cNvPr>
          <xdr:cNvSpPr/>
        </xdr:nvSpPr>
        <xdr:spPr>
          <a:xfrm>
            <a:off x="8671560" y="845820"/>
            <a:ext cx="868680" cy="3276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B4818089-42A7-43E6-9D55-6C49D17FC91A}" type="TxLink">
              <a:rPr lang="en-US" sz="1800" b="1" i="0" u="none" strike="noStrike">
                <a:solidFill>
                  <a:schemeClr val="accent1">
                    <a:lumMod val="75000"/>
                  </a:schemeClr>
                </a:solidFill>
                <a:latin typeface="Calibri"/>
                <a:ea typeface="Calibri"/>
                <a:cs typeface="Calibri"/>
              </a:rPr>
              <a:pPr algn="l"/>
              <a:t>53.38K</a:t>
            </a:fld>
            <a:endParaRPr lang="en-IN" sz="4800" b="1">
              <a:solidFill>
                <a:schemeClr val="accent1">
                  <a:lumMod val="75000"/>
                </a:schemeClr>
              </a:solidFill>
            </a:endParaRPr>
          </a:p>
        </xdr:txBody>
      </xdr:sp>
      <xdr:sp macro="" textlink="">
        <xdr:nvSpPr>
          <xdr:cNvPr id="18" name="Rectangle 17">
            <a:extLst>
              <a:ext uri="{FF2B5EF4-FFF2-40B4-BE49-F238E27FC236}">
                <a16:creationId xmlns:a16="http://schemas.microsoft.com/office/drawing/2014/main" id="{873B193C-4CFB-4EB4-87BA-6E1BF6EF834C}"/>
              </a:ext>
            </a:extLst>
          </xdr:cNvPr>
          <xdr:cNvSpPr/>
        </xdr:nvSpPr>
        <xdr:spPr>
          <a:xfrm>
            <a:off x="8663940" y="731520"/>
            <a:ext cx="1278392" cy="2514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00" b="1">
                <a:solidFill>
                  <a:schemeClr val="tx1">
                    <a:lumMod val="85000"/>
                    <a:lumOff val="15000"/>
                  </a:schemeClr>
                </a:solidFill>
              </a:rPr>
              <a:t>Total Registered</a:t>
            </a:r>
            <a:r>
              <a:rPr lang="en-IN" sz="900" b="1" baseline="0">
                <a:solidFill>
                  <a:schemeClr val="tx1">
                    <a:lumMod val="85000"/>
                    <a:lumOff val="15000"/>
                  </a:schemeClr>
                </a:solidFill>
              </a:rPr>
              <a:t> </a:t>
            </a:r>
            <a:endParaRPr lang="en-IN" sz="900" b="1">
              <a:solidFill>
                <a:schemeClr val="tx1">
                  <a:lumMod val="85000"/>
                  <a:lumOff val="15000"/>
                </a:schemeClr>
              </a:solidFill>
            </a:endParaRPr>
          </a:p>
        </xdr:txBody>
      </xdr:sp>
      <xdr:sp macro="" textlink="">
        <xdr:nvSpPr>
          <xdr:cNvPr id="19" name="Rectangle 18">
            <a:extLst>
              <a:ext uri="{FF2B5EF4-FFF2-40B4-BE49-F238E27FC236}">
                <a16:creationId xmlns:a16="http://schemas.microsoft.com/office/drawing/2014/main" id="{3A358AA8-768B-4D77-926F-5079AAD1A1CB}"/>
              </a:ext>
            </a:extLst>
          </xdr:cNvPr>
          <xdr:cNvSpPr/>
        </xdr:nvSpPr>
        <xdr:spPr>
          <a:xfrm>
            <a:off x="8679180" y="1127760"/>
            <a:ext cx="472440" cy="2209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lumMod val="85000"/>
                    <a:lumOff val="15000"/>
                  </a:schemeClr>
                </a:solidFill>
              </a:rPr>
              <a:t>Today</a:t>
            </a:r>
          </a:p>
        </xdr:txBody>
      </xdr:sp>
      <xdr:sp macro="" textlink="">
        <xdr:nvSpPr>
          <xdr:cNvPr id="20" name="Rectangle 19">
            <a:extLst>
              <a:ext uri="{FF2B5EF4-FFF2-40B4-BE49-F238E27FC236}">
                <a16:creationId xmlns:a16="http://schemas.microsoft.com/office/drawing/2014/main" id="{C275B018-AC4F-4DF8-9358-2EE3FF0BD998}"/>
              </a:ext>
            </a:extLst>
          </xdr:cNvPr>
          <xdr:cNvSpPr/>
        </xdr:nvSpPr>
        <xdr:spPr>
          <a:xfrm>
            <a:off x="9052560" y="1127760"/>
            <a:ext cx="883920" cy="1828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lumMod val="85000"/>
                    <a:lumOff val="15000"/>
                  </a:schemeClr>
                </a:solidFill>
              </a:rPr>
              <a:t>Prev.vs</a:t>
            </a:r>
            <a:r>
              <a:rPr lang="en-IN" sz="800" b="1" baseline="0">
                <a:solidFill>
                  <a:schemeClr val="tx1">
                    <a:lumMod val="85000"/>
                    <a:lumOff val="15000"/>
                  </a:schemeClr>
                </a:solidFill>
              </a:rPr>
              <a:t> growth</a:t>
            </a:r>
            <a:endParaRPr lang="en-IN" sz="800" b="1">
              <a:solidFill>
                <a:schemeClr val="tx1">
                  <a:lumMod val="85000"/>
                  <a:lumOff val="15000"/>
                </a:schemeClr>
              </a:solidFill>
            </a:endParaRPr>
          </a:p>
        </xdr:txBody>
      </xdr:sp>
      <xdr:sp macro="" textlink="'Registered &amp; Casual by Date'!I14">
        <xdr:nvSpPr>
          <xdr:cNvPr id="21" name="Rectangle 20">
            <a:extLst>
              <a:ext uri="{FF2B5EF4-FFF2-40B4-BE49-F238E27FC236}">
                <a16:creationId xmlns:a16="http://schemas.microsoft.com/office/drawing/2014/main" id="{C1EED2C8-9D27-45DF-80AC-EA5EAF6AB195}"/>
              </a:ext>
            </a:extLst>
          </xdr:cNvPr>
          <xdr:cNvSpPr/>
        </xdr:nvSpPr>
        <xdr:spPr>
          <a:xfrm>
            <a:off x="8679180" y="1249680"/>
            <a:ext cx="510540"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E09F769-08D9-4634-A256-032CDDE295B2}" type="TxLink">
              <a:rPr lang="en-US" sz="1100" b="1" i="0" u="none" strike="noStrike">
                <a:solidFill>
                  <a:schemeClr val="accent1">
                    <a:lumMod val="75000"/>
                  </a:schemeClr>
                </a:solidFill>
                <a:latin typeface="Calibri"/>
                <a:ea typeface="Calibri"/>
                <a:cs typeface="Calibri"/>
              </a:rPr>
              <a:pPr algn="l"/>
              <a:t>143</a:t>
            </a:fld>
            <a:endParaRPr lang="en-IN" sz="1000" b="1">
              <a:solidFill>
                <a:schemeClr val="accent1">
                  <a:lumMod val="75000"/>
                </a:schemeClr>
              </a:solidFill>
            </a:endParaRPr>
          </a:p>
        </xdr:txBody>
      </xdr:sp>
    </xdr:grpSp>
    <xdr:clientData/>
  </xdr:twoCellAnchor>
  <xdr:twoCellAnchor>
    <xdr:from>
      <xdr:col>9</xdr:col>
      <xdr:colOff>175262</xdr:colOff>
      <xdr:row>3</xdr:row>
      <xdr:rowOff>175260</xdr:rowOff>
    </xdr:from>
    <xdr:to>
      <xdr:col>12</xdr:col>
      <xdr:colOff>152402</xdr:colOff>
      <xdr:row>8</xdr:row>
      <xdr:rowOff>52860</xdr:rowOff>
    </xdr:to>
    <xdr:grpSp>
      <xdr:nvGrpSpPr>
        <xdr:cNvPr id="24" name="Group 23">
          <a:extLst>
            <a:ext uri="{FF2B5EF4-FFF2-40B4-BE49-F238E27FC236}">
              <a16:creationId xmlns:a16="http://schemas.microsoft.com/office/drawing/2014/main" id="{C069B49A-EA76-4F44-97C5-2173935FCE64}"/>
            </a:ext>
          </a:extLst>
        </xdr:cNvPr>
        <xdr:cNvGrpSpPr/>
      </xdr:nvGrpSpPr>
      <xdr:grpSpPr>
        <a:xfrm>
          <a:off x="5661662" y="723900"/>
          <a:ext cx="1805940" cy="792000"/>
          <a:chOff x="8163037" y="724909"/>
          <a:chExt cx="1779295" cy="792000"/>
        </a:xfrm>
      </xdr:grpSpPr>
      <xdr:grpSp>
        <xdr:nvGrpSpPr>
          <xdr:cNvPr id="25" name="Group 24">
            <a:extLst>
              <a:ext uri="{FF2B5EF4-FFF2-40B4-BE49-F238E27FC236}">
                <a16:creationId xmlns:a16="http://schemas.microsoft.com/office/drawing/2014/main" id="{919157D1-02B5-4943-91D7-0052BC5A6015}"/>
              </a:ext>
            </a:extLst>
          </xdr:cNvPr>
          <xdr:cNvGrpSpPr/>
        </xdr:nvGrpSpPr>
        <xdr:grpSpPr>
          <a:xfrm>
            <a:off x="8163037" y="724909"/>
            <a:ext cx="1728000" cy="792000"/>
            <a:chOff x="8388436" y="926077"/>
            <a:chExt cx="2358000" cy="1234725"/>
          </a:xfrm>
        </xdr:grpSpPr>
        <xdr:sp macro="" textlink="">
          <xdr:nvSpPr>
            <xdr:cNvPr id="31" name="Rectangle: Rounded Corners 6">
              <a:extLst>
                <a:ext uri="{FF2B5EF4-FFF2-40B4-BE49-F238E27FC236}">
                  <a16:creationId xmlns:a16="http://schemas.microsoft.com/office/drawing/2014/main" id="{27D604B4-96A0-4C14-B549-376762CF9925}"/>
                </a:ext>
              </a:extLst>
            </xdr:cNvPr>
            <xdr:cNvSpPr/>
          </xdr:nvSpPr>
          <xdr:spPr>
            <a:xfrm rot="5400000">
              <a:off x="8953636" y="368002"/>
              <a:ext cx="1227600" cy="2358000"/>
            </a:xfrm>
            <a:prstGeom prst="round2SameRect">
              <a:avLst/>
            </a:prstGeom>
            <a:solidFill>
              <a:schemeClr val="accent1">
                <a:lumMod val="20000"/>
                <a:lumOff val="80000"/>
                <a:alpha val="5000"/>
              </a:schemeClr>
            </a:solidFill>
            <a:ln w="22225" cap="rnd">
              <a:solidFill>
                <a:schemeClr val="bg1"/>
              </a:solidFill>
              <a:round/>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2" name="Flowchart: Document 31" descr="Track cycling team racing in velodrome">
              <a:extLst>
                <a:ext uri="{FF2B5EF4-FFF2-40B4-BE49-F238E27FC236}">
                  <a16:creationId xmlns:a16="http://schemas.microsoft.com/office/drawing/2014/main" id="{2F7A0E44-3FDC-4148-8711-826B64CA72FB}"/>
                </a:ext>
                <a:ext uri="{C183D7F6-B498-43B3-948B-1728B52AA6E4}">
                  <adec:decorative xmlns:adec="http://schemas.microsoft.com/office/drawing/2017/decorative" val="1"/>
                </a:ext>
              </a:extLst>
            </xdr:cNvPr>
            <xdr:cNvSpPr/>
          </xdr:nvSpPr>
          <xdr:spPr>
            <a:xfrm rot="16200000">
              <a:off x="8154350" y="1167003"/>
              <a:ext cx="1226445" cy="744594"/>
            </a:xfrm>
            <a:prstGeom prst="flowChartDocument">
              <a:avLst/>
            </a:prstGeom>
            <a:blipFill dpi="0" rotWithShape="1">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rcRect/>
              <a:stretch>
                <a:fillRect/>
              </a:stretch>
            </a:blipFill>
            <a:ln>
              <a:noFill/>
            </a:ln>
            <a:effectLst>
              <a:outerShdw blurRad="88900" dist="25400" dir="54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endParaRPr>
            </a:p>
          </xdr:txBody>
        </xdr:sp>
      </xdr:grpSp>
      <xdr:sp macro="" textlink="'Registered &amp; Casual by Date'!I20">
        <xdr:nvSpPr>
          <xdr:cNvPr id="26" name="Rectangle 25">
            <a:extLst>
              <a:ext uri="{FF2B5EF4-FFF2-40B4-BE49-F238E27FC236}">
                <a16:creationId xmlns:a16="http://schemas.microsoft.com/office/drawing/2014/main" id="{471B6463-7AD2-4459-A4C7-5D27C80802CC}"/>
              </a:ext>
            </a:extLst>
          </xdr:cNvPr>
          <xdr:cNvSpPr/>
        </xdr:nvSpPr>
        <xdr:spPr>
          <a:xfrm>
            <a:off x="8671560" y="845820"/>
            <a:ext cx="868680" cy="3276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8353267-8F26-45BE-BF12-7D8FF1E6EBC9}" type="TxLink">
              <a:rPr lang="en-US" sz="1800" b="1" i="0" u="none" strike="noStrike">
                <a:solidFill>
                  <a:schemeClr val="accent1">
                    <a:lumMod val="75000"/>
                  </a:schemeClr>
                </a:solidFill>
                <a:latin typeface="Calibri"/>
                <a:ea typeface="Calibri"/>
                <a:cs typeface="Calibri"/>
              </a:rPr>
              <a:pPr algn="l"/>
              <a:t>4.92K</a:t>
            </a:fld>
            <a:endParaRPr lang="en-IN" sz="7200" b="1">
              <a:solidFill>
                <a:schemeClr val="accent1">
                  <a:lumMod val="75000"/>
                </a:schemeClr>
              </a:solidFill>
            </a:endParaRPr>
          </a:p>
        </xdr:txBody>
      </xdr:sp>
      <xdr:sp macro="" textlink="">
        <xdr:nvSpPr>
          <xdr:cNvPr id="27" name="Rectangle 26">
            <a:extLst>
              <a:ext uri="{FF2B5EF4-FFF2-40B4-BE49-F238E27FC236}">
                <a16:creationId xmlns:a16="http://schemas.microsoft.com/office/drawing/2014/main" id="{B57E2F6D-D9B5-4981-9776-9F8F5C05925B}"/>
              </a:ext>
            </a:extLst>
          </xdr:cNvPr>
          <xdr:cNvSpPr/>
        </xdr:nvSpPr>
        <xdr:spPr>
          <a:xfrm>
            <a:off x="8663940" y="731520"/>
            <a:ext cx="1278392" cy="2514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00" b="1">
                <a:solidFill>
                  <a:schemeClr val="tx1">
                    <a:lumMod val="85000"/>
                    <a:lumOff val="15000"/>
                  </a:schemeClr>
                </a:solidFill>
              </a:rPr>
              <a:t>Total Casual</a:t>
            </a:r>
            <a:r>
              <a:rPr lang="en-IN" sz="900" b="1" baseline="0">
                <a:solidFill>
                  <a:schemeClr val="tx1">
                    <a:lumMod val="85000"/>
                    <a:lumOff val="15000"/>
                  </a:schemeClr>
                </a:solidFill>
              </a:rPr>
              <a:t> </a:t>
            </a:r>
            <a:endParaRPr lang="en-IN" sz="900" b="1">
              <a:solidFill>
                <a:schemeClr val="tx1">
                  <a:lumMod val="85000"/>
                  <a:lumOff val="15000"/>
                </a:schemeClr>
              </a:solidFill>
            </a:endParaRPr>
          </a:p>
        </xdr:txBody>
      </xdr:sp>
      <xdr:sp macro="" textlink="">
        <xdr:nvSpPr>
          <xdr:cNvPr id="28" name="Rectangle 27">
            <a:extLst>
              <a:ext uri="{FF2B5EF4-FFF2-40B4-BE49-F238E27FC236}">
                <a16:creationId xmlns:a16="http://schemas.microsoft.com/office/drawing/2014/main" id="{691D1720-AA6E-4A00-A8EA-839593C5C11F}"/>
              </a:ext>
            </a:extLst>
          </xdr:cNvPr>
          <xdr:cNvSpPr/>
        </xdr:nvSpPr>
        <xdr:spPr>
          <a:xfrm>
            <a:off x="8679180" y="1127760"/>
            <a:ext cx="472440" cy="2209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lumMod val="85000"/>
                    <a:lumOff val="15000"/>
                  </a:schemeClr>
                </a:solidFill>
              </a:rPr>
              <a:t>Today</a:t>
            </a:r>
          </a:p>
        </xdr:txBody>
      </xdr:sp>
      <xdr:sp macro="" textlink="">
        <xdr:nvSpPr>
          <xdr:cNvPr id="29" name="Rectangle 28">
            <a:extLst>
              <a:ext uri="{FF2B5EF4-FFF2-40B4-BE49-F238E27FC236}">
                <a16:creationId xmlns:a16="http://schemas.microsoft.com/office/drawing/2014/main" id="{BAE000A8-E4F3-4D23-AD17-692C92F0F4E0}"/>
              </a:ext>
            </a:extLst>
          </xdr:cNvPr>
          <xdr:cNvSpPr/>
        </xdr:nvSpPr>
        <xdr:spPr>
          <a:xfrm>
            <a:off x="9052560" y="1127760"/>
            <a:ext cx="883920" cy="1828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lumMod val="85000"/>
                    <a:lumOff val="15000"/>
                  </a:schemeClr>
                </a:solidFill>
              </a:rPr>
              <a:t>Prev.vs</a:t>
            </a:r>
            <a:r>
              <a:rPr lang="en-IN" sz="800" b="1" baseline="0">
                <a:solidFill>
                  <a:schemeClr val="tx1">
                    <a:lumMod val="85000"/>
                    <a:lumOff val="15000"/>
                  </a:schemeClr>
                </a:solidFill>
              </a:rPr>
              <a:t> growth</a:t>
            </a:r>
            <a:endParaRPr lang="en-IN" sz="800" b="1">
              <a:solidFill>
                <a:schemeClr val="tx1">
                  <a:lumMod val="85000"/>
                  <a:lumOff val="15000"/>
                </a:schemeClr>
              </a:solidFill>
            </a:endParaRPr>
          </a:p>
        </xdr:txBody>
      </xdr:sp>
      <xdr:sp macro="" textlink="'Registered &amp; Casual by Date'!I21">
        <xdr:nvSpPr>
          <xdr:cNvPr id="30" name="Rectangle 29">
            <a:extLst>
              <a:ext uri="{FF2B5EF4-FFF2-40B4-BE49-F238E27FC236}">
                <a16:creationId xmlns:a16="http://schemas.microsoft.com/office/drawing/2014/main" id="{8564FAAC-A2A1-497E-AB76-1E7463DD06FD}"/>
              </a:ext>
            </a:extLst>
          </xdr:cNvPr>
          <xdr:cNvSpPr/>
        </xdr:nvSpPr>
        <xdr:spPr>
          <a:xfrm>
            <a:off x="8679180" y="1249680"/>
            <a:ext cx="510540"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D2F1ACC-5D36-4C79-BF54-1FF42428706E}" type="TxLink">
              <a:rPr lang="en-US" sz="1100" b="1" i="0" u="none" strike="noStrike">
                <a:solidFill>
                  <a:schemeClr val="accent1">
                    <a:lumMod val="75000"/>
                  </a:schemeClr>
                </a:solidFill>
                <a:latin typeface="Calibri"/>
                <a:ea typeface="Calibri"/>
                <a:cs typeface="Calibri"/>
              </a:rPr>
              <a:pPr algn="l"/>
              <a:t>8</a:t>
            </a:fld>
            <a:endParaRPr lang="en-IN" sz="1000" b="1">
              <a:solidFill>
                <a:schemeClr val="accent1">
                  <a:lumMod val="75000"/>
                </a:schemeClr>
              </a:solidFill>
            </a:endParaRPr>
          </a:p>
        </xdr:txBody>
      </xdr:sp>
    </xdr:grpSp>
    <xdr:clientData/>
  </xdr:twoCellAnchor>
  <xdr:twoCellAnchor>
    <xdr:from>
      <xdr:col>6</xdr:col>
      <xdr:colOff>182880</xdr:colOff>
      <xdr:row>3</xdr:row>
      <xdr:rowOff>175256</xdr:rowOff>
    </xdr:from>
    <xdr:to>
      <xdr:col>9</xdr:col>
      <xdr:colOff>46080</xdr:colOff>
      <xdr:row>8</xdr:row>
      <xdr:rowOff>52854</xdr:rowOff>
    </xdr:to>
    <xdr:grpSp>
      <xdr:nvGrpSpPr>
        <xdr:cNvPr id="33" name="Group 32">
          <a:extLst>
            <a:ext uri="{FF2B5EF4-FFF2-40B4-BE49-F238E27FC236}">
              <a16:creationId xmlns:a16="http://schemas.microsoft.com/office/drawing/2014/main" id="{D75C79CA-0C05-4633-B9DF-2568B7E75A4A}"/>
            </a:ext>
          </a:extLst>
        </xdr:cNvPr>
        <xdr:cNvGrpSpPr/>
      </xdr:nvGrpSpPr>
      <xdr:grpSpPr>
        <a:xfrm>
          <a:off x="3840480" y="723896"/>
          <a:ext cx="1692000" cy="791998"/>
          <a:chOff x="655321" y="724905"/>
          <a:chExt cx="1800000" cy="791998"/>
        </a:xfrm>
      </xdr:grpSpPr>
      <xdr:grpSp>
        <xdr:nvGrpSpPr>
          <xdr:cNvPr id="34" name="Group 33">
            <a:extLst>
              <a:ext uri="{FF2B5EF4-FFF2-40B4-BE49-F238E27FC236}">
                <a16:creationId xmlns:a16="http://schemas.microsoft.com/office/drawing/2014/main" id="{AE6B926E-2D1A-4D2F-A5A3-C3CD26FDC1CD}"/>
              </a:ext>
            </a:extLst>
          </xdr:cNvPr>
          <xdr:cNvGrpSpPr/>
        </xdr:nvGrpSpPr>
        <xdr:grpSpPr>
          <a:xfrm>
            <a:off x="655321" y="724905"/>
            <a:ext cx="1800000" cy="791998"/>
            <a:chOff x="2751665" y="2925233"/>
            <a:chExt cx="2491742" cy="1332654"/>
          </a:xfrm>
          <a:solidFill>
            <a:schemeClr val="bg1">
              <a:lumMod val="95000"/>
            </a:schemeClr>
          </a:solidFill>
          <a:effectLst>
            <a:outerShdw blurRad="50800" dist="38100" dir="13500000" algn="br" rotWithShape="0">
              <a:schemeClr val="bg1">
                <a:lumMod val="95000"/>
                <a:alpha val="3000"/>
              </a:schemeClr>
            </a:outerShdw>
          </a:effectLst>
        </xdr:grpSpPr>
        <xdr:sp macro="" textlink="">
          <xdr:nvSpPr>
            <xdr:cNvPr id="38" name="Rectangle: Rounded Corners 37">
              <a:extLst>
                <a:ext uri="{FF2B5EF4-FFF2-40B4-BE49-F238E27FC236}">
                  <a16:creationId xmlns:a16="http://schemas.microsoft.com/office/drawing/2014/main" id="{706B18F5-9DE3-4079-B565-A975D0A314CE}"/>
                </a:ext>
              </a:extLst>
            </xdr:cNvPr>
            <xdr:cNvSpPr/>
          </xdr:nvSpPr>
          <xdr:spPr>
            <a:xfrm>
              <a:off x="2756747" y="2938780"/>
              <a:ext cx="2486660" cy="1319107"/>
            </a:xfrm>
            <a:prstGeom prst="roundRect">
              <a:avLst/>
            </a:prstGeom>
            <a:grpFill/>
            <a:ln w="19050">
              <a:noFill/>
            </a:ln>
            <a:effectLst>
              <a:glow rad="25400">
                <a:schemeClr val="bg1">
                  <a:lumMod val="65000"/>
                  <a:alpha val="40000"/>
                </a:schemeClr>
              </a:glow>
              <a:outerShdw blurRad="101600" dist="508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sp macro="" textlink="$E$6">
          <xdr:nvSpPr>
            <xdr:cNvPr id="39" name="Growth percent">
              <a:extLst>
                <a:ext uri="{FF2B5EF4-FFF2-40B4-BE49-F238E27FC236}">
                  <a16:creationId xmlns:a16="http://schemas.microsoft.com/office/drawing/2014/main" id="{00F60E21-FCB9-4A41-8A18-4FFB8BBCA48B}"/>
                </a:ext>
              </a:extLst>
            </xdr:cNvPr>
            <xdr:cNvSpPr/>
          </xdr:nvSpPr>
          <xdr:spPr>
            <a:xfrm>
              <a:off x="3442020" y="2941078"/>
              <a:ext cx="1071448" cy="381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i="0" u="none" strike="noStrike">
                  <a:solidFill>
                    <a:srgbClr val="000000"/>
                  </a:solidFill>
                  <a:latin typeface="Calibri"/>
                  <a:ea typeface="Calibri"/>
                  <a:cs typeface="Calibri"/>
                </a:rPr>
                <a:t>Max</a:t>
              </a:r>
              <a:r>
                <a:rPr lang="en-US" sz="900" b="1" i="0" u="none" strike="noStrike" baseline="0">
                  <a:solidFill>
                    <a:srgbClr val="000000"/>
                  </a:solidFill>
                  <a:latin typeface="Calibri"/>
                  <a:ea typeface="Calibri"/>
                  <a:cs typeface="Calibri"/>
                </a:rPr>
                <a:t> Temp</a:t>
              </a:r>
              <a:fld id="{0806B8C7-A29B-489D-A460-D1EBFF74DF48}" type="TxLink">
                <a:rPr lang="en-US" sz="900" b="1" i="0" u="none" strike="noStrike">
                  <a:solidFill>
                    <a:srgbClr val="000000"/>
                  </a:solidFill>
                  <a:latin typeface="Calibri"/>
                  <a:ea typeface="Calibri"/>
                  <a:cs typeface="Calibri"/>
                </a:rPr>
                <a:pPr algn="l"/>
                <a:t> </a:t>
              </a:fld>
              <a:endParaRPr lang="en-IN" sz="1000" b="1"/>
            </a:p>
          </xdr:txBody>
        </xdr:sp>
        <xdr:sp macro="" textlink="">
          <xdr:nvSpPr>
            <xdr:cNvPr id="40" name="Flowchart: Document 39" descr="Track cycling team racing in velodrome">
              <a:extLst>
                <a:ext uri="{FF2B5EF4-FFF2-40B4-BE49-F238E27FC236}">
                  <a16:creationId xmlns:a16="http://schemas.microsoft.com/office/drawing/2014/main" id="{AEB2E6B9-BC45-461D-AE45-797A33278203}"/>
                </a:ext>
                <a:ext uri="{C183D7F6-B498-43B3-948B-1728B52AA6E4}">
                  <adec:decorative xmlns:adec="http://schemas.microsoft.com/office/drawing/2017/decorative" val="1"/>
                </a:ext>
              </a:extLst>
            </xdr:cNvPr>
            <xdr:cNvSpPr/>
          </xdr:nvSpPr>
          <xdr:spPr>
            <a:xfrm rot="16200000">
              <a:off x="2479572" y="3197326"/>
              <a:ext cx="1331590" cy="787403"/>
            </a:xfrm>
            <a:prstGeom prst="flowChartDocument">
              <a:avLst/>
            </a:prstGeom>
            <a:blipFill dpi="0" rotWithShape="1">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rcRect/>
              <a:stretch>
                <a:fillRect/>
              </a:stretch>
            </a:blipFill>
            <a:ln>
              <a:noFill/>
            </a:ln>
            <a:effectLst>
              <a:outerShdw blurRad="88900" dist="25400" dir="54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endParaRPr>
            </a:p>
          </xdr:txBody>
        </xdr:sp>
      </xdr:grpSp>
      <xdr:sp macro="" textlink="KPI!A6">
        <xdr:nvSpPr>
          <xdr:cNvPr id="35" name="TextBox 34">
            <a:extLst>
              <a:ext uri="{FF2B5EF4-FFF2-40B4-BE49-F238E27FC236}">
                <a16:creationId xmlns:a16="http://schemas.microsoft.com/office/drawing/2014/main" id="{54E8E80D-C29D-43A4-93BF-C10730BF536C}"/>
              </a:ext>
            </a:extLst>
          </xdr:cNvPr>
          <xdr:cNvSpPr txBox="1"/>
        </xdr:nvSpPr>
        <xdr:spPr>
          <a:xfrm>
            <a:off x="1160672" y="839208"/>
            <a:ext cx="945691" cy="274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3D24C4-FDF8-4B83-8281-09336F95A958}" type="TxLink">
              <a:rPr lang="en-US" sz="1800" b="1" i="0" u="none" strike="noStrike">
                <a:solidFill>
                  <a:schemeClr val="accent1">
                    <a:lumMod val="75000"/>
                  </a:schemeClr>
                </a:solidFill>
                <a:latin typeface="Calibri"/>
                <a:ea typeface="Calibri"/>
                <a:cs typeface="Calibri"/>
              </a:rPr>
              <a:pPr/>
              <a:t>0.46°C</a:t>
            </a:fld>
            <a:endParaRPr lang="en-IN" sz="7200" b="1">
              <a:solidFill>
                <a:schemeClr val="accent1">
                  <a:lumMod val="75000"/>
                </a:schemeClr>
              </a:solidFill>
            </a:endParaRPr>
          </a:p>
        </xdr:txBody>
      </xdr:sp>
    </xdr:grpSp>
    <xdr:clientData/>
  </xdr:twoCellAnchor>
  <xdr:twoCellAnchor>
    <xdr:from>
      <xdr:col>3</xdr:col>
      <xdr:colOff>198120</xdr:colOff>
      <xdr:row>3</xdr:row>
      <xdr:rowOff>175260</xdr:rowOff>
    </xdr:from>
    <xdr:to>
      <xdr:col>6</xdr:col>
      <xdr:colOff>81687</xdr:colOff>
      <xdr:row>8</xdr:row>
      <xdr:rowOff>52860</xdr:rowOff>
    </xdr:to>
    <xdr:grpSp>
      <xdr:nvGrpSpPr>
        <xdr:cNvPr id="57" name="Group 56">
          <a:extLst>
            <a:ext uri="{FF2B5EF4-FFF2-40B4-BE49-F238E27FC236}">
              <a16:creationId xmlns:a16="http://schemas.microsoft.com/office/drawing/2014/main" id="{934A5CC4-123D-437C-8CF2-CEAD0E13A762}"/>
            </a:ext>
          </a:extLst>
        </xdr:cNvPr>
        <xdr:cNvGrpSpPr/>
      </xdr:nvGrpSpPr>
      <xdr:grpSpPr>
        <a:xfrm>
          <a:off x="2026920" y="723900"/>
          <a:ext cx="1712367" cy="792000"/>
          <a:chOff x="655321" y="724909"/>
          <a:chExt cx="1821669" cy="792000"/>
        </a:xfrm>
      </xdr:grpSpPr>
      <xdr:grpSp>
        <xdr:nvGrpSpPr>
          <xdr:cNvPr id="58" name="Group 57">
            <a:extLst>
              <a:ext uri="{FF2B5EF4-FFF2-40B4-BE49-F238E27FC236}">
                <a16:creationId xmlns:a16="http://schemas.microsoft.com/office/drawing/2014/main" id="{099BFF9D-DF6B-4537-9F81-C54D9D84EC8A}"/>
              </a:ext>
            </a:extLst>
          </xdr:cNvPr>
          <xdr:cNvGrpSpPr/>
        </xdr:nvGrpSpPr>
        <xdr:grpSpPr>
          <a:xfrm>
            <a:off x="655321" y="724909"/>
            <a:ext cx="1799999" cy="792000"/>
            <a:chOff x="2751665" y="2925233"/>
            <a:chExt cx="2491742" cy="1332654"/>
          </a:xfrm>
          <a:solidFill>
            <a:schemeClr val="bg1">
              <a:lumMod val="95000"/>
            </a:schemeClr>
          </a:solidFill>
          <a:effectLst>
            <a:outerShdw blurRad="50800" dist="38100" dir="13500000" algn="br" rotWithShape="0">
              <a:schemeClr val="bg1">
                <a:lumMod val="95000"/>
                <a:alpha val="3000"/>
              </a:schemeClr>
            </a:outerShdw>
          </a:effectLst>
        </xdr:grpSpPr>
        <xdr:sp macro="" textlink="">
          <xdr:nvSpPr>
            <xdr:cNvPr id="62" name="Rectangle: Rounded Corners 61">
              <a:extLst>
                <a:ext uri="{FF2B5EF4-FFF2-40B4-BE49-F238E27FC236}">
                  <a16:creationId xmlns:a16="http://schemas.microsoft.com/office/drawing/2014/main" id="{384BFAC8-9629-48F3-8E57-571C6795BF3E}"/>
                </a:ext>
              </a:extLst>
            </xdr:cNvPr>
            <xdr:cNvSpPr/>
          </xdr:nvSpPr>
          <xdr:spPr>
            <a:xfrm>
              <a:off x="2756747" y="2938780"/>
              <a:ext cx="2486660" cy="1319107"/>
            </a:xfrm>
            <a:prstGeom prst="roundRect">
              <a:avLst/>
            </a:prstGeom>
            <a:grpFill/>
            <a:ln w="19050">
              <a:noFill/>
            </a:ln>
            <a:effectLst>
              <a:glow rad="25400">
                <a:schemeClr val="bg1">
                  <a:lumMod val="65000"/>
                  <a:alpha val="40000"/>
                </a:schemeClr>
              </a:glow>
              <a:outerShdw blurRad="101600" dist="508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sp macro="" textlink="$E$6">
          <xdr:nvSpPr>
            <xdr:cNvPr id="63" name="Growth percent">
              <a:extLst>
                <a:ext uri="{FF2B5EF4-FFF2-40B4-BE49-F238E27FC236}">
                  <a16:creationId xmlns:a16="http://schemas.microsoft.com/office/drawing/2014/main" id="{65D9A7D8-8224-44BA-8EF8-80E4746421C4}"/>
                </a:ext>
              </a:extLst>
            </xdr:cNvPr>
            <xdr:cNvSpPr/>
          </xdr:nvSpPr>
          <xdr:spPr>
            <a:xfrm>
              <a:off x="3525959" y="2941072"/>
              <a:ext cx="1716917" cy="29188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900" b="1" i="0" u="none" strike="noStrike">
                  <a:solidFill>
                    <a:srgbClr val="000000"/>
                  </a:solidFill>
                  <a:latin typeface="Calibri"/>
                  <a:ea typeface="Calibri"/>
                  <a:cs typeface="Calibri"/>
                </a:rPr>
                <a:t>Morning Peak H</a:t>
              </a:r>
              <a:r>
                <a:rPr lang="en-US" sz="900" b="1" i="0" u="none" strike="noStrike" baseline="0">
                  <a:solidFill>
                    <a:srgbClr val="000000"/>
                  </a:solidFill>
                  <a:latin typeface="Calibri"/>
                  <a:ea typeface="Calibri"/>
                  <a:cs typeface="Calibri"/>
                </a:rPr>
                <a:t>our</a:t>
              </a:r>
              <a:fld id="{0806B8C7-A29B-489D-A460-D1EBFF74DF48}" type="TxLink">
                <a:rPr lang="en-US" sz="900" b="1" i="0" u="none" strike="noStrike">
                  <a:solidFill>
                    <a:srgbClr val="000000"/>
                  </a:solidFill>
                  <a:latin typeface="Calibri"/>
                  <a:ea typeface="Calibri"/>
                  <a:cs typeface="Calibri"/>
                </a:rPr>
                <a:pPr algn="r"/>
                <a:t> </a:t>
              </a:fld>
              <a:endParaRPr lang="en-IN" sz="1000" b="1"/>
            </a:p>
          </xdr:txBody>
        </xdr:sp>
        <xdr:sp macro="" textlink="">
          <xdr:nvSpPr>
            <xdr:cNvPr id="64" name="Flowchart: Document 63" descr="Track cycling team racing in velodrome">
              <a:extLst>
                <a:ext uri="{FF2B5EF4-FFF2-40B4-BE49-F238E27FC236}">
                  <a16:creationId xmlns:a16="http://schemas.microsoft.com/office/drawing/2014/main" id="{525A8BA2-7F1F-4140-A53B-C990182C54AD}"/>
                </a:ext>
                <a:ext uri="{C183D7F6-B498-43B3-948B-1728B52AA6E4}">
                  <adec:decorative xmlns:adec="http://schemas.microsoft.com/office/drawing/2017/decorative" val="1"/>
                </a:ext>
              </a:extLst>
            </xdr:cNvPr>
            <xdr:cNvSpPr/>
          </xdr:nvSpPr>
          <xdr:spPr>
            <a:xfrm rot="16200000">
              <a:off x="2479572" y="3197326"/>
              <a:ext cx="1331590" cy="787403"/>
            </a:xfrm>
            <a:prstGeom prst="flowChartDocument">
              <a:avLst/>
            </a:prstGeom>
            <a:blipFill dpi="0" rotWithShape="1">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rcRect/>
              <a:stretch>
                <a:fillRect/>
              </a:stretch>
            </a:blipFill>
            <a:ln>
              <a:noFill/>
            </a:ln>
            <a:effectLst>
              <a:outerShdw blurRad="88900" dist="25400" dir="54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endParaRPr>
            </a:p>
          </xdr:txBody>
        </xdr:sp>
      </xdr:grpSp>
      <xdr:sp macro="" textlink="'Peak Hour Kpi '!E6">
        <xdr:nvSpPr>
          <xdr:cNvPr id="59" name="TextBox 58">
            <a:extLst>
              <a:ext uri="{FF2B5EF4-FFF2-40B4-BE49-F238E27FC236}">
                <a16:creationId xmlns:a16="http://schemas.microsoft.com/office/drawing/2014/main" id="{116FB121-9797-46D3-AE66-A3C6962EAEAE}"/>
              </a:ext>
            </a:extLst>
          </xdr:cNvPr>
          <xdr:cNvSpPr txBox="1"/>
        </xdr:nvSpPr>
        <xdr:spPr>
          <a:xfrm>
            <a:off x="1749684" y="869688"/>
            <a:ext cx="727306" cy="274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C2AC65C-4FD2-429B-BC17-721774735168}" type="TxLink">
              <a:rPr lang="en-US" sz="1400" b="1" i="0" u="none" strike="noStrike">
                <a:solidFill>
                  <a:schemeClr val="accent1">
                    <a:lumMod val="75000"/>
                  </a:schemeClr>
                </a:solidFill>
                <a:latin typeface="Calibri"/>
                <a:ea typeface="Calibri"/>
                <a:cs typeface="Calibri"/>
              </a:rPr>
              <a:pPr/>
              <a:t>8 AM</a:t>
            </a:fld>
            <a:endParaRPr lang="en-IN" sz="7200" b="1">
              <a:solidFill>
                <a:schemeClr val="accent1">
                  <a:lumMod val="75000"/>
                </a:schemeClr>
              </a:solidFill>
            </a:endParaRPr>
          </a:p>
        </xdr:txBody>
      </xdr:sp>
    </xdr:grpSp>
    <xdr:clientData/>
  </xdr:twoCellAnchor>
  <xdr:twoCellAnchor>
    <xdr:from>
      <xdr:col>0</xdr:col>
      <xdr:colOff>198120</xdr:colOff>
      <xdr:row>4</xdr:row>
      <xdr:rowOff>0</xdr:rowOff>
    </xdr:from>
    <xdr:to>
      <xdr:col>3</xdr:col>
      <xdr:colOff>107291</xdr:colOff>
      <xdr:row>8</xdr:row>
      <xdr:rowOff>60480</xdr:rowOff>
    </xdr:to>
    <xdr:grpSp>
      <xdr:nvGrpSpPr>
        <xdr:cNvPr id="65" name="Group 64">
          <a:extLst>
            <a:ext uri="{FF2B5EF4-FFF2-40B4-BE49-F238E27FC236}">
              <a16:creationId xmlns:a16="http://schemas.microsoft.com/office/drawing/2014/main" id="{82C22CB2-25E0-4743-A74B-79D58E5D5B79}"/>
            </a:ext>
          </a:extLst>
        </xdr:cNvPr>
        <xdr:cNvGrpSpPr/>
      </xdr:nvGrpSpPr>
      <xdr:grpSpPr>
        <a:xfrm>
          <a:off x="198120" y="731520"/>
          <a:ext cx="1737971" cy="792000"/>
          <a:chOff x="655321" y="724909"/>
          <a:chExt cx="1848903" cy="792000"/>
        </a:xfrm>
      </xdr:grpSpPr>
      <xdr:grpSp>
        <xdr:nvGrpSpPr>
          <xdr:cNvPr id="66" name="Group 65">
            <a:extLst>
              <a:ext uri="{FF2B5EF4-FFF2-40B4-BE49-F238E27FC236}">
                <a16:creationId xmlns:a16="http://schemas.microsoft.com/office/drawing/2014/main" id="{FFF06791-8B84-4862-8398-16C38D1E208E}"/>
              </a:ext>
            </a:extLst>
          </xdr:cNvPr>
          <xdr:cNvGrpSpPr/>
        </xdr:nvGrpSpPr>
        <xdr:grpSpPr>
          <a:xfrm>
            <a:off x="655321" y="724909"/>
            <a:ext cx="1800000" cy="792000"/>
            <a:chOff x="2751665" y="2925233"/>
            <a:chExt cx="2491742" cy="1332654"/>
          </a:xfrm>
          <a:solidFill>
            <a:schemeClr val="bg1">
              <a:lumMod val="95000"/>
            </a:schemeClr>
          </a:solidFill>
          <a:effectLst>
            <a:outerShdw blurRad="50800" dist="38100" dir="13500000" algn="br" rotWithShape="0">
              <a:schemeClr val="bg1">
                <a:lumMod val="95000"/>
                <a:alpha val="3000"/>
              </a:schemeClr>
            </a:outerShdw>
          </a:effectLst>
        </xdr:grpSpPr>
        <xdr:sp macro="" textlink="">
          <xdr:nvSpPr>
            <xdr:cNvPr id="70" name="Rectangle: Rounded Corners 69">
              <a:extLst>
                <a:ext uri="{FF2B5EF4-FFF2-40B4-BE49-F238E27FC236}">
                  <a16:creationId xmlns:a16="http://schemas.microsoft.com/office/drawing/2014/main" id="{BCB7D687-295B-46A7-96A5-11BC5C19A8CB}"/>
                </a:ext>
              </a:extLst>
            </xdr:cNvPr>
            <xdr:cNvSpPr/>
          </xdr:nvSpPr>
          <xdr:spPr>
            <a:xfrm>
              <a:off x="2756747" y="2938780"/>
              <a:ext cx="2486660" cy="1319107"/>
            </a:xfrm>
            <a:prstGeom prst="roundRect">
              <a:avLst/>
            </a:prstGeom>
            <a:grpFill/>
            <a:ln w="19050">
              <a:noFill/>
            </a:ln>
            <a:effectLst>
              <a:glow rad="25400">
                <a:schemeClr val="bg1">
                  <a:lumMod val="65000"/>
                  <a:alpha val="40000"/>
                </a:schemeClr>
              </a:glow>
              <a:outerShdw blurRad="101600" dist="508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sp macro="" textlink="$E$6">
          <xdr:nvSpPr>
            <xdr:cNvPr id="71" name="Growth percent">
              <a:extLst>
                <a:ext uri="{FF2B5EF4-FFF2-40B4-BE49-F238E27FC236}">
                  <a16:creationId xmlns:a16="http://schemas.microsoft.com/office/drawing/2014/main" id="{A3CD3B79-7395-41F5-B266-951BE6C74A1B}"/>
                </a:ext>
              </a:extLst>
            </xdr:cNvPr>
            <xdr:cNvSpPr/>
          </xdr:nvSpPr>
          <xdr:spPr>
            <a:xfrm>
              <a:off x="3402522" y="2941072"/>
              <a:ext cx="1593478" cy="3431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i="0" u="none" strike="noStrike">
                  <a:solidFill>
                    <a:srgbClr val="000000"/>
                  </a:solidFill>
                  <a:latin typeface="Calibri"/>
                  <a:ea typeface="Calibri"/>
                  <a:cs typeface="Calibri"/>
                </a:rPr>
                <a:t>Average</a:t>
              </a:r>
              <a:r>
                <a:rPr lang="en-US" sz="900" b="1" i="0" u="none" strike="noStrike" baseline="0">
                  <a:solidFill>
                    <a:srgbClr val="000000"/>
                  </a:solidFill>
                  <a:latin typeface="Calibri"/>
                  <a:ea typeface="Calibri"/>
                  <a:cs typeface="Calibri"/>
                </a:rPr>
                <a:t> humdity</a:t>
              </a:r>
              <a:fld id="{0806B8C7-A29B-489D-A460-D1EBFF74DF48}" type="TxLink">
                <a:rPr lang="en-US" sz="900" b="1" i="0" u="none" strike="noStrike">
                  <a:solidFill>
                    <a:srgbClr val="000000"/>
                  </a:solidFill>
                  <a:latin typeface="Calibri"/>
                  <a:ea typeface="Calibri"/>
                  <a:cs typeface="Calibri"/>
                </a:rPr>
                <a:pPr algn="l"/>
                <a:t> </a:t>
              </a:fld>
              <a:endParaRPr lang="en-IN" sz="1000" b="1"/>
            </a:p>
          </xdr:txBody>
        </xdr:sp>
        <xdr:sp macro="" textlink="">
          <xdr:nvSpPr>
            <xdr:cNvPr id="72" name="Flowchart: Document 71" descr="Track cycling team racing in velodrome">
              <a:extLst>
                <a:ext uri="{FF2B5EF4-FFF2-40B4-BE49-F238E27FC236}">
                  <a16:creationId xmlns:a16="http://schemas.microsoft.com/office/drawing/2014/main" id="{05FB9301-AF89-409E-96D3-BE47C99538D0}"/>
                </a:ext>
                <a:ext uri="{C183D7F6-B498-43B3-948B-1728B52AA6E4}">
                  <adec:decorative xmlns:adec="http://schemas.microsoft.com/office/drawing/2017/decorative" val="1"/>
                </a:ext>
              </a:extLst>
            </xdr:cNvPr>
            <xdr:cNvSpPr/>
          </xdr:nvSpPr>
          <xdr:spPr>
            <a:xfrm rot="16200000">
              <a:off x="2479572" y="3197326"/>
              <a:ext cx="1331590" cy="787403"/>
            </a:xfrm>
            <a:prstGeom prst="flowChartDocument">
              <a:avLst/>
            </a:prstGeom>
            <a:blipFill dpi="0" rotWithShape="1">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rcRect/>
              <a:stretch>
                <a:fillRect/>
              </a:stretch>
            </a:blipFill>
            <a:ln>
              <a:noFill/>
            </a:ln>
            <a:effectLst>
              <a:outerShdw blurRad="88900" dist="25400" dir="54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endParaRPr>
            </a:p>
          </xdr:txBody>
        </xdr:sp>
      </xdr:grpSp>
      <xdr:sp macro="" textlink="KPI!D6">
        <xdr:nvSpPr>
          <xdr:cNvPr id="67" name="TextBox 66">
            <a:extLst>
              <a:ext uri="{FF2B5EF4-FFF2-40B4-BE49-F238E27FC236}">
                <a16:creationId xmlns:a16="http://schemas.microsoft.com/office/drawing/2014/main" id="{EFE7BC40-1535-49DF-8D66-24A38B47E54D}"/>
              </a:ext>
            </a:extLst>
          </xdr:cNvPr>
          <xdr:cNvSpPr txBox="1"/>
        </xdr:nvSpPr>
        <xdr:spPr>
          <a:xfrm>
            <a:off x="1120140" y="823968"/>
            <a:ext cx="978117" cy="274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95D1FCB-638F-4154-B225-E6E0302AE4F4}" type="TxLink">
              <a:rPr lang="en-US" sz="1800" b="1" i="0" u="none" strike="noStrike">
                <a:solidFill>
                  <a:schemeClr val="accent1">
                    <a:lumMod val="75000"/>
                  </a:schemeClr>
                </a:solidFill>
                <a:latin typeface="Calibri"/>
                <a:ea typeface="Calibri"/>
                <a:cs typeface="Calibri"/>
              </a:rPr>
              <a:pPr/>
              <a:t>58.25%</a:t>
            </a:fld>
            <a:endParaRPr lang="en-IN" sz="7200" b="1">
              <a:solidFill>
                <a:schemeClr val="accent1">
                  <a:lumMod val="75000"/>
                </a:schemeClr>
              </a:solidFill>
            </a:endParaRPr>
          </a:p>
        </xdr:txBody>
      </xdr:sp>
      <xdr:sp macro="" textlink="'[1]KPI Card'!D6">
        <xdr:nvSpPr>
          <xdr:cNvPr id="68" name="TextBox 67">
            <a:extLst>
              <a:ext uri="{FF2B5EF4-FFF2-40B4-BE49-F238E27FC236}">
                <a16:creationId xmlns:a16="http://schemas.microsoft.com/office/drawing/2014/main" id="{A999A018-1732-4812-9DCB-1385C4A4352B}"/>
              </a:ext>
            </a:extLst>
          </xdr:cNvPr>
          <xdr:cNvSpPr txBox="1"/>
        </xdr:nvSpPr>
        <xdr:spPr>
          <a:xfrm>
            <a:off x="1722121" y="1249679"/>
            <a:ext cx="624839" cy="243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EB16A2B-770A-4FEA-9C96-84CAA388B6E7}" type="TxLink">
              <a:rPr lang="en-US" sz="1800" b="1" i="0" u="none" strike="noStrike">
                <a:solidFill>
                  <a:schemeClr val="accent1">
                    <a:lumMod val="75000"/>
                  </a:schemeClr>
                </a:solidFill>
                <a:latin typeface="Calibri"/>
                <a:ea typeface="Calibri"/>
                <a:cs typeface="Calibri"/>
              </a:rPr>
              <a:pPr/>
              <a:t> 8.07 °C</a:t>
            </a:fld>
            <a:endParaRPr lang="en-IN" sz="3200" b="1">
              <a:solidFill>
                <a:schemeClr val="accent1">
                  <a:lumMod val="75000"/>
                </a:schemeClr>
              </a:solidFill>
            </a:endParaRPr>
          </a:p>
        </xdr:txBody>
      </xdr:sp>
      <xdr:sp macro="" textlink="$E$6">
        <xdr:nvSpPr>
          <xdr:cNvPr id="69" name="Growth percent">
            <a:extLst>
              <a:ext uri="{FF2B5EF4-FFF2-40B4-BE49-F238E27FC236}">
                <a16:creationId xmlns:a16="http://schemas.microsoft.com/office/drawing/2014/main" id="{5AE4A8AE-9230-42D5-841F-D90A692CB4B4}"/>
              </a:ext>
            </a:extLst>
          </xdr:cNvPr>
          <xdr:cNvSpPr/>
        </xdr:nvSpPr>
        <xdr:spPr>
          <a:xfrm>
            <a:off x="1311937" y="1098289"/>
            <a:ext cx="1192287" cy="2209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900" b="1" i="0" u="none" strike="noStrike">
                <a:solidFill>
                  <a:srgbClr val="000000"/>
                </a:solidFill>
                <a:latin typeface="Calibri"/>
                <a:ea typeface="Calibri"/>
                <a:cs typeface="Calibri"/>
              </a:rPr>
              <a:t>Average</a:t>
            </a:r>
            <a:r>
              <a:rPr lang="en-US" sz="900" b="1" i="0" u="none" strike="noStrike" baseline="0">
                <a:solidFill>
                  <a:srgbClr val="000000"/>
                </a:solidFill>
                <a:latin typeface="Calibri"/>
                <a:ea typeface="Calibri"/>
                <a:cs typeface="Calibri"/>
              </a:rPr>
              <a:t> windspeed</a:t>
            </a:r>
            <a:endParaRPr lang="en-IN" sz="1000" b="1"/>
          </a:p>
        </xdr:txBody>
      </xdr:sp>
    </xdr:grpSp>
    <xdr:clientData/>
  </xdr:twoCellAnchor>
  <xdr:twoCellAnchor>
    <xdr:from>
      <xdr:col>0</xdr:col>
      <xdr:colOff>198120</xdr:colOff>
      <xdr:row>0</xdr:row>
      <xdr:rowOff>22860</xdr:rowOff>
    </xdr:from>
    <xdr:to>
      <xdr:col>18</xdr:col>
      <xdr:colOff>137160</xdr:colOff>
      <xdr:row>3</xdr:row>
      <xdr:rowOff>114300</xdr:rowOff>
    </xdr:to>
    <xdr:sp macro="" textlink="">
      <xdr:nvSpPr>
        <xdr:cNvPr id="74" name="Rectangle: Rounded Corners 73">
          <a:extLst>
            <a:ext uri="{FF2B5EF4-FFF2-40B4-BE49-F238E27FC236}">
              <a16:creationId xmlns:a16="http://schemas.microsoft.com/office/drawing/2014/main" id="{D91B6361-AD0C-4890-AFCD-6BD50AE58107}"/>
            </a:ext>
          </a:extLst>
        </xdr:cNvPr>
        <xdr:cNvSpPr/>
      </xdr:nvSpPr>
      <xdr:spPr>
        <a:xfrm>
          <a:off x="198120" y="22860"/>
          <a:ext cx="10911840" cy="640080"/>
        </a:xfrm>
        <a:prstGeom prst="roundRect">
          <a:avLst/>
        </a:prstGeom>
        <a:gradFill flip="none" rotWithShape="1">
          <a:gsLst>
            <a:gs pos="0">
              <a:srgbClr val="00B0F0">
                <a:tint val="66000"/>
                <a:satMod val="160000"/>
              </a:srgbClr>
            </a:gs>
            <a:gs pos="50000">
              <a:srgbClr val="00B0F0">
                <a:tint val="44500"/>
                <a:satMod val="160000"/>
              </a:srgbClr>
            </a:gs>
            <a:gs pos="100000">
              <a:srgbClr val="00B0F0">
                <a:tint val="23500"/>
                <a:satMod val="160000"/>
              </a:srgbClr>
            </a:gs>
          </a:gsLst>
          <a:lin ang="16200000" scaled="1"/>
          <a:tileRect/>
        </a:gra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b="1">
              <a:ln>
                <a:solidFill>
                  <a:srgbClr val="000000"/>
                </a:solidFill>
              </a:ln>
              <a:solidFill>
                <a:schemeClr val="accent1">
                  <a:lumMod val="75000"/>
                </a:schemeClr>
              </a:solidFill>
              <a:effectLst>
                <a:outerShdw blurRad="50800" dist="38100" algn="l" rotWithShape="0">
                  <a:prstClr val="black">
                    <a:alpha val="40000"/>
                  </a:prstClr>
                </a:outerShdw>
              </a:effectLst>
            </a:rPr>
            <a:t>Bike Sharing Demand Prediction in Winter</a:t>
          </a:r>
          <a:r>
            <a:rPr lang="en-IN" sz="3600" b="1" baseline="0">
              <a:ln>
                <a:solidFill>
                  <a:srgbClr val="000000"/>
                </a:solidFill>
              </a:ln>
              <a:solidFill>
                <a:schemeClr val="accent1">
                  <a:lumMod val="75000"/>
                </a:schemeClr>
              </a:solidFill>
              <a:effectLst>
                <a:outerShdw blurRad="50800" dist="38100" algn="l" rotWithShape="0">
                  <a:prstClr val="black">
                    <a:alpha val="40000"/>
                  </a:prstClr>
                </a:outerShdw>
              </a:effectLst>
            </a:rPr>
            <a:t> 2011</a:t>
          </a:r>
          <a:endParaRPr lang="en-IN" sz="3600" b="1">
            <a:ln>
              <a:solidFill>
                <a:srgbClr val="000000"/>
              </a:solidFill>
            </a:ln>
            <a:solidFill>
              <a:schemeClr val="accent1">
                <a:lumMod val="75000"/>
              </a:schemeClr>
            </a:solidFill>
            <a:effectLst>
              <a:outerShdw blurRad="50800" dist="38100" algn="l" rotWithShape="0">
                <a:prstClr val="black">
                  <a:alpha val="40000"/>
                </a:prstClr>
              </a:outerShdw>
            </a:effectLst>
          </a:endParaRPr>
        </a:p>
      </xdr:txBody>
    </xdr:sp>
    <xdr:clientData/>
  </xdr:twoCellAnchor>
  <xdr:twoCellAnchor>
    <xdr:from>
      <xdr:col>4</xdr:col>
      <xdr:colOff>76199</xdr:colOff>
      <xdr:row>4</xdr:row>
      <xdr:rowOff>129540</xdr:rowOff>
    </xdr:from>
    <xdr:to>
      <xdr:col>5</xdr:col>
      <xdr:colOff>51206</xdr:colOff>
      <xdr:row>6</xdr:row>
      <xdr:rowOff>60960</xdr:rowOff>
    </xdr:to>
    <xdr:sp macro="" textlink="">
      <xdr:nvSpPr>
        <xdr:cNvPr id="75" name="TextBox 74">
          <a:extLst>
            <a:ext uri="{FF2B5EF4-FFF2-40B4-BE49-F238E27FC236}">
              <a16:creationId xmlns:a16="http://schemas.microsoft.com/office/drawing/2014/main" id="{E2A40DFE-DE32-4DB5-946D-0166942F04DC}"/>
            </a:ext>
          </a:extLst>
        </xdr:cNvPr>
        <xdr:cNvSpPr txBox="1"/>
      </xdr:nvSpPr>
      <xdr:spPr>
        <a:xfrm>
          <a:off x="2514599" y="861060"/>
          <a:ext cx="584607" cy="297180"/>
        </a:xfrm>
        <a:prstGeom prst="rect">
          <a:avLst/>
        </a:prstGeom>
        <a:blipFill dpi="0" rotWithShape="1">
          <a:blip xmlns:r="http://schemas.openxmlformats.org/officeDocument/2006/relationships" r:embed="rId6" cstate="print">
            <a:extLst>
              <a:ext uri="{28A0092B-C50C-407E-A947-70E740481C1C}">
                <a14:useLocalDpi xmlns:a14="http://schemas.microsoft.com/office/drawing/2010/main" val="0"/>
              </a:ext>
            </a:extLst>
          </a:blip>
          <a:srcRect/>
          <a:stretch>
            <a:fillRect/>
          </a:stretch>
        </a:bli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6000" b="1" i="0" u="none" strike="noStrike">
            <a:solidFill>
              <a:schemeClr val="accent1">
                <a:lumMod val="75000"/>
              </a:schemeClr>
            </a:solidFill>
            <a:latin typeface="Calibri"/>
            <a:ea typeface="Calibri"/>
            <a:cs typeface="Calibri"/>
          </a:endParaRPr>
        </a:p>
      </xdr:txBody>
    </xdr:sp>
    <xdr:clientData/>
  </xdr:twoCellAnchor>
  <xdr:twoCellAnchor>
    <xdr:from>
      <xdr:col>4</xdr:col>
      <xdr:colOff>76201</xdr:colOff>
      <xdr:row>6</xdr:row>
      <xdr:rowOff>137160</xdr:rowOff>
    </xdr:from>
    <xdr:to>
      <xdr:col>5</xdr:col>
      <xdr:colOff>30480</xdr:colOff>
      <xdr:row>8</xdr:row>
      <xdr:rowOff>83820</xdr:rowOff>
    </xdr:to>
    <xdr:sp macro="" textlink="">
      <xdr:nvSpPr>
        <xdr:cNvPr id="76" name="TextBox 75">
          <a:extLst>
            <a:ext uri="{FF2B5EF4-FFF2-40B4-BE49-F238E27FC236}">
              <a16:creationId xmlns:a16="http://schemas.microsoft.com/office/drawing/2014/main" id="{894415A6-77FC-45BD-9D8A-5A6B303CE278}"/>
            </a:ext>
          </a:extLst>
        </xdr:cNvPr>
        <xdr:cNvSpPr txBox="1"/>
      </xdr:nvSpPr>
      <xdr:spPr>
        <a:xfrm>
          <a:off x="2514601" y="1234440"/>
          <a:ext cx="563879" cy="312420"/>
        </a:xfrm>
        <a:prstGeom prst="rect">
          <a:avLst/>
        </a:prstGeom>
        <a:blipFill dpi="0" rotWithShape="1">
          <a:blip xmlns:r="http://schemas.openxmlformats.org/officeDocument/2006/relationships" r:embed="rId7" cstate="print">
            <a:extLst>
              <a:ext uri="{28A0092B-C50C-407E-A947-70E740481C1C}">
                <a14:useLocalDpi xmlns:a14="http://schemas.microsoft.com/office/drawing/2010/main" val="0"/>
              </a:ext>
            </a:extLst>
          </a:blip>
          <a:srcRect/>
          <a:stretch>
            <a:fillRect/>
          </a:stretch>
        </a:bli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i="0" u="none" strike="noStrike">
            <a:solidFill>
              <a:schemeClr val="accent1">
                <a:lumMod val="75000"/>
              </a:schemeClr>
            </a:solidFill>
            <a:latin typeface="Calibri"/>
            <a:ea typeface="Calibri"/>
            <a:cs typeface="Calibri"/>
          </a:endParaRPr>
        </a:p>
      </xdr:txBody>
    </xdr:sp>
    <xdr:clientData/>
  </xdr:twoCellAnchor>
  <xdr:twoCellAnchor>
    <xdr:from>
      <xdr:col>4</xdr:col>
      <xdr:colOff>167640</xdr:colOff>
      <xdr:row>5</xdr:row>
      <xdr:rowOff>167640</xdr:rowOff>
    </xdr:from>
    <xdr:to>
      <xdr:col>6</xdr:col>
      <xdr:colOff>64618</xdr:colOff>
      <xdr:row>7</xdr:row>
      <xdr:rowOff>0</xdr:rowOff>
    </xdr:to>
    <xdr:sp macro="" textlink="$E$6">
      <xdr:nvSpPr>
        <xdr:cNvPr id="77" name="Growth percent">
          <a:extLst>
            <a:ext uri="{FF2B5EF4-FFF2-40B4-BE49-F238E27FC236}">
              <a16:creationId xmlns:a16="http://schemas.microsoft.com/office/drawing/2014/main" id="{9EB09FE1-F876-49C2-A05E-1A627D9EBE1B}"/>
            </a:ext>
          </a:extLst>
        </xdr:cNvPr>
        <xdr:cNvSpPr/>
      </xdr:nvSpPr>
      <xdr:spPr>
        <a:xfrm>
          <a:off x="2606040" y="1082040"/>
          <a:ext cx="1116178" cy="1981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900" b="1" i="0" u="none" strike="noStrike">
              <a:solidFill>
                <a:srgbClr val="000000"/>
              </a:solidFill>
              <a:latin typeface="Calibri"/>
              <a:ea typeface="Calibri"/>
              <a:cs typeface="Calibri"/>
            </a:rPr>
            <a:t>Evening</a:t>
          </a:r>
          <a:r>
            <a:rPr lang="en-US" sz="900" b="1" i="0" u="none" strike="noStrike" baseline="0">
              <a:solidFill>
                <a:srgbClr val="000000"/>
              </a:solidFill>
              <a:latin typeface="Calibri"/>
              <a:ea typeface="Calibri"/>
              <a:cs typeface="Calibri"/>
            </a:rPr>
            <a:t> </a:t>
          </a:r>
          <a:r>
            <a:rPr lang="en-US" sz="900" b="1" i="0" u="none" strike="noStrike">
              <a:solidFill>
                <a:srgbClr val="000000"/>
              </a:solidFill>
              <a:latin typeface="Calibri"/>
              <a:ea typeface="Calibri"/>
              <a:cs typeface="Calibri"/>
            </a:rPr>
            <a:t> Peak Hour</a:t>
          </a:r>
          <a:fld id="{0806B8C7-A29B-489D-A460-D1EBFF74DF48}" type="TxLink">
            <a:rPr lang="en-US" sz="900" b="1" i="0" u="none" strike="noStrike">
              <a:solidFill>
                <a:srgbClr val="000000"/>
              </a:solidFill>
              <a:latin typeface="Calibri"/>
              <a:ea typeface="Calibri"/>
              <a:cs typeface="Calibri"/>
            </a:rPr>
            <a:pPr algn="r"/>
            <a:t> </a:t>
          </a:fld>
          <a:endParaRPr lang="en-IN" sz="1000" b="1"/>
        </a:p>
      </xdr:txBody>
    </xdr:sp>
    <xdr:clientData/>
  </xdr:twoCellAnchor>
  <xdr:twoCellAnchor>
    <xdr:from>
      <xdr:col>5</xdr:col>
      <xdr:colOff>15240</xdr:colOff>
      <xdr:row>6</xdr:row>
      <xdr:rowOff>129540</xdr:rowOff>
    </xdr:from>
    <xdr:to>
      <xdr:col>6</xdr:col>
      <xdr:colOff>74067</xdr:colOff>
      <xdr:row>8</xdr:row>
      <xdr:rowOff>38101</xdr:rowOff>
    </xdr:to>
    <xdr:sp macro="" textlink="'Peak Hour Kpi '!E7">
      <xdr:nvSpPr>
        <xdr:cNvPr id="78" name="TextBox 77">
          <a:extLst>
            <a:ext uri="{FF2B5EF4-FFF2-40B4-BE49-F238E27FC236}">
              <a16:creationId xmlns:a16="http://schemas.microsoft.com/office/drawing/2014/main" id="{357CAC63-DEC4-4373-BD6D-8AC84CAB0F37}"/>
            </a:ext>
          </a:extLst>
        </xdr:cNvPr>
        <xdr:cNvSpPr txBox="1"/>
      </xdr:nvSpPr>
      <xdr:spPr>
        <a:xfrm>
          <a:off x="3063240" y="1226820"/>
          <a:ext cx="668427" cy="274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F8CB26F-5436-4CCB-8C94-82133FDC6961}" type="TxLink">
            <a:rPr lang="en-US" sz="1400" b="1" i="0" u="none" strike="noStrike">
              <a:solidFill>
                <a:schemeClr val="accent1">
                  <a:lumMod val="75000"/>
                </a:schemeClr>
              </a:solidFill>
              <a:latin typeface="Calibri"/>
              <a:ea typeface="Calibri"/>
              <a:cs typeface="Calibri"/>
            </a:rPr>
            <a:pPr/>
            <a:t>5 PM</a:t>
          </a:fld>
          <a:endParaRPr lang="en-IN" sz="8800" b="1">
            <a:solidFill>
              <a:schemeClr val="accent1">
                <a:lumMod val="75000"/>
              </a:schemeClr>
            </a:solidFill>
          </a:endParaRPr>
        </a:p>
      </xdr:txBody>
    </xdr:sp>
    <xdr:clientData/>
  </xdr:twoCellAnchor>
  <xdr:twoCellAnchor>
    <xdr:from>
      <xdr:col>7</xdr:col>
      <xdr:colOff>381000</xdr:colOff>
      <xdr:row>6</xdr:row>
      <xdr:rowOff>121916</xdr:rowOff>
    </xdr:from>
    <xdr:to>
      <xdr:col>8</xdr:col>
      <xdr:colOff>597257</xdr:colOff>
      <xdr:row>8</xdr:row>
      <xdr:rowOff>30477</xdr:rowOff>
    </xdr:to>
    <xdr:sp macro="" textlink="KPI!B6">
      <xdr:nvSpPr>
        <xdr:cNvPr id="60" name="TextBox 59">
          <a:extLst>
            <a:ext uri="{FF2B5EF4-FFF2-40B4-BE49-F238E27FC236}">
              <a16:creationId xmlns:a16="http://schemas.microsoft.com/office/drawing/2014/main" id="{BC4E6AEE-CE06-41D7-8881-4F3D0F79869E}"/>
            </a:ext>
          </a:extLst>
        </xdr:cNvPr>
        <xdr:cNvSpPr txBox="1"/>
      </xdr:nvSpPr>
      <xdr:spPr>
        <a:xfrm>
          <a:off x="4648200" y="1219196"/>
          <a:ext cx="825857" cy="274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F04983F-6669-4656-9B47-1E951A85AB98}" type="TxLink">
            <a:rPr lang="en-US" sz="1800" b="1" i="0" u="none" strike="noStrike">
              <a:solidFill>
                <a:schemeClr val="accent1">
                  <a:lumMod val="75000"/>
                </a:schemeClr>
              </a:solidFill>
              <a:latin typeface="Calibri"/>
              <a:ea typeface="Calibri"/>
              <a:cs typeface="Calibri"/>
            </a:rPr>
            <a:pPr/>
            <a:t>0.45°C</a:t>
          </a:fld>
          <a:endParaRPr lang="en-IN" sz="7200" b="1">
            <a:solidFill>
              <a:schemeClr val="accent1">
                <a:lumMod val="75000"/>
              </a:schemeClr>
            </a:solidFill>
          </a:endParaRPr>
        </a:p>
      </xdr:txBody>
    </xdr:sp>
    <xdr:clientData/>
  </xdr:twoCellAnchor>
  <xdr:twoCellAnchor>
    <xdr:from>
      <xdr:col>7</xdr:col>
      <xdr:colOff>320040</xdr:colOff>
      <xdr:row>6</xdr:row>
      <xdr:rowOff>22856</xdr:rowOff>
    </xdr:from>
    <xdr:to>
      <xdr:col>9</xdr:col>
      <xdr:colOff>72239</xdr:colOff>
      <xdr:row>7</xdr:row>
      <xdr:rowOff>99060</xdr:rowOff>
    </xdr:to>
    <xdr:sp macro="" textlink="$E$6">
      <xdr:nvSpPr>
        <xdr:cNvPr id="61" name="Growth percent">
          <a:extLst>
            <a:ext uri="{FF2B5EF4-FFF2-40B4-BE49-F238E27FC236}">
              <a16:creationId xmlns:a16="http://schemas.microsoft.com/office/drawing/2014/main" id="{B4B45288-B116-4B05-80E9-9300DCAFCB1C}"/>
            </a:ext>
          </a:extLst>
        </xdr:cNvPr>
        <xdr:cNvSpPr/>
      </xdr:nvSpPr>
      <xdr:spPr>
        <a:xfrm>
          <a:off x="4587240" y="1120136"/>
          <a:ext cx="971399" cy="2590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i="0" u="none" strike="noStrike">
              <a:solidFill>
                <a:srgbClr val="000000"/>
              </a:solidFill>
              <a:latin typeface="Calibri"/>
              <a:ea typeface="Calibri"/>
              <a:cs typeface="Calibri"/>
            </a:rPr>
            <a:t>Max</a:t>
          </a:r>
          <a:r>
            <a:rPr lang="en-US" sz="900" b="1" i="0" u="none" strike="noStrike" baseline="0">
              <a:solidFill>
                <a:srgbClr val="000000"/>
              </a:solidFill>
              <a:latin typeface="Calibri"/>
              <a:ea typeface="Calibri"/>
              <a:cs typeface="Calibri"/>
            </a:rPr>
            <a:t> Assu. Temp</a:t>
          </a:r>
          <a:fld id="{0806B8C7-A29B-489D-A460-D1EBFF74DF48}" type="TxLink">
            <a:rPr lang="en-US" sz="900" b="1" i="0" u="none" strike="noStrike">
              <a:solidFill>
                <a:srgbClr val="000000"/>
              </a:solidFill>
              <a:latin typeface="Calibri"/>
              <a:ea typeface="Calibri"/>
              <a:cs typeface="Calibri"/>
            </a:rPr>
            <a:pPr algn="l"/>
            <a:t> </a:t>
          </a:fld>
          <a:endParaRPr lang="en-IN" sz="1000" b="1"/>
        </a:p>
      </xdr:txBody>
    </xdr:sp>
    <xdr:clientData/>
  </xdr:twoCellAnchor>
  <xdr:twoCellAnchor>
    <xdr:from>
      <xdr:col>1</xdr:col>
      <xdr:colOff>266700</xdr:colOff>
      <xdr:row>6</xdr:row>
      <xdr:rowOff>106680</xdr:rowOff>
    </xdr:from>
    <xdr:to>
      <xdr:col>3</xdr:col>
      <xdr:colOff>73611</xdr:colOff>
      <xdr:row>8</xdr:row>
      <xdr:rowOff>15241</xdr:rowOff>
    </xdr:to>
    <xdr:sp macro="" textlink="KPI!C6">
      <xdr:nvSpPr>
        <xdr:cNvPr id="73" name="TextBox 72">
          <a:extLst>
            <a:ext uri="{FF2B5EF4-FFF2-40B4-BE49-F238E27FC236}">
              <a16:creationId xmlns:a16="http://schemas.microsoft.com/office/drawing/2014/main" id="{D0FF08A9-25C3-44F9-99BE-9216C74DC453}"/>
            </a:ext>
          </a:extLst>
        </xdr:cNvPr>
        <xdr:cNvSpPr txBox="1"/>
      </xdr:nvSpPr>
      <xdr:spPr>
        <a:xfrm>
          <a:off x="876300" y="1203960"/>
          <a:ext cx="1026111" cy="274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5F8F02C-52A8-4FDF-B7D9-638B3B01B765}" type="TxLink">
            <a:rPr lang="en-US" sz="1800" b="1" i="0" u="none" strike="noStrike">
              <a:solidFill>
                <a:schemeClr val="accent1">
                  <a:lumMod val="75000"/>
                </a:schemeClr>
              </a:solidFill>
              <a:latin typeface="Calibri"/>
              <a:ea typeface="Calibri"/>
              <a:cs typeface="Calibri"/>
            </a:rPr>
            <a:pPr/>
            <a:t>0.19 m/s</a:t>
          </a:fld>
          <a:endParaRPr lang="en-IN" sz="11500" b="1">
            <a:solidFill>
              <a:schemeClr val="accent1">
                <a:lumMod val="75000"/>
              </a:schemeClr>
            </a:solidFill>
          </a:endParaRPr>
        </a:p>
      </xdr:txBody>
    </xdr:sp>
    <xdr:clientData/>
  </xdr:twoCellAnchor>
  <xdr:twoCellAnchor>
    <xdr:from>
      <xdr:col>0</xdr:col>
      <xdr:colOff>188452</xdr:colOff>
      <xdr:row>8</xdr:row>
      <xdr:rowOff>137160</xdr:rowOff>
    </xdr:from>
    <xdr:to>
      <xdr:col>9</xdr:col>
      <xdr:colOff>472607</xdr:colOff>
      <xdr:row>18</xdr:row>
      <xdr:rowOff>360</xdr:rowOff>
    </xdr:to>
    <xdr:grpSp>
      <xdr:nvGrpSpPr>
        <xdr:cNvPr id="36" name="Group 35">
          <a:extLst>
            <a:ext uri="{FF2B5EF4-FFF2-40B4-BE49-F238E27FC236}">
              <a16:creationId xmlns:a16="http://schemas.microsoft.com/office/drawing/2014/main" id="{1948B65B-4D07-47F9-812D-497E887E2809}"/>
            </a:ext>
          </a:extLst>
        </xdr:cNvPr>
        <xdr:cNvGrpSpPr/>
      </xdr:nvGrpSpPr>
      <xdr:grpSpPr>
        <a:xfrm>
          <a:off x="188452" y="1600200"/>
          <a:ext cx="5770555" cy="1692000"/>
          <a:chOff x="188184" y="1760220"/>
          <a:chExt cx="5900196" cy="1874520"/>
        </a:xfrm>
      </xdr:grpSpPr>
      <xdr:sp macro="" textlink="">
        <xdr:nvSpPr>
          <xdr:cNvPr id="4" name="Rectangle 3">
            <a:extLst>
              <a:ext uri="{FF2B5EF4-FFF2-40B4-BE49-F238E27FC236}">
                <a16:creationId xmlns:a16="http://schemas.microsoft.com/office/drawing/2014/main" id="{C4D812A6-4A16-4EED-B171-CFDD5BABE2CA}"/>
              </a:ext>
            </a:extLst>
          </xdr:cNvPr>
          <xdr:cNvSpPr/>
        </xdr:nvSpPr>
        <xdr:spPr>
          <a:xfrm>
            <a:off x="198120" y="1760220"/>
            <a:ext cx="5890260" cy="187452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79" name="Chart 78">
            <a:extLst>
              <a:ext uri="{FF2B5EF4-FFF2-40B4-BE49-F238E27FC236}">
                <a16:creationId xmlns:a16="http://schemas.microsoft.com/office/drawing/2014/main" id="{E5331727-EB76-43B0-850C-47F9FC5D75CD}"/>
              </a:ext>
            </a:extLst>
          </xdr:cNvPr>
          <xdr:cNvGraphicFramePr>
            <a:graphicFrameLocks/>
          </xdr:cNvGraphicFramePr>
        </xdr:nvGraphicFramePr>
        <xdr:xfrm>
          <a:off x="188184" y="1781057"/>
          <a:ext cx="5853278" cy="1815583"/>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10</xdr:col>
      <xdr:colOff>60960</xdr:colOff>
      <xdr:row>8</xdr:row>
      <xdr:rowOff>175260</xdr:rowOff>
    </xdr:from>
    <xdr:to>
      <xdr:col>18</xdr:col>
      <xdr:colOff>106680</xdr:colOff>
      <xdr:row>18</xdr:row>
      <xdr:rowOff>38100</xdr:rowOff>
    </xdr:to>
    <xdr:graphicFrame macro="">
      <xdr:nvGraphicFramePr>
        <xdr:cNvPr id="80" name="Chart 79">
          <a:extLst>
            <a:ext uri="{FF2B5EF4-FFF2-40B4-BE49-F238E27FC236}">
              <a16:creationId xmlns:a16="http://schemas.microsoft.com/office/drawing/2014/main" id="{E3698662-2050-4A0B-AE06-80D156E27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220980</xdr:colOff>
      <xdr:row>18</xdr:row>
      <xdr:rowOff>83820</xdr:rowOff>
    </xdr:from>
    <xdr:to>
      <xdr:col>6</xdr:col>
      <xdr:colOff>350520</xdr:colOff>
      <xdr:row>30</xdr:row>
      <xdr:rowOff>0</xdr:rowOff>
    </xdr:to>
    <xdr:grpSp>
      <xdr:nvGrpSpPr>
        <xdr:cNvPr id="37" name="Group 36">
          <a:extLst>
            <a:ext uri="{FF2B5EF4-FFF2-40B4-BE49-F238E27FC236}">
              <a16:creationId xmlns:a16="http://schemas.microsoft.com/office/drawing/2014/main" id="{529F2C71-D3A7-4003-B5A0-EFFB339565A8}"/>
            </a:ext>
          </a:extLst>
        </xdr:cNvPr>
        <xdr:cNvGrpSpPr/>
      </xdr:nvGrpSpPr>
      <xdr:grpSpPr>
        <a:xfrm>
          <a:off x="220980" y="3375660"/>
          <a:ext cx="3787140" cy="2110740"/>
          <a:chOff x="5486400" y="4023360"/>
          <a:chExt cx="3787140" cy="2110740"/>
        </a:xfrm>
      </xdr:grpSpPr>
      <xdr:sp macro="" textlink="">
        <xdr:nvSpPr>
          <xdr:cNvPr id="87" name="Rectangle 86">
            <a:extLst>
              <a:ext uri="{FF2B5EF4-FFF2-40B4-BE49-F238E27FC236}">
                <a16:creationId xmlns:a16="http://schemas.microsoft.com/office/drawing/2014/main" id="{F9CD76A7-B4B0-4525-9670-BF5307C2B744}"/>
              </a:ext>
            </a:extLst>
          </xdr:cNvPr>
          <xdr:cNvSpPr/>
        </xdr:nvSpPr>
        <xdr:spPr>
          <a:xfrm>
            <a:off x="5486400" y="4023360"/>
            <a:ext cx="3787140" cy="211074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88" name="Chart 87">
            <a:extLst>
              <a:ext uri="{FF2B5EF4-FFF2-40B4-BE49-F238E27FC236}">
                <a16:creationId xmlns:a16="http://schemas.microsoft.com/office/drawing/2014/main" id="{D4410FC9-D111-4E3D-9A15-FDA45A178684}"/>
              </a:ext>
            </a:extLst>
          </xdr:cNvPr>
          <xdr:cNvGraphicFramePr>
            <a:graphicFrameLocks/>
          </xdr:cNvGraphicFramePr>
        </xdr:nvGraphicFramePr>
        <xdr:xfrm>
          <a:off x="5539740" y="4046220"/>
          <a:ext cx="3680460" cy="2011680"/>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6</xdr:col>
      <xdr:colOff>426720</xdr:colOff>
      <xdr:row>18</xdr:row>
      <xdr:rowOff>76200</xdr:rowOff>
    </xdr:from>
    <xdr:to>
      <xdr:col>12</xdr:col>
      <xdr:colOff>556260</xdr:colOff>
      <xdr:row>29</xdr:row>
      <xdr:rowOff>175260</xdr:rowOff>
    </xdr:to>
    <xdr:grpSp>
      <xdr:nvGrpSpPr>
        <xdr:cNvPr id="41" name="Group 40">
          <a:extLst>
            <a:ext uri="{FF2B5EF4-FFF2-40B4-BE49-F238E27FC236}">
              <a16:creationId xmlns:a16="http://schemas.microsoft.com/office/drawing/2014/main" id="{56AB6687-DE3B-412C-BBB1-289383EF89AB}"/>
            </a:ext>
          </a:extLst>
        </xdr:cNvPr>
        <xdr:cNvGrpSpPr/>
      </xdr:nvGrpSpPr>
      <xdr:grpSpPr>
        <a:xfrm>
          <a:off x="4084320" y="3368040"/>
          <a:ext cx="3787140" cy="2110740"/>
          <a:chOff x="9014460" y="4175760"/>
          <a:chExt cx="3787140" cy="2110740"/>
        </a:xfrm>
      </xdr:grpSpPr>
      <xdr:sp macro="" textlink="">
        <xdr:nvSpPr>
          <xdr:cNvPr id="91" name="Rectangle 90">
            <a:extLst>
              <a:ext uri="{FF2B5EF4-FFF2-40B4-BE49-F238E27FC236}">
                <a16:creationId xmlns:a16="http://schemas.microsoft.com/office/drawing/2014/main" id="{22158875-78C0-41E3-A2AC-D4A64396DDEC}"/>
              </a:ext>
            </a:extLst>
          </xdr:cNvPr>
          <xdr:cNvSpPr/>
        </xdr:nvSpPr>
        <xdr:spPr>
          <a:xfrm>
            <a:off x="9014460" y="4175760"/>
            <a:ext cx="3787140" cy="211074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graphicFrame macro="">
        <xdr:nvGraphicFramePr>
          <xdr:cNvPr id="89" name="Chart 88">
            <a:extLst>
              <a:ext uri="{FF2B5EF4-FFF2-40B4-BE49-F238E27FC236}">
                <a16:creationId xmlns:a16="http://schemas.microsoft.com/office/drawing/2014/main" id="{0F839B21-F1D6-42F6-B19D-1E75DFF5AAEC}"/>
              </a:ext>
            </a:extLst>
          </xdr:cNvPr>
          <xdr:cNvGraphicFramePr>
            <a:graphicFrameLocks/>
          </xdr:cNvGraphicFramePr>
        </xdr:nvGraphicFramePr>
        <xdr:xfrm>
          <a:off x="9052560" y="4183380"/>
          <a:ext cx="3718560" cy="207264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13</xdr:col>
      <xdr:colOff>15240</xdr:colOff>
      <xdr:row>18</xdr:row>
      <xdr:rowOff>68580</xdr:rowOff>
    </xdr:from>
    <xdr:to>
      <xdr:col>18</xdr:col>
      <xdr:colOff>114300</xdr:colOff>
      <xdr:row>36</xdr:row>
      <xdr:rowOff>137160</xdr:rowOff>
    </xdr:to>
    <xdr:sp macro="" textlink="">
      <xdr:nvSpPr>
        <xdr:cNvPr id="98" name="Rectangle 97">
          <a:extLst>
            <a:ext uri="{FF2B5EF4-FFF2-40B4-BE49-F238E27FC236}">
              <a16:creationId xmlns:a16="http://schemas.microsoft.com/office/drawing/2014/main" id="{3EE5E200-5372-4B34-A982-12A65E5784EB}"/>
            </a:ext>
          </a:extLst>
        </xdr:cNvPr>
        <xdr:cNvSpPr/>
      </xdr:nvSpPr>
      <xdr:spPr>
        <a:xfrm>
          <a:off x="7897434" y="3313225"/>
          <a:ext cx="3130672" cy="3313225"/>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0</xdr:colOff>
      <xdr:row>18</xdr:row>
      <xdr:rowOff>60960</xdr:rowOff>
    </xdr:from>
    <xdr:to>
      <xdr:col>18</xdr:col>
      <xdr:colOff>114300</xdr:colOff>
      <xdr:row>36</xdr:row>
      <xdr:rowOff>30480</xdr:rowOff>
    </xdr:to>
    <xdr:graphicFrame macro="">
      <xdr:nvGraphicFramePr>
        <xdr:cNvPr id="100" name="Chart 99">
          <a:extLst>
            <a:ext uri="{FF2B5EF4-FFF2-40B4-BE49-F238E27FC236}">
              <a16:creationId xmlns:a16="http://schemas.microsoft.com/office/drawing/2014/main" id="{D9E4AEBA-45B8-4211-9941-830E90E5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220980</xdr:colOff>
      <xdr:row>30</xdr:row>
      <xdr:rowOff>68580</xdr:rowOff>
    </xdr:from>
    <xdr:to>
      <xdr:col>6</xdr:col>
      <xdr:colOff>344130</xdr:colOff>
      <xdr:row>36</xdr:row>
      <xdr:rowOff>137160</xdr:rowOff>
    </xdr:to>
    <xdr:sp macro="" textlink="">
      <xdr:nvSpPr>
        <xdr:cNvPr id="104" name="Rectangle 103">
          <a:extLst>
            <a:ext uri="{FF2B5EF4-FFF2-40B4-BE49-F238E27FC236}">
              <a16:creationId xmlns:a16="http://schemas.microsoft.com/office/drawing/2014/main" id="{20499520-24F4-4375-A2B0-9452D2A88087}"/>
            </a:ext>
          </a:extLst>
        </xdr:cNvPr>
        <xdr:cNvSpPr/>
      </xdr:nvSpPr>
      <xdr:spPr>
        <a:xfrm>
          <a:off x="220980" y="5476322"/>
          <a:ext cx="3761085" cy="1150128"/>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204839</xdr:colOff>
      <xdr:row>8</xdr:row>
      <xdr:rowOff>112578</xdr:rowOff>
    </xdr:from>
    <xdr:to>
      <xdr:col>23</xdr:col>
      <xdr:colOff>8193</xdr:colOff>
      <xdr:row>36</xdr:row>
      <xdr:rowOff>137160</xdr:rowOff>
    </xdr:to>
    <xdr:sp macro="" textlink="">
      <xdr:nvSpPr>
        <xdr:cNvPr id="107" name="Rectangle 106">
          <a:extLst>
            <a:ext uri="{FF2B5EF4-FFF2-40B4-BE49-F238E27FC236}">
              <a16:creationId xmlns:a16="http://schemas.microsoft.com/office/drawing/2014/main" id="{DB6CD6D8-392A-4E76-B134-07504B46078B}"/>
            </a:ext>
          </a:extLst>
        </xdr:cNvPr>
        <xdr:cNvSpPr/>
      </xdr:nvSpPr>
      <xdr:spPr>
        <a:xfrm>
          <a:off x="11118645" y="1554643"/>
          <a:ext cx="2834967" cy="5071807"/>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20</xdr:col>
      <xdr:colOff>242246</xdr:colOff>
      <xdr:row>29</xdr:row>
      <xdr:rowOff>177144</xdr:rowOff>
    </xdr:from>
    <xdr:to>
      <xdr:col>23</xdr:col>
      <xdr:colOff>7279</xdr:colOff>
      <xdr:row>36</xdr:row>
      <xdr:rowOff>139338</xdr:rowOff>
    </xdr:to>
    <mc:AlternateContent xmlns:mc="http://schemas.openxmlformats.org/markup-compatibility/2006" xmlns:a14="http://schemas.microsoft.com/office/drawing/2010/main">
      <mc:Choice Requires="a14">
        <xdr:graphicFrame macro="">
          <xdr:nvGraphicFramePr>
            <xdr:cNvPr id="47" name="Temp Category">
              <a:extLst>
                <a:ext uri="{FF2B5EF4-FFF2-40B4-BE49-F238E27FC236}">
                  <a16:creationId xmlns:a16="http://schemas.microsoft.com/office/drawing/2014/main" id="{3186D213-4C08-450E-B5C3-C36C8BB01788}"/>
                </a:ext>
              </a:extLst>
            </xdr:cNvPr>
            <xdr:cNvGraphicFramePr/>
          </xdr:nvGraphicFramePr>
          <xdr:xfrm>
            <a:off x="0" y="0"/>
            <a:ext cx="0" cy="0"/>
          </xdr:xfrm>
          <a:graphic>
            <a:graphicData uri="http://schemas.microsoft.com/office/drawing/2010/slicer">
              <sle:slicer xmlns:sle="http://schemas.microsoft.com/office/drawing/2010/slicer" name="Temp Category"/>
            </a:graphicData>
          </a:graphic>
        </xdr:graphicFrame>
      </mc:Choice>
      <mc:Fallback xmlns="">
        <xdr:sp macro="" textlink="">
          <xdr:nvSpPr>
            <xdr:cNvPr id="0" name=""/>
            <xdr:cNvSpPr>
              <a:spLocks noTextEdit="1"/>
            </xdr:cNvSpPr>
          </xdr:nvSpPr>
          <xdr:spPr>
            <a:xfrm>
              <a:off x="12434246" y="5480664"/>
              <a:ext cx="1593833" cy="12423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220651</xdr:colOff>
      <xdr:row>8</xdr:row>
      <xdr:rowOff>126507</xdr:rowOff>
    </xdr:from>
    <xdr:to>
      <xdr:col>20</xdr:col>
      <xdr:colOff>232005</xdr:colOff>
      <xdr:row>15</xdr:row>
      <xdr:rowOff>52701</xdr:rowOff>
    </xdr:to>
    <mc:AlternateContent xmlns:mc="http://schemas.openxmlformats.org/markup-compatibility/2006" xmlns:a14="http://schemas.microsoft.com/office/drawing/2010/main">
      <mc:Choice Requires="a14">
        <xdr:graphicFrame macro="">
          <xdr:nvGraphicFramePr>
            <xdr:cNvPr id="82" name="Category of Day">
              <a:extLst>
                <a:ext uri="{FF2B5EF4-FFF2-40B4-BE49-F238E27FC236}">
                  <a16:creationId xmlns:a16="http://schemas.microsoft.com/office/drawing/2014/main" id="{F9B7D88C-9C4C-477D-820A-0BEF6B4826EC}"/>
                </a:ext>
              </a:extLst>
            </xdr:cNvPr>
            <xdr:cNvGraphicFramePr/>
          </xdr:nvGraphicFramePr>
          <xdr:xfrm>
            <a:off x="0" y="0"/>
            <a:ext cx="0" cy="0"/>
          </xdr:xfrm>
          <a:graphic>
            <a:graphicData uri="http://schemas.microsoft.com/office/drawing/2010/slicer">
              <sle:slicer xmlns:sle="http://schemas.microsoft.com/office/drawing/2010/slicer" name="Category of Day"/>
            </a:graphicData>
          </a:graphic>
        </xdr:graphicFrame>
      </mc:Choice>
      <mc:Fallback xmlns="">
        <xdr:sp macro="" textlink="">
          <xdr:nvSpPr>
            <xdr:cNvPr id="0" name=""/>
            <xdr:cNvSpPr>
              <a:spLocks noTextEdit="1"/>
            </xdr:cNvSpPr>
          </xdr:nvSpPr>
          <xdr:spPr>
            <a:xfrm>
              <a:off x="11193451" y="1589547"/>
              <a:ext cx="1230554" cy="12063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220898</xdr:colOff>
      <xdr:row>15</xdr:row>
      <xdr:rowOff>49161</xdr:rowOff>
    </xdr:from>
    <xdr:to>
      <xdr:col>20</xdr:col>
      <xdr:colOff>232252</xdr:colOff>
      <xdr:row>36</xdr:row>
      <xdr:rowOff>147679</xdr:rowOff>
    </xdr:to>
    <mc:AlternateContent xmlns:mc="http://schemas.openxmlformats.org/markup-compatibility/2006" xmlns:a14="http://schemas.microsoft.com/office/drawing/2010/main">
      <mc:Choice Requires="a14">
        <xdr:graphicFrame macro="">
          <xdr:nvGraphicFramePr>
            <xdr:cNvPr id="43" name="Date">
              <a:extLst>
                <a:ext uri="{FF2B5EF4-FFF2-40B4-BE49-F238E27FC236}">
                  <a16:creationId xmlns:a16="http://schemas.microsoft.com/office/drawing/2014/main" id="{DD51A3A4-BA51-4E30-9948-6EEDF05259DD}"/>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1193698" y="2792361"/>
              <a:ext cx="1230554" cy="39389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243596</xdr:colOff>
      <xdr:row>8</xdr:row>
      <xdr:rowOff>127078</xdr:rowOff>
    </xdr:from>
    <xdr:to>
      <xdr:col>23</xdr:col>
      <xdr:colOff>7279</xdr:colOff>
      <xdr:row>18</xdr:row>
      <xdr:rowOff>124498</xdr:rowOff>
    </xdr:to>
    <mc:AlternateContent xmlns:mc="http://schemas.openxmlformats.org/markup-compatibility/2006" xmlns:a14="http://schemas.microsoft.com/office/drawing/2010/main">
      <mc:Choice Requires="a14">
        <xdr:graphicFrame macro="">
          <xdr:nvGraphicFramePr>
            <xdr:cNvPr id="84" name="Day Name">
              <a:extLst>
                <a:ext uri="{FF2B5EF4-FFF2-40B4-BE49-F238E27FC236}">
                  <a16:creationId xmlns:a16="http://schemas.microsoft.com/office/drawing/2014/main" id="{B7C75383-4A39-464D-B0AA-F70AB510492A}"/>
                </a:ext>
              </a:extLst>
            </xdr:cNvPr>
            <xdr:cNvGraphicFramePr/>
          </xdr:nvGraphicFramePr>
          <xdr:xfrm>
            <a:off x="0" y="0"/>
            <a:ext cx="0" cy="0"/>
          </xdr:xfrm>
          <a:graphic>
            <a:graphicData uri="http://schemas.microsoft.com/office/drawing/2010/slicer">
              <sle:slicer xmlns:sle="http://schemas.microsoft.com/office/drawing/2010/slicer" name="Day Name"/>
            </a:graphicData>
          </a:graphic>
        </xdr:graphicFrame>
      </mc:Choice>
      <mc:Fallback xmlns="">
        <xdr:sp macro="" textlink="">
          <xdr:nvSpPr>
            <xdr:cNvPr id="0" name=""/>
            <xdr:cNvSpPr>
              <a:spLocks noTextEdit="1"/>
            </xdr:cNvSpPr>
          </xdr:nvSpPr>
          <xdr:spPr>
            <a:xfrm>
              <a:off x="12435596" y="1590118"/>
              <a:ext cx="1592483" cy="18262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243596</xdr:colOff>
      <xdr:row>18</xdr:row>
      <xdr:rowOff>131322</xdr:rowOff>
    </xdr:from>
    <xdr:to>
      <xdr:col>23</xdr:col>
      <xdr:colOff>7279</xdr:colOff>
      <xdr:row>25</xdr:row>
      <xdr:rowOff>57515</xdr:rowOff>
    </xdr:to>
    <mc:AlternateContent xmlns:mc="http://schemas.openxmlformats.org/markup-compatibility/2006" xmlns:a14="http://schemas.microsoft.com/office/drawing/2010/main">
      <mc:Choice Requires="a14">
        <xdr:graphicFrame macro="">
          <xdr:nvGraphicFramePr>
            <xdr:cNvPr id="46" name="Weathercondition">
              <a:extLst>
                <a:ext uri="{FF2B5EF4-FFF2-40B4-BE49-F238E27FC236}">
                  <a16:creationId xmlns:a16="http://schemas.microsoft.com/office/drawing/2014/main" id="{5D873F8C-938B-4BDD-8D7E-AB0A62125235}"/>
                </a:ext>
              </a:extLst>
            </xdr:cNvPr>
            <xdr:cNvGraphicFramePr/>
          </xdr:nvGraphicFramePr>
          <xdr:xfrm>
            <a:off x="0" y="0"/>
            <a:ext cx="0" cy="0"/>
          </xdr:xfrm>
          <a:graphic>
            <a:graphicData uri="http://schemas.microsoft.com/office/drawing/2010/slicer">
              <sle:slicer xmlns:sle="http://schemas.microsoft.com/office/drawing/2010/slicer" name="Weathercondition"/>
            </a:graphicData>
          </a:graphic>
        </xdr:graphicFrame>
      </mc:Choice>
      <mc:Fallback xmlns="">
        <xdr:sp macro="" textlink="">
          <xdr:nvSpPr>
            <xdr:cNvPr id="0" name=""/>
            <xdr:cNvSpPr>
              <a:spLocks noTextEdit="1"/>
            </xdr:cNvSpPr>
          </xdr:nvSpPr>
          <xdr:spPr>
            <a:xfrm>
              <a:off x="12435596" y="3423162"/>
              <a:ext cx="1592483" cy="12063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243596</xdr:colOff>
      <xdr:row>25</xdr:row>
      <xdr:rowOff>71119</xdr:rowOff>
    </xdr:from>
    <xdr:to>
      <xdr:col>23</xdr:col>
      <xdr:colOff>7279</xdr:colOff>
      <xdr:row>29</xdr:row>
      <xdr:rowOff>178087</xdr:rowOff>
    </xdr:to>
    <mc:AlternateContent xmlns:mc="http://schemas.openxmlformats.org/markup-compatibility/2006" xmlns:a14="http://schemas.microsoft.com/office/drawing/2010/main">
      <mc:Choice Requires="a14">
        <xdr:graphicFrame macro="">
          <xdr:nvGraphicFramePr>
            <xdr:cNvPr id="50" name="Day Type">
              <a:extLst>
                <a:ext uri="{FF2B5EF4-FFF2-40B4-BE49-F238E27FC236}">
                  <a16:creationId xmlns:a16="http://schemas.microsoft.com/office/drawing/2014/main" id="{9FBB9934-1B3F-4404-B5E8-CC225325E395}"/>
                </a:ext>
              </a:extLst>
            </xdr:cNvPr>
            <xdr:cNvGraphicFramePr/>
          </xdr:nvGraphicFramePr>
          <xdr:xfrm>
            <a:off x="0" y="0"/>
            <a:ext cx="0" cy="0"/>
          </xdr:xfrm>
          <a:graphic>
            <a:graphicData uri="http://schemas.microsoft.com/office/drawing/2010/slicer">
              <sle:slicer xmlns:sle="http://schemas.microsoft.com/office/drawing/2010/slicer" name="Day Type"/>
            </a:graphicData>
          </a:graphic>
        </xdr:graphicFrame>
      </mc:Choice>
      <mc:Fallback xmlns="">
        <xdr:sp macro="" textlink="">
          <xdr:nvSpPr>
            <xdr:cNvPr id="0" name=""/>
            <xdr:cNvSpPr>
              <a:spLocks noTextEdit="1"/>
            </xdr:cNvSpPr>
          </xdr:nvSpPr>
          <xdr:spPr>
            <a:xfrm>
              <a:off x="12435596" y="4643119"/>
              <a:ext cx="1592483" cy="8384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417873</xdr:colOff>
      <xdr:row>30</xdr:row>
      <xdr:rowOff>73742</xdr:rowOff>
    </xdr:from>
    <xdr:to>
      <xdr:col>12</xdr:col>
      <xdr:colOff>548969</xdr:colOff>
      <xdr:row>36</xdr:row>
      <xdr:rowOff>142322</xdr:rowOff>
    </xdr:to>
    <xdr:sp macro="" textlink="">
      <xdr:nvSpPr>
        <xdr:cNvPr id="108" name="Rectangle 107">
          <a:extLst>
            <a:ext uri="{FF2B5EF4-FFF2-40B4-BE49-F238E27FC236}">
              <a16:creationId xmlns:a16="http://schemas.microsoft.com/office/drawing/2014/main" id="{B648890D-FA21-414E-A5AA-283C623A34E3}"/>
            </a:ext>
          </a:extLst>
        </xdr:cNvPr>
        <xdr:cNvSpPr/>
      </xdr:nvSpPr>
      <xdr:spPr>
        <a:xfrm>
          <a:off x="4055808" y="5481484"/>
          <a:ext cx="3769032" cy="1150128"/>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419110</xdr:colOff>
      <xdr:row>30</xdr:row>
      <xdr:rowOff>76190</xdr:rowOff>
    </xdr:from>
    <xdr:to>
      <xdr:col>12</xdr:col>
      <xdr:colOff>510550</xdr:colOff>
      <xdr:row>36</xdr:row>
      <xdr:rowOff>91430</xdr:rowOff>
    </xdr:to>
    <xdr:graphicFrame macro="">
      <xdr:nvGraphicFramePr>
        <xdr:cNvPr id="106" name="Chart 105">
          <a:extLst>
            <a:ext uri="{FF2B5EF4-FFF2-40B4-BE49-F238E27FC236}">
              <a16:creationId xmlns:a16="http://schemas.microsoft.com/office/drawing/2014/main" id="{499D3A7E-BF67-445B-A84E-0DC5586A8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213031</xdr:colOff>
      <xdr:row>30</xdr:row>
      <xdr:rowOff>81936</xdr:rowOff>
    </xdr:from>
    <xdr:to>
      <xdr:col>6</xdr:col>
      <xdr:colOff>278581</xdr:colOff>
      <xdr:row>36</xdr:row>
      <xdr:rowOff>147484</xdr:rowOff>
    </xdr:to>
    <xdr:graphicFrame macro="">
      <xdr:nvGraphicFramePr>
        <xdr:cNvPr id="110" name="Chart 109">
          <a:extLst>
            <a:ext uri="{FF2B5EF4-FFF2-40B4-BE49-F238E27FC236}">
              <a16:creationId xmlns:a16="http://schemas.microsoft.com/office/drawing/2014/main" id="{3E82F23F-F3E2-4924-B60C-26289EDEF4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385097</xdr:colOff>
      <xdr:row>30</xdr:row>
      <xdr:rowOff>40968</xdr:rowOff>
    </xdr:from>
    <xdr:to>
      <xdr:col>12</xdr:col>
      <xdr:colOff>548968</xdr:colOff>
      <xdr:row>36</xdr:row>
      <xdr:rowOff>147484</xdr:rowOff>
    </xdr:to>
    <xdr:graphicFrame macro="">
      <xdr:nvGraphicFramePr>
        <xdr:cNvPr id="111" name="Chart 110">
          <a:extLst>
            <a:ext uri="{FF2B5EF4-FFF2-40B4-BE49-F238E27FC236}">
              <a16:creationId xmlns:a16="http://schemas.microsoft.com/office/drawing/2014/main" id="{53249B3F-1EF0-4338-8334-C339817561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251460</xdr:colOff>
      <xdr:row>6</xdr:row>
      <xdr:rowOff>38100</xdr:rowOff>
    </xdr:from>
    <xdr:to>
      <xdr:col>12</xdr:col>
      <xdr:colOff>525780</xdr:colOff>
      <xdr:row>16</xdr:row>
      <xdr:rowOff>45720</xdr:rowOff>
    </xdr:to>
    <xdr:graphicFrame macro="">
      <xdr:nvGraphicFramePr>
        <xdr:cNvPr id="2" name="Chart 1">
          <a:extLst>
            <a:ext uri="{FF2B5EF4-FFF2-40B4-BE49-F238E27FC236}">
              <a16:creationId xmlns:a16="http://schemas.microsoft.com/office/drawing/2014/main" id="{5701C557-7840-4AC9-9713-BD6C005B07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480060</xdr:colOff>
      <xdr:row>6</xdr:row>
      <xdr:rowOff>167640</xdr:rowOff>
    </xdr:from>
    <xdr:to>
      <xdr:col>14</xdr:col>
      <xdr:colOff>365760</xdr:colOff>
      <xdr:row>17</xdr:row>
      <xdr:rowOff>144780</xdr:rowOff>
    </xdr:to>
    <xdr:graphicFrame macro="">
      <xdr:nvGraphicFramePr>
        <xdr:cNvPr id="2" name="Chart 1">
          <a:extLst>
            <a:ext uri="{FF2B5EF4-FFF2-40B4-BE49-F238E27FC236}">
              <a16:creationId xmlns:a16="http://schemas.microsoft.com/office/drawing/2014/main" id="{B7275128-91CA-4DCA-B9F9-D16265E434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19050</xdr:colOff>
      <xdr:row>9</xdr:row>
      <xdr:rowOff>9525</xdr:rowOff>
    </xdr:to>
    <xdr:pic>
      <xdr:nvPicPr>
        <xdr:cNvPr id="2" name="Picture 1">
          <a:extLst>
            <a:ext uri="{FF2B5EF4-FFF2-40B4-BE49-F238E27FC236}">
              <a16:creationId xmlns:a16="http://schemas.microsoft.com/office/drawing/2014/main" id="{C6E9BC88-6981-4AFC-86FE-8C2470BCC332}"/>
            </a:ext>
          </a:extLst>
        </xdr:cNvPr>
        <xdr:cNvPicPr>
          <a:picLocks noChangeAspect="1"/>
        </xdr:cNvPicPr>
      </xdr:nvPicPr>
      <xdr:blipFill>
        <a:blip xmlns:r="http://schemas.openxmlformats.org/officeDocument/2006/relationships" r:embed="rId1"/>
        <a:stretch>
          <a:fillRect/>
        </a:stretch>
      </xdr:blipFill>
      <xdr:spPr>
        <a:xfrm>
          <a:off x="0" y="0"/>
          <a:ext cx="4572000" cy="14573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228600</xdr:colOff>
      <xdr:row>5</xdr:row>
      <xdr:rowOff>129540</xdr:rowOff>
    </xdr:from>
    <xdr:to>
      <xdr:col>11</xdr:col>
      <xdr:colOff>594360</xdr:colOff>
      <xdr:row>21</xdr:row>
      <xdr:rowOff>106680</xdr:rowOff>
    </xdr:to>
    <xdr:graphicFrame macro="">
      <xdr:nvGraphicFramePr>
        <xdr:cNvPr id="3" name="Chart 2">
          <a:extLst>
            <a:ext uri="{FF2B5EF4-FFF2-40B4-BE49-F238E27FC236}">
              <a16:creationId xmlns:a16="http://schemas.microsoft.com/office/drawing/2014/main" id="{FDE1C00F-FD37-4B51-BB17-969FE0825F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853440</xdr:colOff>
      <xdr:row>6</xdr:row>
      <xdr:rowOff>167640</xdr:rowOff>
    </xdr:from>
    <xdr:to>
      <xdr:col>8</xdr:col>
      <xdr:colOff>525780</xdr:colOff>
      <xdr:row>22</xdr:row>
      <xdr:rowOff>114300</xdr:rowOff>
    </xdr:to>
    <xdr:graphicFrame macro="">
      <xdr:nvGraphicFramePr>
        <xdr:cNvPr id="2" name="Chart 1">
          <a:extLst>
            <a:ext uri="{FF2B5EF4-FFF2-40B4-BE49-F238E27FC236}">
              <a16:creationId xmlns:a16="http://schemas.microsoft.com/office/drawing/2014/main" id="{098CD3FC-3E14-47F3-90FB-1F601A3250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480060</xdr:colOff>
      <xdr:row>6</xdr:row>
      <xdr:rowOff>167640</xdr:rowOff>
    </xdr:from>
    <xdr:to>
      <xdr:col>7</xdr:col>
      <xdr:colOff>335280</xdr:colOff>
      <xdr:row>21</xdr:row>
      <xdr:rowOff>167640</xdr:rowOff>
    </xdr:to>
    <xdr:graphicFrame macro="">
      <xdr:nvGraphicFramePr>
        <xdr:cNvPr id="2" name="Chart 1">
          <a:extLst>
            <a:ext uri="{FF2B5EF4-FFF2-40B4-BE49-F238E27FC236}">
              <a16:creationId xmlns:a16="http://schemas.microsoft.com/office/drawing/2014/main" id="{61C2D6D6-3F80-428A-800B-003DE93392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13</xdr:col>
      <xdr:colOff>53340</xdr:colOff>
      <xdr:row>1</xdr:row>
      <xdr:rowOff>60960</xdr:rowOff>
    </xdr:from>
    <xdr:to>
      <xdr:col>16</xdr:col>
      <xdr:colOff>53340</xdr:colOff>
      <xdr:row>14</xdr:row>
      <xdr:rowOff>150495</xdr:rowOff>
    </xdr:to>
    <mc:AlternateContent xmlns:mc="http://schemas.openxmlformats.org/markup-compatibility/2006" xmlns:a14="http://schemas.microsoft.com/office/drawing/2010/main">
      <mc:Choice Requires="a14">
        <xdr:graphicFrame macro="">
          <xdr:nvGraphicFramePr>
            <xdr:cNvPr id="2" name="Category of Day 1">
              <a:extLst>
                <a:ext uri="{FF2B5EF4-FFF2-40B4-BE49-F238E27FC236}">
                  <a16:creationId xmlns:a16="http://schemas.microsoft.com/office/drawing/2014/main" id="{9CFBB610-1277-4949-B16B-DFB6AB7AE7EE}"/>
                </a:ext>
              </a:extLst>
            </xdr:cNvPr>
            <xdr:cNvGraphicFramePr/>
          </xdr:nvGraphicFramePr>
          <xdr:xfrm>
            <a:off x="0" y="0"/>
            <a:ext cx="0" cy="0"/>
          </xdr:xfrm>
          <a:graphic>
            <a:graphicData uri="http://schemas.microsoft.com/office/drawing/2010/slicer">
              <sle:slicer xmlns:sle="http://schemas.microsoft.com/office/drawing/2010/slicer" name="Category of Day 1"/>
            </a:graphicData>
          </a:graphic>
        </xdr:graphicFrame>
      </mc:Choice>
      <mc:Fallback xmlns="">
        <xdr:sp macro="" textlink="">
          <xdr:nvSpPr>
            <xdr:cNvPr id="0" name=""/>
            <xdr:cNvSpPr>
              <a:spLocks noTextEdit="1"/>
            </xdr:cNvSpPr>
          </xdr:nvSpPr>
          <xdr:spPr>
            <a:xfrm>
              <a:off x="8763000" y="2438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243840</xdr:colOff>
      <xdr:row>6</xdr:row>
      <xdr:rowOff>167640</xdr:rowOff>
    </xdr:from>
    <xdr:to>
      <xdr:col>11</xdr:col>
      <xdr:colOff>441960</xdr:colOff>
      <xdr:row>13</xdr:row>
      <xdr:rowOff>144780</xdr:rowOff>
    </xdr:to>
    <xdr:graphicFrame macro="">
      <xdr:nvGraphicFramePr>
        <xdr:cNvPr id="3" name="Chart 2">
          <a:extLst>
            <a:ext uri="{FF2B5EF4-FFF2-40B4-BE49-F238E27FC236}">
              <a16:creationId xmlns:a16="http://schemas.microsoft.com/office/drawing/2014/main" id="{C3A53B37-C1DB-41D8-A194-7AAAC7CC69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601980</xdr:colOff>
      <xdr:row>6</xdr:row>
      <xdr:rowOff>167640</xdr:rowOff>
    </xdr:from>
    <xdr:to>
      <xdr:col>10</xdr:col>
      <xdr:colOff>297180</xdr:colOff>
      <xdr:row>14</xdr:row>
      <xdr:rowOff>22860</xdr:rowOff>
    </xdr:to>
    <xdr:graphicFrame macro="">
      <xdr:nvGraphicFramePr>
        <xdr:cNvPr id="2" name="Chart 1">
          <a:extLst>
            <a:ext uri="{FF2B5EF4-FFF2-40B4-BE49-F238E27FC236}">
              <a16:creationId xmlns:a16="http://schemas.microsoft.com/office/drawing/2014/main" id="{CD19780E-4592-4791-82C6-B50A3C67B5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54d73927b2c42a41/Documents/Masterclass/Intership/combined%201%20and%202%20dashboard/Dataset%201%20and%202%20dashboa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Total Rides by date"/>
      <sheetName val="Total Rides by Hour"/>
      <sheetName val="Registered and casual by date"/>
      <sheetName val="Casual &amp; Registered by Day Name"/>
      <sheetName val="Casual by weather condition"/>
      <sheetName val="Registered usered by weather co"/>
      <sheetName val="KPI Card"/>
      <sheetName val="Combined Data set 1 and 2"/>
      <sheetName val="Work step "/>
    </sheetNames>
    <sheetDataSet>
      <sheetData sheetId="0"/>
      <sheetData sheetId="1"/>
      <sheetData sheetId="2"/>
      <sheetData sheetId="3"/>
      <sheetData sheetId="4"/>
      <sheetData sheetId="5"/>
      <sheetData sheetId="6"/>
      <sheetData sheetId="7"/>
      <sheetData sheetId="8"/>
      <sheetData sheetId="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tes" refreshedDate="46105.87113842593" createdVersion="7" refreshedVersion="6" minRefreshableVersion="3" recordCount="1000" xr:uid="{BB16F069-E973-4D54-929D-6A2F8637FECA}">
  <cacheSource type="worksheet">
    <worksheetSource name="Finaldataset"/>
  </cacheSource>
  <cacheFields count="15">
    <cacheField name="User Id" numFmtId="0">
      <sharedItems containsSemiMixedTypes="0" containsString="0" containsNumber="1" containsInteger="1" minValue="1" maxValue="1000"/>
    </cacheField>
    <cacheField name="Date" numFmtId="1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cacheField>
    <cacheField name="Hou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Category of Day" numFmtId="0">
      <sharedItems count="4">
        <s v="Night"/>
        <s v="Morning"/>
        <s v="Afternoon"/>
        <s v="Evening"/>
      </sharedItems>
    </cacheField>
    <cacheField name="Day Type" numFmtId="0">
      <sharedItems count="3">
        <s v="Working Day"/>
        <s v="Holiday"/>
        <s v="Hiliday" u="1"/>
      </sharedItems>
    </cacheField>
    <cacheField name="Day Name" numFmtId="0">
      <sharedItems count="7">
        <s v="Saturday"/>
        <s v="Sunday"/>
        <s v="Monday"/>
        <s v="Tuesday"/>
        <s v="Wednesday"/>
        <s v="Thursday"/>
        <s v="Friday"/>
      </sharedItems>
    </cacheField>
    <cacheField name="Weathercondition" numFmtId="0">
      <sharedItems count="4">
        <s v="Mist/Cloudy"/>
        <s v="Light Snow/Rain"/>
        <s v="Heavy Snow/Rain"/>
        <s v="Extreme Snow/Rain"/>
      </sharedItems>
    </cacheField>
    <cacheField name="Temp" numFmtId="164">
      <sharedItems containsSemiMixedTypes="0" containsString="0" containsNumber="1" minValue="0.02" maxValue="0.46"/>
    </cacheField>
    <cacheField name="Temp Category" numFmtId="0">
      <sharedItems count="3">
        <s v="Normal"/>
        <s v="Cold"/>
        <s v="Hot"/>
      </sharedItems>
    </cacheField>
    <cacheField name="Assume Temp" numFmtId="164">
      <sharedItems containsSemiMixedTypes="0" containsString="0" containsNumber="1" minValue="0" maxValue="0.45450000000000002"/>
    </cacheField>
    <cacheField name="Humidity" numFmtId="164">
      <sharedItems containsSemiMixedTypes="0" containsString="0" containsNumber="1" minValue="0.21" maxValue="1"/>
    </cacheField>
    <cacheField name="Windspeed" numFmtId="164">
      <sharedItems containsSemiMixedTypes="0" containsString="0" containsNumber="1" minValue="0" maxValue="0.58209999999999995"/>
    </cacheField>
    <cacheField name="Casual" numFmtId="0">
      <sharedItems containsSemiMixedTypes="0" containsString="0" containsNumber="1" containsInteger="1" minValue="0" maxValue="62"/>
    </cacheField>
    <cacheField name="Registered" numFmtId="0">
      <sharedItems containsSemiMixedTypes="0" containsString="0" containsNumber="1" containsInteger="1" minValue="0" maxValue="247"/>
    </cacheField>
    <cacheField name="Total Ride" numFmtId="0">
      <sharedItems containsSemiMixedTypes="0" containsString="0" containsNumber="1" containsInteger="1" minValue="1" maxValue="249"/>
    </cacheField>
  </cacheFields>
  <extLst>
    <ext xmlns:x14="http://schemas.microsoft.com/office/spreadsheetml/2009/9/main" uri="{725AE2AE-9491-48be-B2B4-4EB974FC3084}">
      <x14:pivotCacheDefinition pivotCacheId="2435288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x v="0"/>
    <x v="0"/>
    <x v="0"/>
    <x v="0"/>
    <x v="0"/>
    <n v="0.24"/>
    <x v="0"/>
    <n v="0.28789999999999999"/>
    <n v="0.81"/>
    <n v="0"/>
    <n v="3"/>
    <n v="13"/>
    <n v="16"/>
  </r>
  <r>
    <n v="2"/>
    <x v="0"/>
    <x v="1"/>
    <x v="0"/>
    <x v="0"/>
    <x v="0"/>
    <x v="0"/>
    <n v="0.22"/>
    <x v="0"/>
    <n v="0.2727"/>
    <n v="0.8"/>
    <n v="0"/>
    <n v="8"/>
    <n v="32"/>
    <n v="40"/>
  </r>
  <r>
    <n v="3"/>
    <x v="0"/>
    <x v="2"/>
    <x v="0"/>
    <x v="0"/>
    <x v="0"/>
    <x v="0"/>
    <n v="0.22"/>
    <x v="0"/>
    <n v="0.2727"/>
    <n v="0.8"/>
    <n v="0"/>
    <n v="5"/>
    <n v="27"/>
    <n v="32"/>
  </r>
  <r>
    <n v="4"/>
    <x v="0"/>
    <x v="3"/>
    <x v="0"/>
    <x v="0"/>
    <x v="0"/>
    <x v="0"/>
    <n v="0.24"/>
    <x v="0"/>
    <n v="0.28789999999999999"/>
    <n v="0.75"/>
    <n v="0"/>
    <n v="3"/>
    <n v="10"/>
    <n v="13"/>
  </r>
  <r>
    <n v="5"/>
    <x v="0"/>
    <x v="4"/>
    <x v="0"/>
    <x v="0"/>
    <x v="0"/>
    <x v="0"/>
    <n v="0.24"/>
    <x v="0"/>
    <n v="0.28789999999999999"/>
    <n v="0.75"/>
    <n v="0"/>
    <n v="0"/>
    <n v="1"/>
    <n v="1"/>
  </r>
  <r>
    <n v="6"/>
    <x v="0"/>
    <x v="5"/>
    <x v="1"/>
    <x v="0"/>
    <x v="0"/>
    <x v="1"/>
    <n v="0.24"/>
    <x v="0"/>
    <n v="0.2576"/>
    <n v="0.75"/>
    <n v="8.9599999999999999E-2"/>
    <n v="0"/>
    <n v="1"/>
    <n v="1"/>
  </r>
  <r>
    <n v="7"/>
    <x v="0"/>
    <x v="6"/>
    <x v="1"/>
    <x v="0"/>
    <x v="0"/>
    <x v="0"/>
    <n v="0.22"/>
    <x v="0"/>
    <n v="0.2727"/>
    <n v="0.8"/>
    <n v="0"/>
    <n v="2"/>
    <n v="0"/>
    <n v="2"/>
  </r>
  <r>
    <n v="8"/>
    <x v="0"/>
    <x v="7"/>
    <x v="1"/>
    <x v="0"/>
    <x v="0"/>
    <x v="0"/>
    <n v="0.2"/>
    <x v="1"/>
    <n v="0.2576"/>
    <n v="0.86"/>
    <n v="0"/>
    <n v="1"/>
    <n v="2"/>
    <n v="3"/>
  </r>
  <r>
    <n v="9"/>
    <x v="0"/>
    <x v="8"/>
    <x v="1"/>
    <x v="0"/>
    <x v="0"/>
    <x v="0"/>
    <n v="0.24"/>
    <x v="0"/>
    <n v="0.21195783619818026"/>
    <n v="0.75"/>
    <n v="0"/>
    <n v="1"/>
    <n v="7"/>
    <n v="8"/>
  </r>
  <r>
    <n v="10"/>
    <x v="0"/>
    <x v="9"/>
    <x v="1"/>
    <x v="0"/>
    <x v="0"/>
    <x v="0"/>
    <n v="0.32"/>
    <x v="0"/>
    <n v="0.34849999999999998"/>
    <n v="0.76"/>
    <n v="0"/>
    <n v="8"/>
    <n v="6"/>
    <n v="14"/>
  </r>
  <r>
    <n v="11"/>
    <x v="0"/>
    <x v="10"/>
    <x v="1"/>
    <x v="0"/>
    <x v="0"/>
    <x v="0"/>
    <n v="0.38"/>
    <x v="0"/>
    <n v="0.39389999999999997"/>
    <n v="0.76"/>
    <n v="0.25369999999999998"/>
    <n v="12"/>
    <n v="24"/>
    <n v="36"/>
  </r>
  <r>
    <n v="12"/>
    <x v="0"/>
    <x v="11"/>
    <x v="1"/>
    <x v="0"/>
    <x v="0"/>
    <x v="0"/>
    <n v="0.36"/>
    <x v="0"/>
    <n v="0.33329999999999999"/>
    <n v="0.81"/>
    <n v="0.28360000000000002"/>
    <n v="26"/>
    <n v="30"/>
    <n v="56"/>
  </r>
  <r>
    <n v="13"/>
    <x v="0"/>
    <x v="12"/>
    <x v="2"/>
    <x v="0"/>
    <x v="0"/>
    <x v="0"/>
    <n v="0.42"/>
    <x v="2"/>
    <n v="0.42420000000000002"/>
    <n v="0.77"/>
    <n v="0.28360000000000002"/>
    <n v="29"/>
    <n v="55"/>
    <n v="84"/>
  </r>
  <r>
    <n v="14"/>
    <x v="0"/>
    <x v="13"/>
    <x v="2"/>
    <x v="0"/>
    <x v="0"/>
    <x v="1"/>
    <n v="0.46"/>
    <x v="2"/>
    <n v="0.45450000000000002"/>
    <n v="0.72"/>
    <n v="0.29849999999999999"/>
    <n v="47"/>
    <n v="47"/>
    <n v="94"/>
  </r>
  <r>
    <n v="15"/>
    <x v="0"/>
    <x v="14"/>
    <x v="2"/>
    <x v="0"/>
    <x v="0"/>
    <x v="1"/>
    <n v="0.46"/>
    <x v="2"/>
    <n v="0.45450000000000002"/>
    <n v="0.72"/>
    <n v="0.28360000000000002"/>
    <n v="35"/>
    <n v="71"/>
    <n v="106"/>
  </r>
  <r>
    <n v="16"/>
    <x v="0"/>
    <x v="15"/>
    <x v="2"/>
    <x v="0"/>
    <x v="0"/>
    <x v="1"/>
    <n v="0.44"/>
    <x v="2"/>
    <n v="0.43940000000000001"/>
    <n v="0.77"/>
    <n v="0.29849999999999999"/>
    <n v="40"/>
    <n v="70"/>
    <n v="110"/>
  </r>
  <r>
    <n v="17"/>
    <x v="0"/>
    <x v="16"/>
    <x v="2"/>
    <x v="0"/>
    <x v="0"/>
    <x v="1"/>
    <n v="0.42"/>
    <x v="2"/>
    <n v="0.42420000000000002"/>
    <n v="0.82"/>
    <n v="0.29849999999999999"/>
    <n v="41"/>
    <n v="52"/>
    <n v="93"/>
  </r>
  <r>
    <n v="18"/>
    <x v="0"/>
    <x v="17"/>
    <x v="3"/>
    <x v="0"/>
    <x v="0"/>
    <x v="1"/>
    <n v="0.44"/>
    <x v="2"/>
    <n v="0.21195783619818026"/>
    <n v="0.82"/>
    <n v="0.28360000000000002"/>
    <n v="15"/>
    <n v="52"/>
    <n v="67"/>
  </r>
  <r>
    <n v="19"/>
    <x v="0"/>
    <x v="18"/>
    <x v="3"/>
    <x v="0"/>
    <x v="0"/>
    <x v="2"/>
    <n v="0.42"/>
    <x v="2"/>
    <n v="0.42420000000000002"/>
    <n v="0.88"/>
    <n v="0.25369999999999998"/>
    <n v="9"/>
    <n v="26"/>
    <n v="35"/>
  </r>
  <r>
    <n v="20"/>
    <x v="0"/>
    <x v="19"/>
    <x v="3"/>
    <x v="0"/>
    <x v="0"/>
    <x v="2"/>
    <n v="0.42"/>
    <x v="2"/>
    <n v="0.42420000000000002"/>
    <n v="0.88"/>
    <n v="0.25369999999999998"/>
    <n v="6"/>
    <n v="31"/>
    <n v="37"/>
  </r>
  <r>
    <n v="21"/>
    <x v="0"/>
    <x v="20"/>
    <x v="3"/>
    <x v="0"/>
    <x v="0"/>
    <x v="1"/>
    <n v="0.4"/>
    <x v="0"/>
    <n v="0.40910000000000002"/>
    <n v="0.87"/>
    <n v="0.25369999999999998"/>
    <n v="11"/>
    <n v="25"/>
    <n v="36"/>
  </r>
  <r>
    <n v="22"/>
    <x v="0"/>
    <x v="21"/>
    <x v="0"/>
    <x v="0"/>
    <x v="0"/>
    <x v="1"/>
    <n v="0.4"/>
    <x v="0"/>
    <n v="0.40910000000000002"/>
    <n v="0.87"/>
    <n v="0.19400000000000001"/>
    <n v="3"/>
    <n v="31"/>
    <n v="34"/>
  </r>
  <r>
    <n v="23"/>
    <x v="0"/>
    <x v="22"/>
    <x v="0"/>
    <x v="0"/>
    <x v="0"/>
    <x v="1"/>
    <n v="0.4"/>
    <x v="0"/>
    <n v="0.40910000000000002"/>
    <n v="0.94"/>
    <n v="0.22389999999999999"/>
    <n v="11"/>
    <n v="17"/>
    <n v="28"/>
  </r>
  <r>
    <n v="24"/>
    <x v="0"/>
    <x v="23"/>
    <x v="0"/>
    <x v="0"/>
    <x v="0"/>
    <x v="1"/>
    <n v="0.46"/>
    <x v="2"/>
    <n v="0.21195783619818026"/>
    <n v="0.88"/>
    <n v="0.29849999999999999"/>
    <n v="15"/>
    <n v="24"/>
    <n v="39"/>
  </r>
  <r>
    <n v="25"/>
    <x v="1"/>
    <x v="0"/>
    <x v="0"/>
    <x v="0"/>
    <x v="1"/>
    <x v="1"/>
    <n v="0.46"/>
    <x v="2"/>
    <n v="0.45450000000000002"/>
    <n v="0.88"/>
    <n v="0.29849999999999999"/>
    <n v="4"/>
    <n v="13"/>
    <n v="17"/>
  </r>
  <r>
    <n v="26"/>
    <x v="1"/>
    <x v="1"/>
    <x v="0"/>
    <x v="0"/>
    <x v="1"/>
    <x v="1"/>
    <n v="0.44"/>
    <x v="2"/>
    <n v="0.43940000000000001"/>
    <n v="0.94"/>
    <n v="0.25369999999999998"/>
    <n v="1"/>
    <n v="16"/>
    <n v="17"/>
  </r>
  <r>
    <n v="27"/>
    <x v="1"/>
    <x v="2"/>
    <x v="0"/>
    <x v="0"/>
    <x v="1"/>
    <x v="1"/>
    <n v="0.42"/>
    <x v="2"/>
    <n v="0.42420000000000002"/>
    <n v="1"/>
    <n v="0.28360000000000002"/>
    <n v="1"/>
    <n v="8"/>
    <n v="9"/>
  </r>
  <r>
    <n v="28"/>
    <x v="1"/>
    <x v="3"/>
    <x v="0"/>
    <x v="0"/>
    <x v="1"/>
    <x v="1"/>
    <n v="0.46"/>
    <x v="2"/>
    <n v="0.45450000000000002"/>
    <n v="0.94"/>
    <n v="0.19400000000000001"/>
    <n v="2"/>
    <n v="4"/>
    <n v="6"/>
  </r>
  <r>
    <n v="29"/>
    <x v="1"/>
    <x v="4"/>
    <x v="0"/>
    <x v="0"/>
    <x v="1"/>
    <x v="1"/>
    <n v="0.46"/>
    <x v="2"/>
    <n v="0.21195783619818026"/>
    <n v="0.94"/>
    <n v="0.19400000000000001"/>
    <n v="2"/>
    <n v="1"/>
    <n v="3"/>
  </r>
  <r>
    <n v="30"/>
    <x v="1"/>
    <x v="6"/>
    <x v="1"/>
    <x v="0"/>
    <x v="1"/>
    <x v="2"/>
    <n v="0.42"/>
    <x v="2"/>
    <n v="0.42420000000000002"/>
    <n v="0.77"/>
    <n v="0.29849999999999999"/>
    <n v="0"/>
    <n v="2"/>
    <n v="2"/>
  </r>
  <r>
    <n v="31"/>
    <x v="1"/>
    <x v="7"/>
    <x v="1"/>
    <x v="0"/>
    <x v="1"/>
    <x v="1"/>
    <n v="0.4"/>
    <x v="0"/>
    <n v="0.40910000000000002"/>
    <n v="0.76"/>
    <n v="0.19400000000000001"/>
    <n v="0"/>
    <n v="1"/>
    <n v="1"/>
  </r>
  <r>
    <n v="32"/>
    <x v="1"/>
    <x v="8"/>
    <x v="1"/>
    <x v="0"/>
    <x v="1"/>
    <x v="2"/>
    <n v="0.4"/>
    <x v="0"/>
    <n v="0.40910000000000002"/>
    <n v="0.71"/>
    <n v="0.22389999999999999"/>
    <n v="0"/>
    <n v="8"/>
    <n v="8"/>
  </r>
  <r>
    <n v="33"/>
    <x v="1"/>
    <x v="9"/>
    <x v="1"/>
    <x v="0"/>
    <x v="1"/>
    <x v="1"/>
    <n v="0.38"/>
    <x v="0"/>
    <n v="0.21195783619818026"/>
    <n v="0.76"/>
    <n v="0.22389999999999999"/>
    <n v="1"/>
    <n v="19"/>
    <n v="20"/>
  </r>
  <r>
    <n v="34"/>
    <x v="1"/>
    <x v="10"/>
    <x v="1"/>
    <x v="0"/>
    <x v="1"/>
    <x v="1"/>
    <n v="0.36"/>
    <x v="0"/>
    <n v="0.34849999999999998"/>
    <n v="0.81"/>
    <n v="0.22389999999999999"/>
    <n v="7"/>
    <n v="46"/>
    <n v="53"/>
  </r>
  <r>
    <n v="35"/>
    <x v="1"/>
    <x v="11"/>
    <x v="1"/>
    <x v="0"/>
    <x v="1"/>
    <x v="1"/>
    <n v="0.36"/>
    <x v="0"/>
    <n v="0.33329999999999999"/>
    <n v="0.71"/>
    <n v="0.25369999999999998"/>
    <n v="16"/>
    <n v="54"/>
    <n v="70"/>
  </r>
  <r>
    <n v="36"/>
    <x v="1"/>
    <x v="12"/>
    <x v="2"/>
    <x v="0"/>
    <x v="1"/>
    <x v="1"/>
    <n v="0.36"/>
    <x v="0"/>
    <n v="0.33329999999999999"/>
    <n v="0.66"/>
    <n v="0.29849999999999999"/>
    <n v="20"/>
    <n v="73"/>
    <n v="93"/>
  </r>
  <r>
    <n v="37"/>
    <x v="1"/>
    <x v="13"/>
    <x v="2"/>
    <x v="0"/>
    <x v="1"/>
    <x v="1"/>
    <n v="0.36"/>
    <x v="0"/>
    <n v="0.34849999999999998"/>
    <n v="0.66"/>
    <n v="0.1343"/>
    <n v="11"/>
    <n v="64"/>
    <n v="75"/>
  </r>
  <r>
    <n v="38"/>
    <x v="1"/>
    <x v="14"/>
    <x v="2"/>
    <x v="0"/>
    <x v="1"/>
    <x v="2"/>
    <n v="0.36"/>
    <x v="0"/>
    <n v="0.21195783619818026"/>
    <n v="0.76"/>
    <n v="0.19400000000000001"/>
    <n v="4"/>
    <n v="55"/>
    <n v="59"/>
  </r>
  <r>
    <n v="39"/>
    <x v="1"/>
    <x v="15"/>
    <x v="2"/>
    <x v="0"/>
    <x v="1"/>
    <x v="2"/>
    <n v="0.34"/>
    <x v="0"/>
    <n v="0.33329999999999999"/>
    <n v="0.81"/>
    <n v="0.16420000000000001"/>
    <n v="19"/>
    <n v="55"/>
    <n v="74"/>
  </r>
  <r>
    <n v="40"/>
    <x v="1"/>
    <x v="16"/>
    <x v="2"/>
    <x v="0"/>
    <x v="1"/>
    <x v="2"/>
    <n v="0.34"/>
    <x v="0"/>
    <n v="0.33329999999999999"/>
    <n v="0.71"/>
    <n v="0.16420000000000001"/>
    <n v="9"/>
    <n v="67"/>
    <n v="76"/>
  </r>
  <r>
    <n v="41"/>
    <x v="1"/>
    <x v="17"/>
    <x v="3"/>
    <x v="0"/>
    <x v="1"/>
    <x v="0"/>
    <n v="0.34"/>
    <x v="0"/>
    <n v="0.33329999999999999"/>
    <n v="0.56999999999999995"/>
    <n v="0.19400000000000001"/>
    <n v="7"/>
    <n v="58"/>
    <n v="65"/>
  </r>
  <r>
    <n v="42"/>
    <x v="1"/>
    <x v="18"/>
    <x v="3"/>
    <x v="0"/>
    <x v="1"/>
    <x v="1"/>
    <n v="0.36"/>
    <x v="0"/>
    <n v="0.33329999999999999"/>
    <n v="0.46"/>
    <n v="0.32840000000000003"/>
    <n v="10"/>
    <n v="43"/>
    <n v="53"/>
  </r>
  <r>
    <n v="43"/>
    <x v="1"/>
    <x v="19"/>
    <x v="3"/>
    <x v="0"/>
    <x v="1"/>
    <x v="0"/>
    <n v="0.32"/>
    <x v="0"/>
    <n v="0.28789999999999999"/>
    <n v="0.42"/>
    <n v="0.44779999999999998"/>
    <n v="1"/>
    <n v="29"/>
    <n v="30"/>
  </r>
  <r>
    <n v="44"/>
    <x v="1"/>
    <x v="20"/>
    <x v="3"/>
    <x v="0"/>
    <x v="1"/>
    <x v="0"/>
    <n v="0.3"/>
    <x v="0"/>
    <n v="0.21195783619818026"/>
    <n v="0.39"/>
    <n v="0.35820000000000002"/>
    <n v="5"/>
    <n v="17"/>
    <n v="22"/>
  </r>
  <r>
    <n v="45"/>
    <x v="1"/>
    <x v="21"/>
    <x v="0"/>
    <x v="0"/>
    <x v="1"/>
    <x v="0"/>
    <n v="0.26"/>
    <x v="0"/>
    <n v="0.2273"/>
    <n v="0.44"/>
    <n v="0.32840000000000003"/>
    <n v="11"/>
    <n v="20"/>
    <n v="31"/>
  </r>
  <r>
    <n v="46"/>
    <x v="1"/>
    <x v="22"/>
    <x v="0"/>
    <x v="0"/>
    <x v="1"/>
    <x v="0"/>
    <n v="0.24"/>
    <x v="0"/>
    <n v="0.21210000000000001"/>
    <n v="0.44"/>
    <n v="0.29849999999999999"/>
    <n v="0"/>
    <n v="9"/>
    <n v="9"/>
  </r>
  <r>
    <n v="47"/>
    <x v="1"/>
    <x v="23"/>
    <x v="0"/>
    <x v="0"/>
    <x v="1"/>
    <x v="0"/>
    <n v="0.22"/>
    <x v="0"/>
    <n v="0.2273"/>
    <n v="0.47"/>
    <n v="0.16420000000000001"/>
    <n v="0"/>
    <n v="8"/>
    <n v="8"/>
  </r>
  <r>
    <n v="48"/>
    <x v="2"/>
    <x v="0"/>
    <x v="0"/>
    <x v="0"/>
    <x v="2"/>
    <x v="0"/>
    <n v="0.22"/>
    <x v="0"/>
    <n v="0.19700000000000001"/>
    <n v="0.44"/>
    <n v="0.35820000000000002"/>
    <n v="0"/>
    <n v="5"/>
    <n v="5"/>
  </r>
  <r>
    <n v="49"/>
    <x v="2"/>
    <x v="1"/>
    <x v="0"/>
    <x v="0"/>
    <x v="2"/>
    <x v="0"/>
    <n v="0.2"/>
    <x v="1"/>
    <n v="0.21195783619818026"/>
    <n v="0.44"/>
    <n v="0.41789999999999999"/>
    <n v="0"/>
    <n v="2"/>
    <n v="2"/>
  </r>
  <r>
    <n v="50"/>
    <x v="2"/>
    <x v="4"/>
    <x v="0"/>
    <x v="0"/>
    <x v="2"/>
    <x v="0"/>
    <n v="0.16"/>
    <x v="1"/>
    <n v="0.13639999999999999"/>
    <n v="0.47"/>
    <n v="0.3881"/>
    <n v="0"/>
    <n v="1"/>
    <n v="1"/>
  </r>
  <r>
    <n v="51"/>
    <x v="2"/>
    <x v="5"/>
    <x v="1"/>
    <x v="0"/>
    <x v="2"/>
    <x v="0"/>
    <n v="0.16"/>
    <x v="1"/>
    <n v="0.13639999999999999"/>
    <n v="0.47"/>
    <n v="0.28360000000000002"/>
    <n v="0"/>
    <n v="3"/>
    <n v="3"/>
  </r>
  <r>
    <n v="52"/>
    <x v="2"/>
    <x v="6"/>
    <x v="1"/>
    <x v="0"/>
    <x v="2"/>
    <x v="0"/>
    <n v="0.14000000000000001"/>
    <x v="1"/>
    <n v="0.1061"/>
    <n v="0.5"/>
    <n v="0.3881"/>
    <n v="0"/>
    <n v="30"/>
    <n v="30"/>
  </r>
  <r>
    <n v="53"/>
    <x v="2"/>
    <x v="7"/>
    <x v="1"/>
    <x v="0"/>
    <x v="2"/>
    <x v="0"/>
    <n v="0.14000000000000001"/>
    <x v="1"/>
    <n v="0.13639999999999999"/>
    <n v="0.5"/>
    <n v="0.19400000000000001"/>
    <n v="1"/>
    <n v="63"/>
    <n v="64"/>
  </r>
  <r>
    <n v="54"/>
    <x v="2"/>
    <x v="8"/>
    <x v="1"/>
    <x v="0"/>
    <x v="2"/>
    <x v="0"/>
    <n v="0.14000000000000001"/>
    <x v="1"/>
    <n v="0.1212"/>
    <n v="0.5"/>
    <n v="0.28360000000000002"/>
    <n v="1"/>
    <n v="153"/>
    <n v="154"/>
  </r>
  <r>
    <n v="55"/>
    <x v="2"/>
    <x v="9"/>
    <x v="1"/>
    <x v="0"/>
    <x v="2"/>
    <x v="0"/>
    <n v="0.16"/>
    <x v="1"/>
    <n v="0.13639999999999999"/>
    <n v="0.43"/>
    <n v="0.3881"/>
    <n v="7"/>
    <n v="81"/>
    <n v="88"/>
  </r>
  <r>
    <n v="56"/>
    <x v="2"/>
    <x v="10"/>
    <x v="1"/>
    <x v="0"/>
    <x v="2"/>
    <x v="0"/>
    <n v="0.18"/>
    <x v="1"/>
    <n v="0.16669999999999999"/>
    <n v="0.43"/>
    <n v="0.25369999999999998"/>
    <n v="11"/>
    <n v="33"/>
    <n v="44"/>
  </r>
  <r>
    <n v="57"/>
    <x v="2"/>
    <x v="11"/>
    <x v="1"/>
    <x v="0"/>
    <x v="2"/>
    <x v="0"/>
    <n v="0.2"/>
    <x v="1"/>
    <n v="0.18179999999999999"/>
    <n v="0.4"/>
    <n v="0.32840000000000003"/>
    <n v="10"/>
    <n v="41"/>
    <n v="51"/>
  </r>
  <r>
    <n v="58"/>
    <x v="2"/>
    <x v="12"/>
    <x v="2"/>
    <x v="0"/>
    <x v="2"/>
    <x v="0"/>
    <n v="0.22"/>
    <x v="0"/>
    <n v="0.21210000000000001"/>
    <n v="0.35"/>
    <n v="0.29849999999999999"/>
    <n v="13"/>
    <n v="48"/>
    <n v="61"/>
  </r>
  <r>
    <n v="59"/>
    <x v="2"/>
    <x v="13"/>
    <x v="2"/>
    <x v="0"/>
    <x v="2"/>
    <x v="0"/>
    <n v="0.24"/>
    <x v="0"/>
    <n v="0.21195783619818026"/>
    <n v="0.35"/>
    <n v="0.28360000000000002"/>
    <n v="8"/>
    <n v="53"/>
    <n v="61"/>
  </r>
  <r>
    <n v="60"/>
    <x v="2"/>
    <x v="14"/>
    <x v="2"/>
    <x v="0"/>
    <x v="2"/>
    <x v="0"/>
    <n v="0.26"/>
    <x v="0"/>
    <n v="0.2424"/>
    <n v="0.3"/>
    <n v="0.28360000000000002"/>
    <n v="11"/>
    <n v="66"/>
    <n v="77"/>
  </r>
  <r>
    <n v="61"/>
    <x v="2"/>
    <x v="15"/>
    <x v="2"/>
    <x v="0"/>
    <x v="2"/>
    <x v="0"/>
    <n v="0.26"/>
    <x v="0"/>
    <n v="0.2424"/>
    <n v="0.3"/>
    <n v="0.25369999999999998"/>
    <n v="14"/>
    <n v="58"/>
    <n v="72"/>
  </r>
  <r>
    <n v="62"/>
    <x v="2"/>
    <x v="16"/>
    <x v="2"/>
    <x v="0"/>
    <x v="2"/>
    <x v="0"/>
    <n v="0.26"/>
    <x v="0"/>
    <n v="0.2424"/>
    <n v="0.3"/>
    <n v="0.25369999999999998"/>
    <n v="9"/>
    <n v="67"/>
    <n v="76"/>
  </r>
  <r>
    <n v="63"/>
    <x v="2"/>
    <x v="17"/>
    <x v="3"/>
    <x v="0"/>
    <x v="2"/>
    <x v="0"/>
    <n v="0.24"/>
    <x v="0"/>
    <n v="0.2273"/>
    <n v="0.3"/>
    <n v="0.22389999999999999"/>
    <n v="11"/>
    <n v="146"/>
    <n v="157"/>
  </r>
  <r>
    <n v="64"/>
    <x v="2"/>
    <x v="18"/>
    <x v="3"/>
    <x v="0"/>
    <x v="2"/>
    <x v="0"/>
    <n v="0.24"/>
    <x v="0"/>
    <n v="0.2576"/>
    <n v="0.32"/>
    <n v="0.1045"/>
    <n v="9"/>
    <n v="148"/>
    <n v="157"/>
  </r>
  <r>
    <n v="65"/>
    <x v="2"/>
    <x v="19"/>
    <x v="3"/>
    <x v="0"/>
    <x v="2"/>
    <x v="0"/>
    <n v="0.2"/>
    <x v="1"/>
    <n v="0.2576"/>
    <n v="0.47"/>
    <n v="0"/>
    <n v="8"/>
    <n v="102"/>
    <n v="110"/>
  </r>
  <r>
    <n v="66"/>
    <x v="2"/>
    <x v="20"/>
    <x v="3"/>
    <x v="0"/>
    <x v="2"/>
    <x v="0"/>
    <n v="0.2"/>
    <x v="1"/>
    <n v="0.21195783619818026"/>
    <n v="0.47"/>
    <n v="0.1045"/>
    <n v="3"/>
    <n v="49"/>
    <n v="52"/>
  </r>
  <r>
    <n v="67"/>
    <x v="2"/>
    <x v="21"/>
    <x v="0"/>
    <x v="0"/>
    <x v="2"/>
    <x v="0"/>
    <n v="0.18"/>
    <x v="1"/>
    <n v="0.19700000000000001"/>
    <n v="0.64"/>
    <n v="0.1343"/>
    <n v="3"/>
    <n v="49"/>
    <n v="52"/>
  </r>
  <r>
    <n v="68"/>
    <x v="2"/>
    <x v="22"/>
    <x v="0"/>
    <x v="0"/>
    <x v="2"/>
    <x v="0"/>
    <n v="0.14000000000000001"/>
    <x v="1"/>
    <n v="0.1515"/>
    <n v="0.69"/>
    <n v="0.1343"/>
    <n v="0"/>
    <n v="20"/>
    <n v="20"/>
  </r>
  <r>
    <n v="69"/>
    <x v="2"/>
    <x v="23"/>
    <x v="0"/>
    <x v="0"/>
    <x v="2"/>
    <x v="0"/>
    <n v="0.18"/>
    <x v="1"/>
    <n v="0.21210000000000001"/>
    <n v="0.55000000000000004"/>
    <n v="0.1045"/>
    <n v="1"/>
    <n v="11"/>
    <n v="12"/>
  </r>
  <r>
    <n v="70"/>
    <x v="3"/>
    <x v="0"/>
    <x v="0"/>
    <x v="0"/>
    <x v="3"/>
    <x v="0"/>
    <n v="0.16"/>
    <x v="1"/>
    <n v="0.21195783619818026"/>
    <n v="0.55000000000000004"/>
    <n v="0.1045"/>
    <n v="0"/>
    <n v="5"/>
    <n v="5"/>
  </r>
  <r>
    <n v="71"/>
    <x v="3"/>
    <x v="1"/>
    <x v="0"/>
    <x v="0"/>
    <x v="3"/>
    <x v="0"/>
    <n v="0.16"/>
    <x v="1"/>
    <n v="0.18179999999999999"/>
    <n v="0.59"/>
    <n v="0.1045"/>
    <n v="0"/>
    <n v="2"/>
    <n v="2"/>
  </r>
  <r>
    <n v="72"/>
    <x v="3"/>
    <x v="2"/>
    <x v="0"/>
    <x v="0"/>
    <x v="3"/>
    <x v="0"/>
    <n v="0.14000000000000001"/>
    <x v="1"/>
    <n v="0.1515"/>
    <n v="0.63"/>
    <n v="0.1343"/>
    <n v="0"/>
    <n v="1"/>
    <n v="1"/>
  </r>
  <r>
    <n v="73"/>
    <x v="3"/>
    <x v="4"/>
    <x v="0"/>
    <x v="0"/>
    <x v="3"/>
    <x v="0"/>
    <n v="0.14000000000000001"/>
    <x v="1"/>
    <n v="0.18179999999999999"/>
    <n v="0.63"/>
    <n v="8.9599999999999999E-2"/>
    <n v="0"/>
    <n v="2"/>
    <n v="2"/>
  </r>
  <r>
    <n v="74"/>
    <x v="3"/>
    <x v="5"/>
    <x v="1"/>
    <x v="0"/>
    <x v="3"/>
    <x v="0"/>
    <n v="0.12"/>
    <x v="1"/>
    <n v="0.1515"/>
    <n v="0.68"/>
    <n v="0.1045"/>
    <n v="0"/>
    <n v="4"/>
    <n v="4"/>
  </r>
  <r>
    <n v="75"/>
    <x v="3"/>
    <x v="6"/>
    <x v="1"/>
    <x v="0"/>
    <x v="3"/>
    <x v="0"/>
    <n v="0.12"/>
    <x v="1"/>
    <n v="0.1515"/>
    <n v="0.74"/>
    <n v="0.1045"/>
    <n v="0"/>
    <n v="36"/>
    <n v="36"/>
  </r>
  <r>
    <n v="76"/>
    <x v="3"/>
    <x v="7"/>
    <x v="1"/>
    <x v="0"/>
    <x v="3"/>
    <x v="0"/>
    <n v="0.12"/>
    <x v="1"/>
    <n v="0.1515"/>
    <n v="0.74"/>
    <n v="0.1343"/>
    <n v="2"/>
    <n v="92"/>
    <n v="94"/>
  </r>
  <r>
    <n v="77"/>
    <x v="3"/>
    <x v="8"/>
    <x v="1"/>
    <x v="0"/>
    <x v="3"/>
    <x v="0"/>
    <n v="0.14000000000000001"/>
    <x v="1"/>
    <n v="0.1515"/>
    <n v="0.69"/>
    <n v="0.16420000000000001"/>
    <n v="2"/>
    <n v="177"/>
    <n v="179"/>
  </r>
  <r>
    <n v="78"/>
    <x v="3"/>
    <x v="9"/>
    <x v="1"/>
    <x v="0"/>
    <x v="3"/>
    <x v="0"/>
    <n v="0.16"/>
    <x v="1"/>
    <n v="0.1515"/>
    <n v="0.64"/>
    <n v="0.22389999999999999"/>
    <n v="2"/>
    <n v="98"/>
    <n v="100"/>
  </r>
  <r>
    <n v="79"/>
    <x v="3"/>
    <x v="10"/>
    <x v="1"/>
    <x v="0"/>
    <x v="3"/>
    <x v="1"/>
    <n v="0.16"/>
    <x v="1"/>
    <n v="0.13639999999999999"/>
    <n v="0.69"/>
    <n v="0.32840000000000003"/>
    <n v="5"/>
    <n v="37"/>
    <n v="42"/>
  </r>
  <r>
    <n v="80"/>
    <x v="3"/>
    <x v="11"/>
    <x v="1"/>
    <x v="0"/>
    <x v="3"/>
    <x v="0"/>
    <n v="0.22"/>
    <x v="0"/>
    <n v="0.21210000000000001"/>
    <n v="0.51"/>
    <n v="0.29849999999999999"/>
    <n v="7"/>
    <n v="50"/>
    <n v="57"/>
  </r>
  <r>
    <n v="81"/>
    <x v="3"/>
    <x v="12"/>
    <x v="2"/>
    <x v="0"/>
    <x v="3"/>
    <x v="0"/>
    <n v="0.22"/>
    <x v="0"/>
    <n v="0.2273"/>
    <n v="0.51"/>
    <n v="0.16420000000000001"/>
    <n v="12"/>
    <n v="66"/>
    <n v="78"/>
  </r>
  <r>
    <n v="82"/>
    <x v="3"/>
    <x v="13"/>
    <x v="2"/>
    <x v="0"/>
    <x v="3"/>
    <x v="0"/>
    <n v="0.24"/>
    <x v="0"/>
    <n v="0.2273"/>
    <n v="0.56000000000000005"/>
    <n v="0.19400000000000001"/>
    <n v="18"/>
    <n v="79"/>
    <n v="97"/>
  </r>
  <r>
    <n v="83"/>
    <x v="3"/>
    <x v="14"/>
    <x v="2"/>
    <x v="0"/>
    <x v="3"/>
    <x v="0"/>
    <n v="0.26"/>
    <x v="0"/>
    <n v="0.2576"/>
    <n v="0.52"/>
    <n v="0.22389999999999999"/>
    <n v="9"/>
    <n v="54"/>
    <n v="63"/>
  </r>
  <r>
    <n v="84"/>
    <x v="3"/>
    <x v="15"/>
    <x v="2"/>
    <x v="0"/>
    <x v="3"/>
    <x v="0"/>
    <n v="0.28000000000000003"/>
    <x v="0"/>
    <n v="0.2727"/>
    <n v="0.52"/>
    <n v="0.25369999999999998"/>
    <n v="17"/>
    <n v="48"/>
    <n v="65"/>
  </r>
  <r>
    <n v="85"/>
    <x v="3"/>
    <x v="16"/>
    <x v="2"/>
    <x v="0"/>
    <x v="3"/>
    <x v="0"/>
    <n v="0.3"/>
    <x v="0"/>
    <n v="0.28789999999999999"/>
    <n v="0.49"/>
    <n v="0.25369999999999998"/>
    <n v="15"/>
    <n v="68"/>
    <n v="83"/>
  </r>
  <r>
    <n v="86"/>
    <x v="3"/>
    <x v="17"/>
    <x v="3"/>
    <x v="0"/>
    <x v="3"/>
    <x v="0"/>
    <n v="0.28000000000000003"/>
    <x v="0"/>
    <n v="0.2727"/>
    <n v="0.48"/>
    <n v="0.22389999999999999"/>
    <n v="10"/>
    <n v="202"/>
    <n v="212"/>
  </r>
  <r>
    <n v="87"/>
    <x v="3"/>
    <x v="18"/>
    <x v="3"/>
    <x v="0"/>
    <x v="3"/>
    <x v="0"/>
    <n v="0.26"/>
    <x v="0"/>
    <n v="0.2576"/>
    <n v="0.48"/>
    <n v="0.19400000000000001"/>
    <n v="3"/>
    <n v="179"/>
    <n v="182"/>
  </r>
  <r>
    <n v="88"/>
    <x v="3"/>
    <x v="19"/>
    <x v="3"/>
    <x v="0"/>
    <x v="3"/>
    <x v="0"/>
    <n v="0.24"/>
    <x v="0"/>
    <n v="0.2576"/>
    <n v="0.48"/>
    <n v="0.1045"/>
    <n v="2"/>
    <n v="110"/>
    <n v="112"/>
  </r>
  <r>
    <n v="89"/>
    <x v="3"/>
    <x v="20"/>
    <x v="3"/>
    <x v="0"/>
    <x v="3"/>
    <x v="0"/>
    <n v="0.24"/>
    <x v="0"/>
    <n v="0.2576"/>
    <n v="0.48"/>
    <n v="0.1045"/>
    <n v="1"/>
    <n v="53"/>
    <n v="54"/>
  </r>
  <r>
    <n v="90"/>
    <x v="3"/>
    <x v="21"/>
    <x v="0"/>
    <x v="0"/>
    <x v="3"/>
    <x v="0"/>
    <n v="0.22"/>
    <x v="0"/>
    <n v="0.2727"/>
    <n v="0.64"/>
    <n v="0"/>
    <n v="0"/>
    <n v="48"/>
    <n v="48"/>
  </r>
  <r>
    <n v="91"/>
    <x v="3"/>
    <x v="22"/>
    <x v="0"/>
    <x v="0"/>
    <x v="3"/>
    <x v="0"/>
    <n v="0.22"/>
    <x v="0"/>
    <n v="0.2576"/>
    <n v="0.64"/>
    <n v="8.9599999999999999E-2"/>
    <n v="1"/>
    <n v="34"/>
    <n v="35"/>
  </r>
  <r>
    <n v="92"/>
    <x v="3"/>
    <x v="23"/>
    <x v="0"/>
    <x v="0"/>
    <x v="3"/>
    <x v="0"/>
    <n v="0.2"/>
    <x v="1"/>
    <n v="0.2273"/>
    <n v="0.69"/>
    <n v="8.9599999999999999E-2"/>
    <n v="2"/>
    <n v="9"/>
    <n v="11"/>
  </r>
  <r>
    <n v="93"/>
    <x v="4"/>
    <x v="0"/>
    <x v="0"/>
    <x v="0"/>
    <x v="4"/>
    <x v="0"/>
    <n v="0.2"/>
    <x v="1"/>
    <n v="0.2576"/>
    <n v="0.64"/>
    <n v="0"/>
    <n v="0"/>
    <n v="6"/>
    <n v="6"/>
  </r>
  <r>
    <n v="94"/>
    <x v="4"/>
    <x v="1"/>
    <x v="0"/>
    <x v="0"/>
    <x v="4"/>
    <x v="0"/>
    <n v="0.16"/>
    <x v="1"/>
    <n v="0.19700000000000001"/>
    <n v="0.74"/>
    <n v="8.9599999999999999E-2"/>
    <n v="0"/>
    <n v="6"/>
    <n v="6"/>
  </r>
  <r>
    <n v="95"/>
    <x v="4"/>
    <x v="2"/>
    <x v="0"/>
    <x v="0"/>
    <x v="4"/>
    <x v="0"/>
    <n v="0.16"/>
    <x v="1"/>
    <n v="0.19700000000000001"/>
    <n v="0.74"/>
    <n v="8.9599999999999999E-2"/>
    <n v="0"/>
    <n v="2"/>
    <n v="2"/>
  </r>
  <r>
    <n v="96"/>
    <x v="4"/>
    <x v="4"/>
    <x v="0"/>
    <x v="0"/>
    <x v="4"/>
    <x v="0"/>
    <n v="0.24"/>
    <x v="0"/>
    <n v="0.2273"/>
    <n v="0.48"/>
    <n v="0.22389999999999999"/>
    <n v="0"/>
    <n v="2"/>
    <n v="2"/>
  </r>
  <r>
    <n v="97"/>
    <x v="4"/>
    <x v="5"/>
    <x v="1"/>
    <x v="0"/>
    <x v="4"/>
    <x v="0"/>
    <n v="0.22"/>
    <x v="0"/>
    <n v="0.2273"/>
    <n v="0.47"/>
    <n v="0.16420000000000001"/>
    <n v="0"/>
    <n v="3"/>
    <n v="3"/>
  </r>
  <r>
    <n v="98"/>
    <x v="4"/>
    <x v="6"/>
    <x v="1"/>
    <x v="0"/>
    <x v="4"/>
    <x v="0"/>
    <n v="0.2"/>
    <x v="1"/>
    <n v="0.19700000000000001"/>
    <n v="0.47"/>
    <n v="0.22389999999999999"/>
    <n v="0"/>
    <n v="33"/>
    <n v="33"/>
  </r>
  <r>
    <n v="99"/>
    <x v="4"/>
    <x v="7"/>
    <x v="1"/>
    <x v="0"/>
    <x v="4"/>
    <x v="0"/>
    <n v="0.18"/>
    <x v="1"/>
    <n v="0.18179999999999999"/>
    <n v="0.43"/>
    <n v="0.19400000000000001"/>
    <n v="1"/>
    <n v="87"/>
    <n v="88"/>
  </r>
  <r>
    <n v="100"/>
    <x v="4"/>
    <x v="8"/>
    <x v="1"/>
    <x v="0"/>
    <x v="4"/>
    <x v="0"/>
    <n v="0.2"/>
    <x v="1"/>
    <n v="0.18179999999999999"/>
    <n v="0.4"/>
    <n v="0.29849999999999999"/>
    <n v="3"/>
    <n v="192"/>
    <n v="195"/>
  </r>
  <r>
    <n v="101"/>
    <x v="4"/>
    <x v="9"/>
    <x v="1"/>
    <x v="0"/>
    <x v="4"/>
    <x v="0"/>
    <n v="0.22"/>
    <x v="0"/>
    <n v="0.19700000000000001"/>
    <n v="0.37"/>
    <n v="0.32840000000000003"/>
    <n v="6"/>
    <n v="109"/>
    <n v="115"/>
  </r>
  <r>
    <n v="102"/>
    <x v="4"/>
    <x v="10"/>
    <x v="1"/>
    <x v="0"/>
    <x v="4"/>
    <x v="0"/>
    <n v="0.22"/>
    <x v="0"/>
    <n v="0.19700000000000001"/>
    <n v="0.37"/>
    <n v="0.32840000000000003"/>
    <n v="4"/>
    <n v="53"/>
    <n v="57"/>
  </r>
  <r>
    <n v="103"/>
    <x v="4"/>
    <x v="11"/>
    <x v="1"/>
    <x v="0"/>
    <x v="4"/>
    <x v="0"/>
    <n v="0.26"/>
    <x v="0"/>
    <n v="0.2273"/>
    <n v="0.33"/>
    <n v="0.32840000000000003"/>
    <n v="12"/>
    <n v="34"/>
    <n v="46"/>
  </r>
  <r>
    <n v="104"/>
    <x v="4"/>
    <x v="12"/>
    <x v="2"/>
    <x v="0"/>
    <x v="4"/>
    <x v="0"/>
    <n v="0.26"/>
    <x v="0"/>
    <n v="0.2273"/>
    <n v="0.33"/>
    <n v="0.32840000000000003"/>
    <n v="5"/>
    <n v="74"/>
    <n v="79"/>
  </r>
  <r>
    <n v="105"/>
    <x v="4"/>
    <x v="13"/>
    <x v="2"/>
    <x v="0"/>
    <x v="4"/>
    <x v="0"/>
    <n v="0.28000000000000003"/>
    <x v="0"/>
    <n v="0.2576"/>
    <n v="0.3"/>
    <n v="0.29849999999999999"/>
    <n v="6"/>
    <n v="65"/>
    <n v="71"/>
  </r>
  <r>
    <n v="106"/>
    <x v="4"/>
    <x v="14"/>
    <x v="2"/>
    <x v="0"/>
    <x v="4"/>
    <x v="0"/>
    <n v="0.3"/>
    <x v="0"/>
    <n v="0.28789999999999999"/>
    <n v="0.28000000000000003"/>
    <n v="0.19400000000000001"/>
    <n v="10"/>
    <n v="52"/>
    <n v="62"/>
  </r>
  <r>
    <n v="107"/>
    <x v="4"/>
    <x v="15"/>
    <x v="2"/>
    <x v="0"/>
    <x v="4"/>
    <x v="0"/>
    <n v="0.3"/>
    <x v="0"/>
    <n v="0.28789999999999999"/>
    <n v="0.28000000000000003"/>
    <n v="0.19400000000000001"/>
    <n v="7"/>
    <n v="55"/>
    <n v="62"/>
  </r>
  <r>
    <n v="108"/>
    <x v="4"/>
    <x v="16"/>
    <x v="2"/>
    <x v="0"/>
    <x v="4"/>
    <x v="0"/>
    <n v="0.3"/>
    <x v="0"/>
    <n v="0.31819999999999998"/>
    <n v="0.28000000000000003"/>
    <n v="8.9599999999999999E-2"/>
    <n v="4"/>
    <n v="85"/>
    <n v="89"/>
  </r>
  <r>
    <n v="109"/>
    <x v="4"/>
    <x v="17"/>
    <x v="3"/>
    <x v="0"/>
    <x v="4"/>
    <x v="0"/>
    <n v="0.24"/>
    <x v="0"/>
    <n v="0.2273"/>
    <n v="0.38"/>
    <n v="0.19400000000000001"/>
    <n v="4"/>
    <n v="186"/>
    <n v="190"/>
  </r>
  <r>
    <n v="110"/>
    <x v="4"/>
    <x v="18"/>
    <x v="3"/>
    <x v="0"/>
    <x v="4"/>
    <x v="0"/>
    <n v="0.24"/>
    <x v="0"/>
    <n v="0.2424"/>
    <n v="0.38"/>
    <n v="0.1343"/>
    <n v="3"/>
    <n v="166"/>
    <n v="169"/>
  </r>
  <r>
    <n v="111"/>
    <x v="4"/>
    <x v="19"/>
    <x v="3"/>
    <x v="0"/>
    <x v="4"/>
    <x v="0"/>
    <n v="0.24"/>
    <x v="0"/>
    <n v="0.2576"/>
    <n v="0.38"/>
    <n v="0.1045"/>
    <n v="5"/>
    <n v="127"/>
    <n v="132"/>
  </r>
  <r>
    <n v="112"/>
    <x v="4"/>
    <x v="20"/>
    <x v="3"/>
    <x v="0"/>
    <x v="4"/>
    <x v="0"/>
    <n v="0.22"/>
    <x v="0"/>
    <n v="0.2273"/>
    <n v="0.47"/>
    <n v="0.16420000000000001"/>
    <n v="7"/>
    <n v="82"/>
    <n v="89"/>
  </r>
  <r>
    <n v="113"/>
    <x v="4"/>
    <x v="21"/>
    <x v="0"/>
    <x v="0"/>
    <x v="4"/>
    <x v="0"/>
    <n v="0.2"/>
    <x v="1"/>
    <n v="0.19700000000000001"/>
    <n v="0.51"/>
    <n v="0.19400000000000001"/>
    <n v="3"/>
    <n v="40"/>
    <n v="43"/>
  </r>
  <r>
    <n v="114"/>
    <x v="4"/>
    <x v="22"/>
    <x v="0"/>
    <x v="0"/>
    <x v="4"/>
    <x v="0"/>
    <n v="0.18"/>
    <x v="1"/>
    <n v="0.19700000000000001"/>
    <n v="0.55000000000000004"/>
    <n v="0.1343"/>
    <n v="1"/>
    <n v="41"/>
    <n v="42"/>
  </r>
  <r>
    <n v="115"/>
    <x v="4"/>
    <x v="23"/>
    <x v="0"/>
    <x v="0"/>
    <x v="4"/>
    <x v="0"/>
    <n v="0.2"/>
    <x v="1"/>
    <n v="0.2576"/>
    <n v="0.47"/>
    <n v="0"/>
    <n v="1"/>
    <n v="18"/>
    <n v="19"/>
  </r>
  <r>
    <n v="116"/>
    <x v="5"/>
    <x v="0"/>
    <x v="0"/>
    <x v="0"/>
    <x v="5"/>
    <x v="0"/>
    <n v="0.18"/>
    <x v="1"/>
    <n v="0.2424"/>
    <n v="0.55000000000000004"/>
    <n v="0"/>
    <n v="0"/>
    <n v="11"/>
    <n v="11"/>
  </r>
  <r>
    <n v="117"/>
    <x v="5"/>
    <x v="1"/>
    <x v="0"/>
    <x v="0"/>
    <x v="5"/>
    <x v="0"/>
    <n v="0.16"/>
    <x v="1"/>
    <n v="0.2273"/>
    <n v="0.64"/>
    <n v="0"/>
    <n v="0"/>
    <n v="4"/>
    <n v="4"/>
  </r>
  <r>
    <n v="118"/>
    <x v="5"/>
    <x v="2"/>
    <x v="0"/>
    <x v="0"/>
    <x v="5"/>
    <x v="0"/>
    <n v="0.16"/>
    <x v="1"/>
    <n v="0.2273"/>
    <n v="0.64"/>
    <n v="0"/>
    <n v="0"/>
    <n v="2"/>
    <n v="2"/>
  </r>
  <r>
    <n v="119"/>
    <x v="5"/>
    <x v="4"/>
    <x v="0"/>
    <x v="0"/>
    <x v="5"/>
    <x v="1"/>
    <n v="0.16"/>
    <x v="1"/>
    <n v="0.19700000000000001"/>
    <n v="0.64"/>
    <n v="8.9599999999999999E-2"/>
    <n v="0"/>
    <n v="1"/>
    <n v="1"/>
  </r>
  <r>
    <n v="120"/>
    <x v="5"/>
    <x v="5"/>
    <x v="1"/>
    <x v="0"/>
    <x v="5"/>
    <x v="1"/>
    <n v="0.14000000000000001"/>
    <x v="1"/>
    <n v="0.18179999999999999"/>
    <n v="0.69"/>
    <n v="8.9599999999999999E-2"/>
    <n v="0"/>
    <n v="4"/>
    <n v="4"/>
  </r>
  <r>
    <n v="121"/>
    <x v="5"/>
    <x v="6"/>
    <x v="1"/>
    <x v="0"/>
    <x v="5"/>
    <x v="1"/>
    <n v="0.14000000000000001"/>
    <x v="1"/>
    <n v="0.16669999999999999"/>
    <n v="0.63"/>
    <n v="0.1045"/>
    <n v="0"/>
    <n v="36"/>
    <n v="36"/>
  </r>
  <r>
    <n v="122"/>
    <x v="5"/>
    <x v="7"/>
    <x v="1"/>
    <x v="0"/>
    <x v="5"/>
    <x v="1"/>
    <n v="0.16"/>
    <x v="1"/>
    <n v="0.2273"/>
    <n v="0.59"/>
    <n v="0"/>
    <n v="0"/>
    <n v="95"/>
    <n v="95"/>
  </r>
  <r>
    <n v="123"/>
    <x v="5"/>
    <x v="8"/>
    <x v="1"/>
    <x v="0"/>
    <x v="5"/>
    <x v="0"/>
    <n v="0.16"/>
    <x v="1"/>
    <n v="0.2273"/>
    <n v="0.59"/>
    <n v="0"/>
    <n v="3"/>
    <n v="216"/>
    <n v="219"/>
  </r>
  <r>
    <n v="124"/>
    <x v="5"/>
    <x v="9"/>
    <x v="1"/>
    <x v="0"/>
    <x v="5"/>
    <x v="1"/>
    <n v="0.18"/>
    <x v="1"/>
    <n v="0.2424"/>
    <n v="0.51"/>
    <n v="0"/>
    <n v="6"/>
    <n v="116"/>
    <n v="122"/>
  </r>
  <r>
    <n v="125"/>
    <x v="5"/>
    <x v="10"/>
    <x v="1"/>
    <x v="0"/>
    <x v="5"/>
    <x v="0"/>
    <n v="0.2"/>
    <x v="1"/>
    <n v="0.2576"/>
    <n v="0.47"/>
    <n v="0"/>
    <n v="3"/>
    <n v="42"/>
    <n v="45"/>
  </r>
  <r>
    <n v="126"/>
    <x v="5"/>
    <x v="11"/>
    <x v="1"/>
    <x v="0"/>
    <x v="5"/>
    <x v="0"/>
    <n v="0.22"/>
    <x v="0"/>
    <n v="0.2576"/>
    <n v="0.44"/>
    <n v="8.9599999999999999E-2"/>
    <n v="2"/>
    <n v="57"/>
    <n v="59"/>
  </r>
  <r>
    <n v="127"/>
    <x v="5"/>
    <x v="12"/>
    <x v="2"/>
    <x v="0"/>
    <x v="5"/>
    <x v="0"/>
    <n v="0.26"/>
    <x v="0"/>
    <n v="0.28789999999999999"/>
    <n v="0.35"/>
    <n v="0"/>
    <n v="6"/>
    <n v="78"/>
    <n v="84"/>
  </r>
  <r>
    <n v="128"/>
    <x v="5"/>
    <x v="13"/>
    <x v="2"/>
    <x v="0"/>
    <x v="5"/>
    <x v="0"/>
    <n v="0.26"/>
    <x v="0"/>
    <n v="0.2727"/>
    <n v="0.35"/>
    <n v="0.1045"/>
    <n v="12"/>
    <n v="55"/>
    <n v="67"/>
  </r>
  <r>
    <n v="129"/>
    <x v="5"/>
    <x v="14"/>
    <x v="2"/>
    <x v="0"/>
    <x v="5"/>
    <x v="0"/>
    <n v="0.28000000000000003"/>
    <x v="0"/>
    <n v="0.2727"/>
    <n v="0.36"/>
    <n v="0.16420000000000001"/>
    <n v="11"/>
    <n v="59"/>
    <n v="70"/>
  </r>
  <r>
    <n v="130"/>
    <x v="5"/>
    <x v="15"/>
    <x v="2"/>
    <x v="0"/>
    <x v="5"/>
    <x v="0"/>
    <n v="0.28000000000000003"/>
    <x v="0"/>
    <n v="0.2727"/>
    <n v="0.36"/>
    <n v="0"/>
    <n v="8"/>
    <n v="54"/>
    <n v="62"/>
  </r>
  <r>
    <n v="131"/>
    <x v="5"/>
    <x v="16"/>
    <x v="2"/>
    <x v="0"/>
    <x v="5"/>
    <x v="0"/>
    <n v="0.26"/>
    <x v="0"/>
    <n v="0.2576"/>
    <n v="0.38"/>
    <n v="0.16420000000000001"/>
    <n v="12"/>
    <n v="74"/>
    <n v="86"/>
  </r>
  <r>
    <n v="132"/>
    <x v="5"/>
    <x v="17"/>
    <x v="3"/>
    <x v="0"/>
    <x v="5"/>
    <x v="0"/>
    <n v="0.22"/>
    <x v="0"/>
    <n v="0.2273"/>
    <n v="0.51"/>
    <n v="0.16420000000000001"/>
    <n v="9"/>
    <n v="163"/>
    <n v="172"/>
  </r>
  <r>
    <n v="133"/>
    <x v="5"/>
    <x v="18"/>
    <x v="3"/>
    <x v="0"/>
    <x v="5"/>
    <x v="0"/>
    <n v="0.22"/>
    <x v="0"/>
    <n v="0.2273"/>
    <n v="0.51"/>
    <n v="0.1343"/>
    <n v="5"/>
    <n v="158"/>
    <n v="163"/>
  </r>
  <r>
    <n v="134"/>
    <x v="5"/>
    <x v="19"/>
    <x v="3"/>
    <x v="0"/>
    <x v="5"/>
    <x v="0"/>
    <n v="0.22"/>
    <x v="0"/>
    <n v="0.2576"/>
    <n v="0.55000000000000004"/>
    <n v="8.9599999999999999E-2"/>
    <n v="3"/>
    <n v="109"/>
    <n v="112"/>
  </r>
  <r>
    <n v="135"/>
    <x v="5"/>
    <x v="20"/>
    <x v="3"/>
    <x v="0"/>
    <x v="5"/>
    <x v="0"/>
    <n v="0.2"/>
    <x v="1"/>
    <n v="0.21210000000000001"/>
    <n v="0.51"/>
    <n v="0.16420000000000001"/>
    <n v="3"/>
    <n v="66"/>
    <n v="69"/>
  </r>
  <r>
    <n v="136"/>
    <x v="5"/>
    <x v="21"/>
    <x v="0"/>
    <x v="0"/>
    <x v="5"/>
    <x v="1"/>
    <n v="0.22"/>
    <x v="0"/>
    <n v="0.21210000000000001"/>
    <n v="0.55000000000000004"/>
    <n v="0.22389999999999999"/>
    <n v="0"/>
    <n v="48"/>
    <n v="48"/>
  </r>
  <r>
    <n v="137"/>
    <x v="5"/>
    <x v="22"/>
    <x v="0"/>
    <x v="0"/>
    <x v="5"/>
    <x v="1"/>
    <n v="0.22"/>
    <x v="0"/>
    <n v="0.21210000000000001"/>
    <n v="0.51"/>
    <n v="0.28360000000000002"/>
    <n v="1"/>
    <n v="51"/>
    <n v="52"/>
  </r>
  <r>
    <n v="138"/>
    <x v="5"/>
    <x v="23"/>
    <x v="0"/>
    <x v="0"/>
    <x v="5"/>
    <x v="1"/>
    <n v="0.2"/>
    <x v="1"/>
    <n v="0.19700000000000001"/>
    <n v="0.59"/>
    <n v="0.19400000000000001"/>
    <n v="4"/>
    <n v="19"/>
    <n v="23"/>
  </r>
  <r>
    <n v="139"/>
    <x v="6"/>
    <x v="0"/>
    <x v="0"/>
    <x v="0"/>
    <x v="6"/>
    <x v="1"/>
    <n v="0.2"/>
    <x v="1"/>
    <n v="0.19700000000000001"/>
    <n v="0.64"/>
    <n v="0.19400000000000001"/>
    <n v="4"/>
    <n v="13"/>
    <n v="17"/>
  </r>
  <r>
    <n v="140"/>
    <x v="6"/>
    <x v="1"/>
    <x v="0"/>
    <x v="0"/>
    <x v="6"/>
    <x v="1"/>
    <n v="0.2"/>
    <x v="1"/>
    <n v="0.19700000000000001"/>
    <n v="0.69"/>
    <n v="0.22389999999999999"/>
    <n v="2"/>
    <n v="5"/>
    <n v="7"/>
  </r>
  <r>
    <n v="141"/>
    <x v="6"/>
    <x v="2"/>
    <x v="0"/>
    <x v="0"/>
    <x v="6"/>
    <x v="1"/>
    <n v="0.2"/>
    <x v="1"/>
    <n v="0.19700000000000001"/>
    <n v="0.69"/>
    <n v="0.22389999999999999"/>
    <n v="0"/>
    <n v="1"/>
    <n v="1"/>
  </r>
  <r>
    <n v="142"/>
    <x v="6"/>
    <x v="4"/>
    <x v="0"/>
    <x v="0"/>
    <x v="6"/>
    <x v="1"/>
    <n v="0.2"/>
    <x v="1"/>
    <n v="0.21210000000000001"/>
    <n v="0.69"/>
    <n v="0.1343"/>
    <n v="0"/>
    <n v="1"/>
    <n v="1"/>
  </r>
  <r>
    <n v="143"/>
    <x v="6"/>
    <x v="5"/>
    <x v="1"/>
    <x v="0"/>
    <x v="6"/>
    <x v="2"/>
    <n v="0.22"/>
    <x v="0"/>
    <n v="0.2727"/>
    <n v="0.55000000000000004"/>
    <n v="0"/>
    <n v="0"/>
    <n v="5"/>
    <n v="5"/>
  </r>
  <r>
    <n v="144"/>
    <x v="6"/>
    <x v="6"/>
    <x v="1"/>
    <x v="0"/>
    <x v="6"/>
    <x v="1"/>
    <n v="0.2"/>
    <x v="1"/>
    <n v="0.2576"/>
    <n v="0.69"/>
    <n v="0"/>
    <n v="8"/>
    <n v="26"/>
    <n v="34"/>
  </r>
  <r>
    <n v="145"/>
    <x v="6"/>
    <x v="7"/>
    <x v="1"/>
    <x v="0"/>
    <x v="6"/>
    <x v="0"/>
    <n v="0.2"/>
    <x v="1"/>
    <n v="0.21210000000000001"/>
    <n v="0.69"/>
    <n v="0.1343"/>
    <n v="8"/>
    <n v="76"/>
    <n v="84"/>
  </r>
  <r>
    <n v="146"/>
    <x v="6"/>
    <x v="8"/>
    <x v="1"/>
    <x v="0"/>
    <x v="6"/>
    <x v="0"/>
    <n v="0.2"/>
    <x v="1"/>
    <n v="0.19700000000000001"/>
    <n v="0.51"/>
    <n v="0.25369999999999998"/>
    <n v="20"/>
    <n v="190"/>
    <n v="210"/>
  </r>
  <r>
    <n v="147"/>
    <x v="6"/>
    <x v="9"/>
    <x v="1"/>
    <x v="0"/>
    <x v="6"/>
    <x v="0"/>
    <n v="0.2"/>
    <x v="1"/>
    <n v="0.18179999999999999"/>
    <n v="0.47"/>
    <n v="0.29849999999999999"/>
    <n v="9"/>
    <n v="125"/>
    <n v="134"/>
  </r>
  <r>
    <n v="148"/>
    <x v="6"/>
    <x v="10"/>
    <x v="1"/>
    <x v="0"/>
    <x v="6"/>
    <x v="0"/>
    <n v="0.22"/>
    <x v="0"/>
    <n v="0.19700000000000001"/>
    <n v="0.37"/>
    <n v="0.32840000000000003"/>
    <n v="16"/>
    <n v="47"/>
    <n v="63"/>
  </r>
  <r>
    <n v="149"/>
    <x v="6"/>
    <x v="11"/>
    <x v="1"/>
    <x v="0"/>
    <x v="6"/>
    <x v="1"/>
    <n v="0.2"/>
    <x v="1"/>
    <n v="0.19700000000000001"/>
    <n v="0.4"/>
    <n v="0.22389999999999999"/>
    <n v="19"/>
    <n v="48"/>
    <n v="67"/>
  </r>
  <r>
    <n v="150"/>
    <x v="6"/>
    <x v="12"/>
    <x v="2"/>
    <x v="0"/>
    <x v="6"/>
    <x v="1"/>
    <n v="0.2"/>
    <x v="1"/>
    <n v="0.19700000000000001"/>
    <n v="0.37"/>
    <n v="0.25369999999999998"/>
    <n v="9"/>
    <n v="50"/>
    <n v="59"/>
  </r>
  <r>
    <n v="151"/>
    <x v="6"/>
    <x v="13"/>
    <x v="2"/>
    <x v="0"/>
    <x v="6"/>
    <x v="1"/>
    <n v="0.2"/>
    <x v="1"/>
    <n v="0.18179999999999999"/>
    <n v="0.37"/>
    <n v="0.28360000000000002"/>
    <n v="9"/>
    <n v="64"/>
    <n v="73"/>
  </r>
  <r>
    <n v="152"/>
    <x v="6"/>
    <x v="14"/>
    <x v="2"/>
    <x v="0"/>
    <x v="6"/>
    <x v="1"/>
    <n v="0.2"/>
    <x v="1"/>
    <n v="0.19700000000000001"/>
    <n v="0.4"/>
    <n v="0.25369999999999998"/>
    <n v="7"/>
    <n v="43"/>
    <n v="50"/>
  </r>
  <r>
    <n v="153"/>
    <x v="6"/>
    <x v="15"/>
    <x v="2"/>
    <x v="0"/>
    <x v="6"/>
    <x v="1"/>
    <n v="0.2"/>
    <x v="1"/>
    <n v="0.21210000000000001"/>
    <n v="0.37"/>
    <n v="0.16420000000000001"/>
    <n v="9"/>
    <n v="63"/>
    <n v="72"/>
  </r>
  <r>
    <n v="154"/>
    <x v="6"/>
    <x v="16"/>
    <x v="2"/>
    <x v="0"/>
    <x v="6"/>
    <x v="1"/>
    <n v="0.2"/>
    <x v="1"/>
    <n v="0.21210000000000001"/>
    <n v="0.37"/>
    <n v="0.16420000000000001"/>
    <n v="5"/>
    <n v="82"/>
    <n v="87"/>
  </r>
  <r>
    <n v="155"/>
    <x v="6"/>
    <x v="17"/>
    <x v="3"/>
    <x v="0"/>
    <x v="6"/>
    <x v="1"/>
    <n v="0.2"/>
    <x v="1"/>
    <n v="0.2576"/>
    <n v="0.37"/>
    <n v="0"/>
    <n v="9"/>
    <n v="178"/>
    <n v="187"/>
  </r>
  <r>
    <n v="156"/>
    <x v="6"/>
    <x v="18"/>
    <x v="3"/>
    <x v="0"/>
    <x v="6"/>
    <x v="0"/>
    <n v="0.2"/>
    <x v="1"/>
    <n v="0.2273"/>
    <n v="0.4"/>
    <n v="8.9599999999999999E-2"/>
    <n v="7"/>
    <n v="116"/>
    <n v="123"/>
  </r>
  <r>
    <n v="157"/>
    <x v="6"/>
    <x v="19"/>
    <x v="3"/>
    <x v="0"/>
    <x v="6"/>
    <x v="0"/>
    <n v="0.16"/>
    <x v="1"/>
    <n v="0.19700000000000001"/>
    <n v="0.55000000000000004"/>
    <n v="8.9599999999999999E-2"/>
    <n v="3"/>
    <n v="92"/>
    <n v="95"/>
  </r>
  <r>
    <n v="158"/>
    <x v="6"/>
    <x v="20"/>
    <x v="3"/>
    <x v="0"/>
    <x v="6"/>
    <x v="0"/>
    <n v="0.18"/>
    <x v="1"/>
    <n v="0.21210000000000001"/>
    <n v="0.47"/>
    <n v="0.1045"/>
    <n v="1"/>
    <n v="50"/>
    <n v="51"/>
  </r>
  <r>
    <n v="159"/>
    <x v="6"/>
    <x v="21"/>
    <x v="0"/>
    <x v="0"/>
    <x v="6"/>
    <x v="0"/>
    <n v="0.18"/>
    <x v="1"/>
    <n v="0.19700000000000001"/>
    <n v="0.47"/>
    <n v="0.1343"/>
    <n v="0"/>
    <n v="39"/>
    <n v="39"/>
  </r>
  <r>
    <n v="160"/>
    <x v="6"/>
    <x v="22"/>
    <x v="0"/>
    <x v="0"/>
    <x v="6"/>
    <x v="1"/>
    <n v="0.18"/>
    <x v="1"/>
    <n v="0.19700000000000001"/>
    <n v="0.43"/>
    <n v="0.16420000000000001"/>
    <n v="2"/>
    <n v="34"/>
    <n v="36"/>
  </r>
  <r>
    <n v="161"/>
    <x v="6"/>
    <x v="23"/>
    <x v="0"/>
    <x v="0"/>
    <x v="6"/>
    <x v="1"/>
    <n v="0.18"/>
    <x v="1"/>
    <n v="0.19700000000000001"/>
    <n v="0.51"/>
    <n v="0.16420000000000001"/>
    <n v="1"/>
    <n v="14"/>
    <n v="15"/>
  </r>
  <r>
    <n v="162"/>
    <x v="7"/>
    <x v="0"/>
    <x v="0"/>
    <x v="0"/>
    <x v="0"/>
    <x v="1"/>
    <n v="0.18"/>
    <x v="1"/>
    <n v="0.19700000000000001"/>
    <n v="0.51"/>
    <n v="0.16420000000000001"/>
    <n v="1"/>
    <n v="24"/>
    <n v="25"/>
  </r>
  <r>
    <n v="163"/>
    <x v="7"/>
    <x v="1"/>
    <x v="0"/>
    <x v="0"/>
    <x v="0"/>
    <x v="1"/>
    <n v="0.18"/>
    <x v="1"/>
    <n v="0.21210000000000001"/>
    <n v="0.55000000000000004"/>
    <n v="8.9599999999999999E-2"/>
    <n v="1"/>
    <n v="15"/>
    <n v="16"/>
  </r>
  <r>
    <n v="164"/>
    <x v="7"/>
    <x v="2"/>
    <x v="0"/>
    <x v="0"/>
    <x v="0"/>
    <x v="1"/>
    <n v="0.18"/>
    <x v="1"/>
    <n v="0.2424"/>
    <n v="0.55000000000000004"/>
    <n v="0"/>
    <n v="3"/>
    <n v="13"/>
    <n v="16"/>
  </r>
  <r>
    <n v="165"/>
    <x v="7"/>
    <x v="3"/>
    <x v="0"/>
    <x v="0"/>
    <x v="0"/>
    <x v="2"/>
    <n v="0.18"/>
    <x v="1"/>
    <n v="0.19700000000000001"/>
    <n v="0.55000000000000004"/>
    <n v="0.16420000000000001"/>
    <n v="0"/>
    <n v="7"/>
    <n v="7"/>
  </r>
  <r>
    <n v="166"/>
    <x v="7"/>
    <x v="4"/>
    <x v="0"/>
    <x v="0"/>
    <x v="0"/>
    <x v="2"/>
    <n v="0.18"/>
    <x v="1"/>
    <n v="0.19700000000000001"/>
    <n v="0.55000000000000004"/>
    <n v="0.16420000000000001"/>
    <n v="0"/>
    <n v="1"/>
    <n v="1"/>
  </r>
  <r>
    <n v="167"/>
    <x v="7"/>
    <x v="5"/>
    <x v="1"/>
    <x v="0"/>
    <x v="0"/>
    <x v="1"/>
    <n v="0.16"/>
    <x v="1"/>
    <n v="0.16669999999999999"/>
    <n v="0.74"/>
    <n v="0.16420000000000001"/>
    <n v="0"/>
    <n v="5"/>
    <n v="5"/>
  </r>
  <r>
    <n v="168"/>
    <x v="7"/>
    <x v="6"/>
    <x v="1"/>
    <x v="0"/>
    <x v="0"/>
    <x v="1"/>
    <n v="0.16"/>
    <x v="1"/>
    <n v="0.16669999999999999"/>
    <n v="0.74"/>
    <n v="0.16420000000000001"/>
    <n v="0"/>
    <n v="2"/>
    <n v="2"/>
  </r>
  <r>
    <n v="169"/>
    <x v="7"/>
    <x v="7"/>
    <x v="1"/>
    <x v="0"/>
    <x v="0"/>
    <x v="1"/>
    <n v="0.16"/>
    <x v="1"/>
    <n v="0.18179999999999999"/>
    <n v="0.74"/>
    <n v="0.1045"/>
    <n v="1"/>
    <n v="8"/>
    <n v="9"/>
  </r>
  <r>
    <n v="170"/>
    <x v="7"/>
    <x v="8"/>
    <x v="1"/>
    <x v="0"/>
    <x v="0"/>
    <x v="2"/>
    <n v="0.16"/>
    <x v="1"/>
    <n v="0.18179999999999999"/>
    <n v="0.93"/>
    <n v="0.1045"/>
    <n v="0"/>
    <n v="15"/>
    <n v="15"/>
  </r>
  <r>
    <n v="171"/>
    <x v="7"/>
    <x v="9"/>
    <x v="1"/>
    <x v="0"/>
    <x v="0"/>
    <x v="2"/>
    <n v="0.16"/>
    <x v="1"/>
    <n v="0.18179999999999999"/>
    <n v="0.93"/>
    <n v="0.1045"/>
    <n v="0"/>
    <n v="20"/>
    <n v="20"/>
  </r>
  <r>
    <n v="172"/>
    <x v="7"/>
    <x v="10"/>
    <x v="1"/>
    <x v="0"/>
    <x v="0"/>
    <x v="1"/>
    <n v="0.18"/>
    <x v="1"/>
    <n v="0.19700000000000001"/>
    <n v="0.8"/>
    <n v="0.16420000000000001"/>
    <n v="5"/>
    <n v="56"/>
    <n v="61"/>
  </r>
  <r>
    <n v="173"/>
    <x v="7"/>
    <x v="11"/>
    <x v="1"/>
    <x v="0"/>
    <x v="0"/>
    <x v="1"/>
    <n v="0.2"/>
    <x v="1"/>
    <n v="0.18179999999999999"/>
    <n v="0.69"/>
    <n v="0.3881"/>
    <n v="2"/>
    <n v="60"/>
    <n v="62"/>
  </r>
  <r>
    <n v="174"/>
    <x v="7"/>
    <x v="12"/>
    <x v="2"/>
    <x v="0"/>
    <x v="0"/>
    <x v="1"/>
    <n v="0.2"/>
    <x v="1"/>
    <n v="0.18179999999999999"/>
    <n v="0.59"/>
    <n v="0.35820000000000002"/>
    <n v="8"/>
    <n v="90"/>
    <n v="98"/>
  </r>
  <r>
    <n v="175"/>
    <x v="7"/>
    <x v="13"/>
    <x v="2"/>
    <x v="0"/>
    <x v="0"/>
    <x v="0"/>
    <n v="0.2"/>
    <x v="1"/>
    <n v="0.18179999999999999"/>
    <n v="0.44"/>
    <n v="0.32840000000000003"/>
    <n v="7"/>
    <n v="95"/>
    <n v="102"/>
  </r>
  <r>
    <n v="176"/>
    <x v="7"/>
    <x v="14"/>
    <x v="2"/>
    <x v="0"/>
    <x v="0"/>
    <x v="0"/>
    <n v="0.2"/>
    <x v="1"/>
    <n v="0.16669999999999999"/>
    <n v="0.32"/>
    <n v="0.49249999999999999"/>
    <n v="12"/>
    <n v="83"/>
    <n v="95"/>
  </r>
  <r>
    <n v="177"/>
    <x v="7"/>
    <x v="15"/>
    <x v="2"/>
    <x v="0"/>
    <x v="0"/>
    <x v="0"/>
    <n v="0.2"/>
    <x v="1"/>
    <n v="0.16669999999999999"/>
    <n v="0.32"/>
    <n v="0.44779999999999998"/>
    <n v="5"/>
    <n v="69"/>
    <n v="74"/>
  </r>
  <r>
    <n v="178"/>
    <x v="7"/>
    <x v="16"/>
    <x v="2"/>
    <x v="0"/>
    <x v="0"/>
    <x v="0"/>
    <n v="0.18"/>
    <x v="1"/>
    <n v="0.13639999999999999"/>
    <n v="0.28999999999999998"/>
    <n v="0.44779999999999998"/>
    <n v="8"/>
    <n v="68"/>
    <n v="76"/>
  </r>
  <r>
    <n v="179"/>
    <x v="7"/>
    <x v="17"/>
    <x v="3"/>
    <x v="0"/>
    <x v="0"/>
    <x v="0"/>
    <n v="0.16"/>
    <x v="1"/>
    <n v="0.1212"/>
    <n v="0.37"/>
    <n v="0.55220000000000002"/>
    <n v="5"/>
    <n v="64"/>
    <n v="69"/>
  </r>
  <r>
    <n v="180"/>
    <x v="7"/>
    <x v="18"/>
    <x v="3"/>
    <x v="0"/>
    <x v="0"/>
    <x v="0"/>
    <n v="0.14000000000000001"/>
    <x v="1"/>
    <n v="0.1212"/>
    <n v="0.39"/>
    <n v="0.29849999999999999"/>
    <n v="3"/>
    <n v="52"/>
    <n v="55"/>
  </r>
  <r>
    <n v="181"/>
    <x v="7"/>
    <x v="19"/>
    <x v="3"/>
    <x v="0"/>
    <x v="0"/>
    <x v="0"/>
    <n v="0.14000000000000001"/>
    <x v="1"/>
    <n v="0.1212"/>
    <n v="0.36"/>
    <n v="0.25369999999999998"/>
    <n v="4"/>
    <n v="26"/>
    <n v="30"/>
  </r>
  <r>
    <n v="182"/>
    <x v="7"/>
    <x v="20"/>
    <x v="3"/>
    <x v="0"/>
    <x v="0"/>
    <x v="0"/>
    <n v="0.12"/>
    <x v="1"/>
    <n v="0.1212"/>
    <n v="0.36"/>
    <n v="0.25369999999999998"/>
    <n v="0"/>
    <n v="28"/>
    <n v="28"/>
  </r>
  <r>
    <n v="183"/>
    <x v="7"/>
    <x v="21"/>
    <x v="0"/>
    <x v="0"/>
    <x v="0"/>
    <x v="0"/>
    <n v="0.12"/>
    <x v="1"/>
    <n v="0.1061"/>
    <n v="0.39"/>
    <n v="0.35820000000000002"/>
    <n v="2"/>
    <n v="35"/>
    <n v="37"/>
  </r>
  <r>
    <n v="184"/>
    <x v="7"/>
    <x v="22"/>
    <x v="0"/>
    <x v="0"/>
    <x v="0"/>
    <x v="0"/>
    <n v="0.12"/>
    <x v="1"/>
    <n v="0.1061"/>
    <n v="0.36"/>
    <n v="0.3881"/>
    <n v="1"/>
    <n v="33"/>
    <n v="34"/>
  </r>
  <r>
    <n v="185"/>
    <x v="7"/>
    <x v="23"/>
    <x v="0"/>
    <x v="0"/>
    <x v="0"/>
    <x v="0"/>
    <n v="0.1"/>
    <x v="1"/>
    <n v="6.0600000000000001E-2"/>
    <n v="0.39"/>
    <n v="0.44779999999999998"/>
    <n v="0"/>
    <n v="22"/>
    <n v="22"/>
  </r>
  <r>
    <n v="186"/>
    <x v="8"/>
    <x v="0"/>
    <x v="0"/>
    <x v="0"/>
    <x v="1"/>
    <x v="0"/>
    <n v="0.1"/>
    <x v="1"/>
    <n v="7.5800000000000006E-2"/>
    <n v="0.42"/>
    <n v="0.3881"/>
    <n v="1"/>
    <n v="24"/>
    <n v="25"/>
  </r>
  <r>
    <n v="187"/>
    <x v="8"/>
    <x v="1"/>
    <x v="0"/>
    <x v="0"/>
    <x v="1"/>
    <x v="0"/>
    <n v="0.1"/>
    <x v="1"/>
    <n v="6.0600000000000001E-2"/>
    <n v="0.42"/>
    <n v="0.4627"/>
    <n v="0"/>
    <n v="12"/>
    <n v="12"/>
  </r>
  <r>
    <n v="188"/>
    <x v="8"/>
    <x v="2"/>
    <x v="0"/>
    <x v="0"/>
    <x v="1"/>
    <x v="0"/>
    <n v="0.1"/>
    <x v="1"/>
    <n v="6.0600000000000001E-2"/>
    <n v="0.46"/>
    <n v="0.4627"/>
    <n v="0"/>
    <n v="11"/>
    <n v="11"/>
  </r>
  <r>
    <n v="189"/>
    <x v="8"/>
    <x v="3"/>
    <x v="0"/>
    <x v="0"/>
    <x v="1"/>
    <x v="0"/>
    <n v="0.1"/>
    <x v="1"/>
    <n v="7.5800000000000006E-2"/>
    <n v="0.46"/>
    <n v="0.41789999999999999"/>
    <n v="0"/>
    <n v="4"/>
    <n v="4"/>
  </r>
  <r>
    <n v="190"/>
    <x v="8"/>
    <x v="4"/>
    <x v="0"/>
    <x v="0"/>
    <x v="1"/>
    <x v="0"/>
    <n v="0.08"/>
    <x v="1"/>
    <n v="9.0899999999999995E-2"/>
    <n v="0.53"/>
    <n v="0.19400000000000001"/>
    <n v="0"/>
    <n v="1"/>
    <n v="1"/>
  </r>
  <r>
    <n v="191"/>
    <x v="8"/>
    <x v="5"/>
    <x v="1"/>
    <x v="0"/>
    <x v="1"/>
    <x v="0"/>
    <n v="0.08"/>
    <x v="1"/>
    <n v="9.0899999999999995E-2"/>
    <n v="0.53"/>
    <n v="0.19400000000000001"/>
    <n v="0"/>
    <n v="1"/>
    <n v="1"/>
  </r>
  <r>
    <n v="192"/>
    <x v="8"/>
    <x v="6"/>
    <x v="1"/>
    <x v="0"/>
    <x v="1"/>
    <x v="0"/>
    <n v="0.1"/>
    <x v="1"/>
    <n v="9.0899999999999995E-2"/>
    <n v="0.49"/>
    <n v="0.28360000000000002"/>
    <n v="0"/>
    <n v="1"/>
    <n v="1"/>
  </r>
  <r>
    <n v="193"/>
    <x v="8"/>
    <x v="7"/>
    <x v="1"/>
    <x v="0"/>
    <x v="1"/>
    <x v="0"/>
    <n v="0.08"/>
    <x v="1"/>
    <n v="9.0899999999999995E-2"/>
    <n v="0.53"/>
    <n v="0.19400000000000001"/>
    <n v="1"/>
    <n v="5"/>
    <n v="6"/>
  </r>
  <r>
    <n v="194"/>
    <x v="8"/>
    <x v="8"/>
    <x v="1"/>
    <x v="0"/>
    <x v="1"/>
    <x v="0"/>
    <n v="0.1"/>
    <x v="1"/>
    <n v="9.0899999999999995E-2"/>
    <n v="0.49"/>
    <n v="0.28360000000000002"/>
    <n v="0"/>
    <n v="10"/>
    <n v="10"/>
  </r>
  <r>
    <n v="195"/>
    <x v="8"/>
    <x v="9"/>
    <x v="1"/>
    <x v="0"/>
    <x v="1"/>
    <x v="0"/>
    <n v="0.12"/>
    <x v="1"/>
    <n v="7.5800000000000006E-2"/>
    <n v="0.46"/>
    <n v="0.52239999999999998"/>
    <n v="0"/>
    <n v="19"/>
    <n v="19"/>
  </r>
  <r>
    <n v="196"/>
    <x v="8"/>
    <x v="10"/>
    <x v="1"/>
    <x v="0"/>
    <x v="1"/>
    <x v="0"/>
    <n v="0.14000000000000001"/>
    <x v="1"/>
    <n v="0.1061"/>
    <n v="0.43"/>
    <n v="0.3881"/>
    <n v="0"/>
    <n v="49"/>
    <n v="49"/>
  </r>
  <r>
    <n v="197"/>
    <x v="8"/>
    <x v="11"/>
    <x v="1"/>
    <x v="0"/>
    <x v="1"/>
    <x v="0"/>
    <n v="0.16"/>
    <x v="1"/>
    <n v="0.1212"/>
    <n v="0.4"/>
    <n v="0.52239999999999998"/>
    <n v="2"/>
    <n v="47"/>
    <n v="49"/>
  </r>
  <r>
    <n v="198"/>
    <x v="8"/>
    <x v="12"/>
    <x v="2"/>
    <x v="0"/>
    <x v="1"/>
    <x v="0"/>
    <n v="0.18"/>
    <x v="1"/>
    <n v="0.13639999999999999"/>
    <n v="0.37"/>
    <n v="0.44779999999999998"/>
    <n v="4"/>
    <n v="79"/>
    <n v="83"/>
  </r>
  <r>
    <n v="199"/>
    <x v="8"/>
    <x v="13"/>
    <x v="2"/>
    <x v="0"/>
    <x v="1"/>
    <x v="0"/>
    <n v="0.2"/>
    <x v="1"/>
    <n v="0.16669999999999999"/>
    <n v="0.34"/>
    <n v="0.44779999999999998"/>
    <n v="6"/>
    <n v="69"/>
    <n v="75"/>
  </r>
  <r>
    <n v="200"/>
    <x v="8"/>
    <x v="14"/>
    <x v="2"/>
    <x v="0"/>
    <x v="1"/>
    <x v="0"/>
    <n v="0.22"/>
    <x v="0"/>
    <n v="0.18179999999999999"/>
    <n v="0.32"/>
    <n v="0.4627"/>
    <n v="8"/>
    <n v="64"/>
    <n v="72"/>
  </r>
  <r>
    <n v="201"/>
    <x v="8"/>
    <x v="15"/>
    <x v="2"/>
    <x v="0"/>
    <x v="1"/>
    <x v="0"/>
    <n v="0.22"/>
    <x v="0"/>
    <n v="0.19700000000000001"/>
    <n v="0.35"/>
    <n v="0.35820000000000002"/>
    <n v="5"/>
    <n v="77"/>
    <n v="82"/>
  </r>
  <r>
    <n v="202"/>
    <x v="8"/>
    <x v="16"/>
    <x v="2"/>
    <x v="0"/>
    <x v="1"/>
    <x v="0"/>
    <n v="0.2"/>
    <x v="1"/>
    <n v="0.16669999999999999"/>
    <n v="0.34"/>
    <n v="0.44779999999999998"/>
    <n v="13"/>
    <n v="79"/>
    <n v="92"/>
  </r>
  <r>
    <n v="203"/>
    <x v="8"/>
    <x v="17"/>
    <x v="3"/>
    <x v="0"/>
    <x v="1"/>
    <x v="0"/>
    <n v="0.18"/>
    <x v="1"/>
    <n v="0.1515"/>
    <n v="0.37"/>
    <n v="0.3881"/>
    <n v="3"/>
    <n v="59"/>
    <n v="62"/>
  </r>
  <r>
    <n v="204"/>
    <x v="8"/>
    <x v="18"/>
    <x v="3"/>
    <x v="0"/>
    <x v="1"/>
    <x v="0"/>
    <n v="0.16"/>
    <x v="1"/>
    <n v="0.13639999999999999"/>
    <n v="0.4"/>
    <n v="0.32840000000000003"/>
    <n v="4"/>
    <n v="44"/>
    <n v="48"/>
  </r>
  <r>
    <n v="205"/>
    <x v="8"/>
    <x v="19"/>
    <x v="3"/>
    <x v="0"/>
    <x v="1"/>
    <x v="0"/>
    <n v="0.16"/>
    <x v="1"/>
    <n v="0.13639999999999999"/>
    <n v="0.43"/>
    <n v="0.32840000000000003"/>
    <n v="1"/>
    <n v="40"/>
    <n v="41"/>
  </r>
  <r>
    <n v="206"/>
    <x v="8"/>
    <x v="20"/>
    <x v="3"/>
    <x v="0"/>
    <x v="1"/>
    <x v="0"/>
    <n v="0.14000000000000001"/>
    <x v="1"/>
    <n v="0.1212"/>
    <n v="0.46"/>
    <n v="0.25369999999999998"/>
    <n v="0"/>
    <n v="38"/>
    <n v="38"/>
  </r>
  <r>
    <n v="207"/>
    <x v="8"/>
    <x v="21"/>
    <x v="0"/>
    <x v="0"/>
    <x v="1"/>
    <x v="0"/>
    <n v="0.14000000000000001"/>
    <x v="1"/>
    <n v="0.1061"/>
    <n v="0.46"/>
    <n v="0.41789999999999999"/>
    <n v="1"/>
    <n v="19"/>
    <n v="20"/>
  </r>
  <r>
    <n v="208"/>
    <x v="8"/>
    <x v="22"/>
    <x v="0"/>
    <x v="0"/>
    <x v="1"/>
    <x v="0"/>
    <n v="0.14000000000000001"/>
    <x v="1"/>
    <n v="0.1212"/>
    <n v="0.46"/>
    <n v="0.29849999999999999"/>
    <n v="5"/>
    <n v="10"/>
    <n v="15"/>
  </r>
  <r>
    <n v="209"/>
    <x v="8"/>
    <x v="23"/>
    <x v="0"/>
    <x v="0"/>
    <x v="1"/>
    <x v="0"/>
    <n v="0.12"/>
    <x v="1"/>
    <n v="0.13639999999999999"/>
    <n v="0.5"/>
    <n v="0.19400000000000001"/>
    <n v="0"/>
    <n v="6"/>
    <n v="6"/>
  </r>
  <r>
    <n v="210"/>
    <x v="9"/>
    <x v="0"/>
    <x v="0"/>
    <x v="0"/>
    <x v="2"/>
    <x v="0"/>
    <n v="0.12"/>
    <x v="1"/>
    <n v="0.1212"/>
    <n v="0.5"/>
    <n v="0.28360000000000002"/>
    <n v="2"/>
    <n v="3"/>
    <n v="5"/>
  </r>
  <r>
    <n v="211"/>
    <x v="9"/>
    <x v="1"/>
    <x v="0"/>
    <x v="0"/>
    <x v="2"/>
    <x v="0"/>
    <n v="0.12"/>
    <x v="1"/>
    <n v="0.1212"/>
    <n v="0.5"/>
    <n v="0.28360000000000002"/>
    <n v="1"/>
    <n v="0"/>
    <n v="1"/>
  </r>
  <r>
    <n v="212"/>
    <x v="9"/>
    <x v="2"/>
    <x v="0"/>
    <x v="0"/>
    <x v="2"/>
    <x v="0"/>
    <n v="0.12"/>
    <x v="1"/>
    <n v="0.1212"/>
    <n v="0.5"/>
    <n v="0.22389999999999999"/>
    <n v="0"/>
    <n v="3"/>
    <n v="3"/>
  </r>
  <r>
    <n v="213"/>
    <x v="9"/>
    <x v="3"/>
    <x v="0"/>
    <x v="0"/>
    <x v="2"/>
    <x v="0"/>
    <n v="0.12"/>
    <x v="1"/>
    <n v="0.1212"/>
    <n v="0.5"/>
    <n v="0.22389999999999999"/>
    <n v="0"/>
    <n v="1"/>
    <n v="1"/>
  </r>
  <r>
    <n v="214"/>
    <x v="9"/>
    <x v="4"/>
    <x v="0"/>
    <x v="0"/>
    <x v="2"/>
    <x v="0"/>
    <n v="0.1"/>
    <x v="1"/>
    <n v="0.1212"/>
    <n v="0.54"/>
    <n v="0.1343"/>
    <n v="1"/>
    <n v="2"/>
    <n v="3"/>
  </r>
  <r>
    <n v="215"/>
    <x v="9"/>
    <x v="5"/>
    <x v="1"/>
    <x v="0"/>
    <x v="2"/>
    <x v="0"/>
    <n v="0.1"/>
    <x v="1"/>
    <n v="0.1061"/>
    <n v="0.54"/>
    <n v="0.25369999999999998"/>
    <n v="0"/>
    <n v="3"/>
    <n v="3"/>
  </r>
  <r>
    <n v="216"/>
    <x v="9"/>
    <x v="6"/>
    <x v="1"/>
    <x v="0"/>
    <x v="2"/>
    <x v="0"/>
    <n v="0.12"/>
    <x v="1"/>
    <n v="0.1212"/>
    <n v="0.5"/>
    <n v="0.28360000000000002"/>
    <n v="0"/>
    <n v="31"/>
    <n v="31"/>
  </r>
  <r>
    <n v="217"/>
    <x v="9"/>
    <x v="7"/>
    <x v="1"/>
    <x v="0"/>
    <x v="2"/>
    <x v="0"/>
    <n v="0.12"/>
    <x v="1"/>
    <n v="0.1212"/>
    <n v="0.5"/>
    <n v="0.22389999999999999"/>
    <n v="2"/>
    <n v="75"/>
    <n v="77"/>
  </r>
  <r>
    <n v="218"/>
    <x v="9"/>
    <x v="8"/>
    <x v="1"/>
    <x v="0"/>
    <x v="2"/>
    <x v="1"/>
    <n v="0.12"/>
    <x v="1"/>
    <n v="0.1212"/>
    <n v="0.5"/>
    <n v="0.28360000000000002"/>
    <n v="4"/>
    <n v="184"/>
    <n v="188"/>
  </r>
  <r>
    <n v="219"/>
    <x v="9"/>
    <x v="9"/>
    <x v="1"/>
    <x v="0"/>
    <x v="2"/>
    <x v="1"/>
    <n v="0.14000000000000001"/>
    <x v="1"/>
    <n v="0.1212"/>
    <n v="0.5"/>
    <n v="0.25369999999999998"/>
    <n v="2"/>
    <n v="92"/>
    <n v="94"/>
  </r>
  <r>
    <n v="220"/>
    <x v="9"/>
    <x v="10"/>
    <x v="1"/>
    <x v="0"/>
    <x v="2"/>
    <x v="1"/>
    <n v="0.14000000000000001"/>
    <x v="1"/>
    <n v="0.1212"/>
    <n v="0.5"/>
    <n v="0.29849999999999999"/>
    <n v="0"/>
    <n v="31"/>
    <n v="31"/>
  </r>
  <r>
    <n v="221"/>
    <x v="9"/>
    <x v="11"/>
    <x v="1"/>
    <x v="0"/>
    <x v="2"/>
    <x v="1"/>
    <n v="0.16"/>
    <x v="1"/>
    <n v="0.13639999999999999"/>
    <n v="0.47"/>
    <n v="0.28360000000000002"/>
    <n v="2"/>
    <n v="28"/>
    <n v="30"/>
  </r>
  <r>
    <n v="222"/>
    <x v="9"/>
    <x v="12"/>
    <x v="2"/>
    <x v="0"/>
    <x v="2"/>
    <x v="1"/>
    <n v="0.2"/>
    <x v="1"/>
    <n v="0.18179999999999999"/>
    <n v="0.4"/>
    <n v="0.28360000000000002"/>
    <n v="5"/>
    <n v="47"/>
    <n v="52"/>
  </r>
  <r>
    <n v="223"/>
    <x v="9"/>
    <x v="13"/>
    <x v="2"/>
    <x v="0"/>
    <x v="2"/>
    <x v="1"/>
    <n v="0.2"/>
    <x v="1"/>
    <n v="0.18179999999999999"/>
    <n v="0.4"/>
    <n v="0.28360000000000002"/>
    <n v="4"/>
    <n v="50"/>
    <n v="54"/>
  </r>
  <r>
    <n v="224"/>
    <x v="9"/>
    <x v="14"/>
    <x v="2"/>
    <x v="0"/>
    <x v="2"/>
    <x v="1"/>
    <n v="0.2"/>
    <x v="1"/>
    <n v="0.19700000000000001"/>
    <n v="0.4"/>
    <n v="0.22389999999999999"/>
    <n v="0"/>
    <n v="47"/>
    <n v="47"/>
  </r>
  <r>
    <n v="225"/>
    <x v="9"/>
    <x v="15"/>
    <x v="2"/>
    <x v="0"/>
    <x v="2"/>
    <x v="1"/>
    <n v="0.2"/>
    <x v="1"/>
    <n v="0.19700000000000001"/>
    <n v="0.4"/>
    <n v="0.22389999999999999"/>
    <n v="2"/>
    <n v="43"/>
    <n v="45"/>
  </r>
  <r>
    <n v="226"/>
    <x v="9"/>
    <x v="16"/>
    <x v="2"/>
    <x v="0"/>
    <x v="2"/>
    <x v="0"/>
    <n v="0.2"/>
    <x v="1"/>
    <n v="0.21210000000000001"/>
    <n v="0.4"/>
    <n v="0.1343"/>
    <n v="4"/>
    <n v="70"/>
    <n v="74"/>
  </r>
  <r>
    <n v="227"/>
    <x v="9"/>
    <x v="17"/>
    <x v="3"/>
    <x v="0"/>
    <x v="2"/>
    <x v="0"/>
    <n v="0.2"/>
    <x v="1"/>
    <n v="0.2273"/>
    <n v="0.4"/>
    <n v="0.1045"/>
    <n v="4"/>
    <n v="174"/>
    <n v="178"/>
  </r>
  <r>
    <n v="228"/>
    <x v="9"/>
    <x v="18"/>
    <x v="3"/>
    <x v="0"/>
    <x v="2"/>
    <x v="0"/>
    <n v="0.2"/>
    <x v="1"/>
    <n v="0.19700000000000001"/>
    <n v="0.4"/>
    <n v="0.22389999999999999"/>
    <n v="1"/>
    <n v="154"/>
    <n v="155"/>
  </r>
  <r>
    <n v="229"/>
    <x v="9"/>
    <x v="19"/>
    <x v="3"/>
    <x v="0"/>
    <x v="2"/>
    <x v="0"/>
    <n v="0.16"/>
    <x v="1"/>
    <n v="0.16669999999999999"/>
    <n v="0.47"/>
    <n v="0.16420000000000001"/>
    <n v="3"/>
    <n v="92"/>
    <n v="95"/>
  </r>
  <r>
    <n v="230"/>
    <x v="9"/>
    <x v="20"/>
    <x v="3"/>
    <x v="0"/>
    <x v="2"/>
    <x v="0"/>
    <n v="0.16"/>
    <x v="1"/>
    <n v="0.16669999999999999"/>
    <n v="0.5"/>
    <n v="0.16420000000000001"/>
    <n v="1"/>
    <n v="73"/>
    <n v="74"/>
  </r>
  <r>
    <n v="231"/>
    <x v="9"/>
    <x v="21"/>
    <x v="0"/>
    <x v="0"/>
    <x v="2"/>
    <x v="0"/>
    <n v="0.14000000000000001"/>
    <x v="1"/>
    <n v="0.13639999999999999"/>
    <n v="0.59"/>
    <n v="0.19400000000000001"/>
    <n v="1"/>
    <n v="37"/>
    <n v="38"/>
  </r>
  <r>
    <n v="232"/>
    <x v="9"/>
    <x v="22"/>
    <x v="0"/>
    <x v="0"/>
    <x v="2"/>
    <x v="0"/>
    <n v="0.14000000000000001"/>
    <x v="1"/>
    <n v="0.1515"/>
    <n v="0.59"/>
    <n v="0.16420000000000001"/>
    <n v="2"/>
    <n v="22"/>
    <n v="24"/>
  </r>
  <r>
    <n v="233"/>
    <x v="9"/>
    <x v="23"/>
    <x v="0"/>
    <x v="0"/>
    <x v="2"/>
    <x v="0"/>
    <n v="0.14000000000000001"/>
    <x v="1"/>
    <n v="0.1515"/>
    <n v="0.59"/>
    <n v="0.16420000000000001"/>
    <n v="0"/>
    <n v="18"/>
    <n v="18"/>
  </r>
  <r>
    <n v="234"/>
    <x v="10"/>
    <x v="0"/>
    <x v="0"/>
    <x v="0"/>
    <x v="3"/>
    <x v="0"/>
    <n v="0.14000000000000001"/>
    <x v="1"/>
    <n v="0.16669999999999999"/>
    <n v="0.59"/>
    <n v="0.1045"/>
    <n v="2"/>
    <n v="10"/>
    <n v="12"/>
  </r>
  <r>
    <n v="235"/>
    <x v="10"/>
    <x v="1"/>
    <x v="0"/>
    <x v="0"/>
    <x v="3"/>
    <x v="0"/>
    <n v="0.14000000000000001"/>
    <x v="1"/>
    <n v="0.1515"/>
    <n v="0.59"/>
    <n v="0.16420000000000001"/>
    <n v="0"/>
    <n v="3"/>
    <n v="3"/>
  </r>
  <r>
    <n v="236"/>
    <x v="10"/>
    <x v="2"/>
    <x v="0"/>
    <x v="0"/>
    <x v="3"/>
    <x v="1"/>
    <n v="0.16"/>
    <x v="1"/>
    <n v="0.1515"/>
    <n v="0.55000000000000004"/>
    <n v="0.19400000000000001"/>
    <n v="0"/>
    <n v="3"/>
    <n v="3"/>
  </r>
  <r>
    <n v="237"/>
    <x v="10"/>
    <x v="5"/>
    <x v="1"/>
    <x v="0"/>
    <x v="3"/>
    <x v="1"/>
    <n v="0.16"/>
    <x v="1"/>
    <n v="0.18179999999999999"/>
    <n v="0.55000000000000004"/>
    <n v="0.1343"/>
    <n v="0"/>
    <n v="6"/>
    <n v="6"/>
  </r>
  <r>
    <n v="238"/>
    <x v="10"/>
    <x v="6"/>
    <x v="1"/>
    <x v="0"/>
    <x v="3"/>
    <x v="1"/>
    <n v="0.16"/>
    <x v="1"/>
    <n v="0.18179999999999999"/>
    <n v="0.55000000000000004"/>
    <n v="0.1343"/>
    <n v="0"/>
    <n v="27"/>
    <n v="27"/>
  </r>
  <r>
    <n v="239"/>
    <x v="10"/>
    <x v="7"/>
    <x v="1"/>
    <x v="0"/>
    <x v="3"/>
    <x v="1"/>
    <n v="0.16"/>
    <x v="1"/>
    <n v="0.2273"/>
    <n v="0.55000000000000004"/>
    <n v="0"/>
    <n v="2"/>
    <n v="97"/>
    <n v="99"/>
  </r>
  <r>
    <n v="240"/>
    <x v="10"/>
    <x v="8"/>
    <x v="1"/>
    <x v="0"/>
    <x v="3"/>
    <x v="1"/>
    <n v="0.18"/>
    <x v="1"/>
    <n v="0.21210000000000001"/>
    <n v="0.51"/>
    <n v="8.9599999999999999E-2"/>
    <n v="3"/>
    <n v="214"/>
    <n v="217"/>
  </r>
  <r>
    <n v="241"/>
    <x v="10"/>
    <x v="9"/>
    <x v="1"/>
    <x v="0"/>
    <x v="3"/>
    <x v="1"/>
    <n v="0.18"/>
    <x v="1"/>
    <n v="0.19700000000000001"/>
    <n v="0.51"/>
    <n v="0.16420000000000001"/>
    <n v="3"/>
    <n v="127"/>
    <n v="130"/>
  </r>
  <r>
    <n v="242"/>
    <x v="10"/>
    <x v="10"/>
    <x v="1"/>
    <x v="0"/>
    <x v="3"/>
    <x v="1"/>
    <n v="0.2"/>
    <x v="1"/>
    <n v="0.21210000000000001"/>
    <n v="0.51"/>
    <n v="0.16420000000000001"/>
    <n v="3"/>
    <n v="51"/>
    <n v="54"/>
  </r>
  <r>
    <n v="243"/>
    <x v="10"/>
    <x v="11"/>
    <x v="1"/>
    <x v="0"/>
    <x v="3"/>
    <x v="1"/>
    <n v="0.2"/>
    <x v="1"/>
    <n v="0.21210000000000001"/>
    <n v="0.47"/>
    <n v="0.1343"/>
    <n v="4"/>
    <n v="31"/>
    <n v="35"/>
  </r>
  <r>
    <n v="244"/>
    <x v="10"/>
    <x v="12"/>
    <x v="2"/>
    <x v="0"/>
    <x v="3"/>
    <x v="1"/>
    <n v="0.2"/>
    <x v="1"/>
    <n v="0.2273"/>
    <n v="0.51"/>
    <n v="0.1045"/>
    <n v="2"/>
    <n v="55"/>
    <n v="57"/>
  </r>
  <r>
    <n v="245"/>
    <x v="10"/>
    <x v="13"/>
    <x v="2"/>
    <x v="0"/>
    <x v="3"/>
    <x v="1"/>
    <n v="0.2"/>
    <x v="1"/>
    <n v="0.2273"/>
    <n v="0.59"/>
    <n v="8.9599999999999999E-2"/>
    <n v="6"/>
    <n v="46"/>
    <n v="52"/>
  </r>
  <r>
    <n v="246"/>
    <x v="10"/>
    <x v="14"/>
    <x v="2"/>
    <x v="0"/>
    <x v="3"/>
    <x v="1"/>
    <n v="0.2"/>
    <x v="1"/>
    <n v="0.2273"/>
    <n v="0.59"/>
    <n v="8.9599999999999999E-2"/>
    <n v="3"/>
    <n v="60"/>
    <n v="63"/>
  </r>
  <r>
    <n v="247"/>
    <x v="10"/>
    <x v="15"/>
    <x v="2"/>
    <x v="0"/>
    <x v="3"/>
    <x v="1"/>
    <n v="0.16"/>
    <x v="1"/>
    <n v="0.19700000000000001"/>
    <n v="0.8"/>
    <n v="8.9599999999999999E-2"/>
    <n v="2"/>
    <n v="45"/>
    <n v="47"/>
  </r>
  <r>
    <n v="248"/>
    <x v="10"/>
    <x v="16"/>
    <x v="2"/>
    <x v="0"/>
    <x v="3"/>
    <x v="1"/>
    <n v="0.16"/>
    <x v="1"/>
    <n v="0.1515"/>
    <n v="0.86"/>
    <n v="0.22389999999999999"/>
    <n v="4"/>
    <n v="72"/>
    <n v="76"/>
  </r>
  <r>
    <n v="249"/>
    <x v="10"/>
    <x v="17"/>
    <x v="3"/>
    <x v="0"/>
    <x v="3"/>
    <x v="1"/>
    <n v="0.16"/>
    <x v="1"/>
    <n v="0.1515"/>
    <n v="0.86"/>
    <n v="0.22389999999999999"/>
    <n v="6"/>
    <n v="130"/>
    <n v="136"/>
  </r>
  <r>
    <n v="250"/>
    <x v="10"/>
    <x v="18"/>
    <x v="3"/>
    <x v="0"/>
    <x v="3"/>
    <x v="2"/>
    <n v="0.16"/>
    <x v="1"/>
    <n v="0.18179999999999999"/>
    <n v="0.93"/>
    <n v="0.1045"/>
    <n v="1"/>
    <n v="94"/>
    <n v="95"/>
  </r>
  <r>
    <n v="251"/>
    <x v="10"/>
    <x v="19"/>
    <x v="3"/>
    <x v="0"/>
    <x v="3"/>
    <x v="2"/>
    <n v="0.16"/>
    <x v="1"/>
    <n v="0.2273"/>
    <n v="0.93"/>
    <n v="0"/>
    <n v="0"/>
    <n v="51"/>
    <n v="51"/>
  </r>
  <r>
    <n v="252"/>
    <x v="10"/>
    <x v="20"/>
    <x v="3"/>
    <x v="0"/>
    <x v="3"/>
    <x v="2"/>
    <n v="0.16"/>
    <x v="1"/>
    <n v="0.1515"/>
    <n v="0.93"/>
    <n v="0.19400000000000001"/>
    <n v="0"/>
    <n v="32"/>
    <n v="32"/>
  </r>
  <r>
    <n v="253"/>
    <x v="10"/>
    <x v="21"/>
    <x v="0"/>
    <x v="0"/>
    <x v="3"/>
    <x v="2"/>
    <n v="0.16"/>
    <x v="1"/>
    <n v="0.19700000000000001"/>
    <n v="0.86"/>
    <n v="8.9599999999999999E-2"/>
    <n v="0"/>
    <n v="20"/>
    <n v="20"/>
  </r>
  <r>
    <n v="254"/>
    <x v="10"/>
    <x v="22"/>
    <x v="0"/>
    <x v="0"/>
    <x v="3"/>
    <x v="2"/>
    <n v="0.16"/>
    <x v="1"/>
    <n v="0.18179999999999999"/>
    <n v="0.93"/>
    <n v="0.1045"/>
    <n v="1"/>
    <n v="28"/>
    <n v="29"/>
  </r>
  <r>
    <n v="255"/>
    <x v="10"/>
    <x v="23"/>
    <x v="0"/>
    <x v="0"/>
    <x v="3"/>
    <x v="2"/>
    <n v="0.16"/>
    <x v="1"/>
    <n v="0.19700000000000001"/>
    <n v="0.93"/>
    <n v="8.9599999999999999E-2"/>
    <n v="1"/>
    <n v="18"/>
    <n v="19"/>
  </r>
  <r>
    <n v="256"/>
    <x v="11"/>
    <x v="0"/>
    <x v="0"/>
    <x v="0"/>
    <x v="4"/>
    <x v="1"/>
    <n v="0.16"/>
    <x v="1"/>
    <n v="0.19700000000000001"/>
    <n v="0.86"/>
    <n v="8.9599999999999999E-2"/>
    <n v="0"/>
    <n v="7"/>
    <n v="7"/>
  </r>
  <r>
    <n v="257"/>
    <x v="11"/>
    <x v="1"/>
    <x v="0"/>
    <x v="0"/>
    <x v="4"/>
    <x v="1"/>
    <n v="0.16"/>
    <x v="1"/>
    <n v="0.18179999999999999"/>
    <n v="0.86"/>
    <n v="0.1045"/>
    <n v="0"/>
    <n v="6"/>
    <n v="6"/>
  </r>
  <r>
    <n v="258"/>
    <x v="11"/>
    <x v="2"/>
    <x v="0"/>
    <x v="0"/>
    <x v="4"/>
    <x v="0"/>
    <n v="0.14000000000000001"/>
    <x v="1"/>
    <n v="0.1515"/>
    <n v="0.86"/>
    <n v="0.1343"/>
    <n v="0"/>
    <n v="1"/>
    <n v="1"/>
  </r>
  <r>
    <n v="259"/>
    <x v="11"/>
    <x v="5"/>
    <x v="1"/>
    <x v="0"/>
    <x v="4"/>
    <x v="0"/>
    <n v="0.14000000000000001"/>
    <x v="1"/>
    <n v="0.1515"/>
    <n v="0.86"/>
    <n v="0.16420000000000001"/>
    <n v="0"/>
    <n v="5"/>
    <n v="5"/>
  </r>
  <r>
    <n v="260"/>
    <x v="11"/>
    <x v="6"/>
    <x v="1"/>
    <x v="0"/>
    <x v="4"/>
    <x v="0"/>
    <n v="0.12"/>
    <x v="1"/>
    <n v="0.1515"/>
    <n v="0.93"/>
    <n v="0.1343"/>
    <n v="0"/>
    <n v="16"/>
    <n v="16"/>
  </r>
  <r>
    <n v="261"/>
    <x v="11"/>
    <x v="7"/>
    <x v="1"/>
    <x v="0"/>
    <x v="4"/>
    <x v="0"/>
    <n v="0.14000000000000001"/>
    <x v="1"/>
    <n v="0.1515"/>
    <n v="0.69"/>
    <n v="0.1343"/>
    <n v="0"/>
    <n v="54"/>
    <n v="54"/>
  </r>
  <r>
    <n v="262"/>
    <x v="11"/>
    <x v="8"/>
    <x v="1"/>
    <x v="0"/>
    <x v="4"/>
    <x v="0"/>
    <n v="0.16"/>
    <x v="1"/>
    <n v="0.16669999999999999"/>
    <n v="0.59"/>
    <n v="0.16420000000000001"/>
    <n v="3"/>
    <n v="125"/>
    <n v="128"/>
  </r>
  <r>
    <n v="263"/>
    <x v="11"/>
    <x v="9"/>
    <x v="1"/>
    <x v="0"/>
    <x v="4"/>
    <x v="0"/>
    <n v="0.16"/>
    <x v="1"/>
    <n v="0.13639999999999999"/>
    <n v="0.59"/>
    <n v="0.32840000000000003"/>
    <n v="3"/>
    <n v="78"/>
    <n v="81"/>
  </r>
  <r>
    <n v="264"/>
    <x v="11"/>
    <x v="10"/>
    <x v="1"/>
    <x v="0"/>
    <x v="4"/>
    <x v="0"/>
    <n v="0.18"/>
    <x v="1"/>
    <n v="0.18179999999999999"/>
    <n v="0.55000000000000004"/>
    <n v="0.22389999999999999"/>
    <n v="0"/>
    <n v="39"/>
    <n v="39"/>
  </r>
  <r>
    <n v="265"/>
    <x v="11"/>
    <x v="11"/>
    <x v="1"/>
    <x v="0"/>
    <x v="4"/>
    <x v="0"/>
    <n v="0.2"/>
    <x v="1"/>
    <n v="0.18179999999999999"/>
    <n v="0.51"/>
    <n v="0.3881"/>
    <n v="3"/>
    <n v="32"/>
    <n v="35"/>
  </r>
  <r>
    <n v="266"/>
    <x v="11"/>
    <x v="12"/>
    <x v="2"/>
    <x v="0"/>
    <x v="4"/>
    <x v="0"/>
    <n v="0.2"/>
    <x v="1"/>
    <n v="0.1515"/>
    <n v="0.47"/>
    <n v="0.58209999999999995"/>
    <n v="3"/>
    <n v="52"/>
    <n v="55"/>
  </r>
  <r>
    <n v="267"/>
    <x v="11"/>
    <x v="13"/>
    <x v="2"/>
    <x v="0"/>
    <x v="4"/>
    <x v="0"/>
    <n v="0.22"/>
    <x v="0"/>
    <n v="0.19700000000000001"/>
    <n v="0.44"/>
    <n v="0.35820000000000002"/>
    <n v="0"/>
    <n v="49"/>
    <n v="49"/>
  </r>
  <r>
    <n v="268"/>
    <x v="11"/>
    <x v="14"/>
    <x v="2"/>
    <x v="0"/>
    <x v="4"/>
    <x v="0"/>
    <n v="0.2"/>
    <x v="1"/>
    <n v="0.18179999999999999"/>
    <n v="0.47"/>
    <n v="0.32840000000000003"/>
    <n v="0"/>
    <n v="44"/>
    <n v="44"/>
  </r>
  <r>
    <n v="269"/>
    <x v="11"/>
    <x v="15"/>
    <x v="2"/>
    <x v="0"/>
    <x v="4"/>
    <x v="0"/>
    <n v="0.2"/>
    <x v="1"/>
    <n v="0.16669999999999999"/>
    <n v="0.47"/>
    <n v="0.41789999999999999"/>
    <n v="1"/>
    <n v="48"/>
    <n v="49"/>
  </r>
  <r>
    <n v="270"/>
    <x v="11"/>
    <x v="16"/>
    <x v="2"/>
    <x v="0"/>
    <x v="4"/>
    <x v="0"/>
    <n v="0.22"/>
    <x v="0"/>
    <n v="0.19700000000000001"/>
    <n v="0.44"/>
    <n v="0.32840000000000003"/>
    <n v="5"/>
    <n v="63"/>
    <n v="68"/>
  </r>
  <r>
    <n v="271"/>
    <x v="11"/>
    <x v="17"/>
    <x v="3"/>
    <x v="0"/>
    <x v="4"/>
    <x v="0"/>
    <n v="0.2"/>
    <x v="1"/>
    <n v="0.18179999999999999"/>
    <n v="0.47"/>
    <n v="0.35820000000000002"/>
    <n v="0"/>
    <n v="139"/>
    <n v="139"/>
  </r>
  <r>
    <n v="272"/>
    <x v="11"/>
    <x v="18"/>
    <x v="3"/>
    <x v="0"/>
    <x v="4"/>
    <x v="0"/>
    <n v="0.2"/>
    <x v="1"/>
    <n v="0.1515"/>
    <n v="0.47"/>
    <n v="0.52239999999999998"/>
    <n v="2"/>
    <n v="135"/>
    <n v="137"/>
  </r>
  <r>
    <n v="273"/>
    <x v="11"/>
    <x v="19"/>
    <x v="3"/>
    <x v="0"/>
    <x v="4"/>
    <x v="0"/>
    <n v="0.18"/>
    <x v="1"/>
    <n v="0.1515"/>
    <n v="0.47"/>
    <n v="0.41789999999999999"/>
    <n v="1"/>
    <n v="82"/>
    <n v="83"/>
  </r>
  <r>
    <n v="274"/>
    <x v="11"/>
    <x v="20"/>
    <x v="3"/>
    <x v="0"/>
    <x v="4"/>
    <x v="0"/>
    <n v="0.16"/>
    <x v="1"/>
    <n v="0.13639999999999999"/>
    <n v="0.5"/>
    <n v="0.32840000000000003"/>
    <n v="2"/>
    <n v="54"/>
    <n v="56"/>
  </r>
  <r>
    <n v="275"/>
    <x v="11"/>
    <x v="21"/>
    <x v="0"/>
    <x v="0"/>
    <x v="4"/>
    <x v="0"/>
    <n v="0.16"/>
    <x v="1"/>
    <n v="0.13639999999999999"/>
    <n v="0.55000000000000004"/>
    <n v="0.32840000000000003"/>
    <n v="0"/>
    <n v="57"/>
    <n v="57"/>
  </r>
  <r>
    <n v="276"/>
    <x v="11"/>
    <x v="22"/>
    <x v="0"/>
    <x v="0"/>
    <x v="4"/>
    <x v="0"/>
    <n v="0.16"/>
    <x v="1"/>
    <n v="0.1212"/>
    <n v="0.55000000000000004"/>
    <n v="0.44779999999999998"/>
    <n v="1"/>
    <n v="32"/>
    <n v="33"/>
  </r>
  <r>
    <n v="277"/>
    <x v="11"/>
    <x v="23"/>
    <x v="0"/>
    <x v="0"/>
    <x v="4"/>
    <x v="0"/>
    <n v="0.14000000000000001"/>
    <x v="1"/>
    <n v="0.1061"/>
    <n v="0.59"/>
    <n v="0.41789999999999999"/>
    <n v="1"/>
    <n v="19"/>
    <n v="20"/>
  </r>
  <r>
    <n v="278"/>
    <x v="12"/>
    <x v="0"/>
    <x v="0"/>
    <x v="0"/>
    <x v="5"/>
    <x v="0"/>
    <n v="0.14000000000000001"/>
    <x v="1"/>
    <n v="0.1212"/>
    <n v="0.59"/>
    <n v="0.28360000000000002"/>
    <n v="1"/>
    <n v="6"/>
    <n v="7"/>
  </r>
  <r>
    <n v="279"/>
    <x v="12"/>
    <x v="1"/>
    <x v="0"/>
    <x v="0"/>
    <x v="5"/>
    <x v="0"/>
    <n v="0.14000000000000001"/>
    <x v="1"/>
    <n v="0.1212"/>
    <n v="0.5"/>
    <n v="0.28360000000000002"/>
    <n v="0"/>
    <n v="2"/>
    <n v="2"/>
  </r>
  <r>
    <n v="280"/>
    <x v="12"/>
    <x v="2"/>
    <x v="0"/>
    <x v="0"/>
    <x v="5"/>
    <x v="0"/>
    <n v="0.14000000000000001"/>
    <x v="1"/>
    <n v="0.1212"/>
    <n v="0.5"/>
    <n v="0.35820000000000002"/>
    <n v="0"/>
    <n v="2"/>
    <n v="2"/>
  </r>
  <r>
    <n v="281"/>
    <x v="12"/>
    <x v="3"/>
    <x v="0"/>
    <x v="0"/>
    <x v="5"/>
    <x v="0"/>
    <n v="0.14000000000000001"/>
    <x v="1"/>
    <n v="0.1212"/>
    <n v="0.5"/>
    <n v="0.32840000000000003"/>
    <n v="0"/>
    <n v="3"/>
    <n v="3"/>
  </r>
  <r>
    <n v="282"/>
    <x v="12"/>
    <x v="4"/>
    <x v="0"/>
    <x v="0"/>
    <x v="5"/>
    <x v="0"/>
    <n v="0.14000000000000001"/>
    <x v="1"/>
    <n v="0.1212"/>
    <n v="0.5"/>
    <n v="0.25369999999999998"/>
    <n v="0"/>
    <n v="4"/>
    <n v="4"/>
  </r>
  <r>
    <n v="283"/>
    <x v="12"/>
    <x v="5"/>
    <x v="1"/>
    <x v="0"/>
    <x v="5"/>
    <x v="0"/>
    <n v="0.14000000000000001"/>
    <x v="1"/>
    <n v="0.1212"/>
    <n v="0.5"/>
    <n v="0.29849999999999999"/>
    <n v="0"/>
    <n v="3"/>
    <n v="3"/>
  </r>
  <r>
    <n v="284"/>
    <x v="12"/>
    <x v="6"/>
    <x v="1"/>
    <x v="0"/>
    <x v="5"/>
    <x v="0"/>
    <n v="0.12"/>
    <x v="1"/>
    <n v="0.1515"/>
    <n v="0.54"/>
    <n v="0.1343"/>
    <n v="0"/>
    <n v="28"/>
    <n v="28"/>
  </r>
  <r>
    <n v="285"/>
    <x v="12"/>
    <x v="7"/>
    <x v="1"/>
    <x v="0"/>
    <x v="5"/>
    <x v="0"/>
    <n v="0.12"/>
    <x v="1"/>
    <n v="0.1515"/>
    <n v="0.54"/>
    <n v="0.1343"/>
    <n v="0"/>
    <n v="72"/>
    <n v="72"/>
  </r>
  <r>
    <n v="286"/>
    <x v="12"/>
    <x v="8"/>
    <x v="1"/>
    <x v="0"/>
    <x v="5"/>
    <x v="0"/>
    <n v="0.14000000000000001"/>
    <x v="1"/>
    <n v="0.13639999999999999"/>
    <n v="0.5"/>
    <n v="0.19400000000000001"/>
    <n v="5"/>
    <n v="197"/>
    <n v="202"/>
  </r>
  <r>
    <n v="287"/>
    <x v="12"/>
    <x v="9"/>
    <x v="1"/>
    <x v="0"/>
    <x v="5"/>
    <x v="0"/>
    <n v="0.14000000000000001"/>
    <x v="1"/>
    <n v="0.1212"/>
    <n v="0.5"/>
    <n v="0.32840000000000003"/>
    <n v="2"/>
    <n v="137"/>
    <n v="139"/>
  </r>
  <r>
    <n v="288"/>
    <x v="12"/>
    <x v="10"/>
    <x v="1"/>
    <x v="0"/>
    <x v="5"/>
    <x v="1"/>
    <n v="0.16"/>
    <x v="1"/>
    <n v="0.13639999999999999"/>
    <n v="0.5"/>
    <n v="0.35820000000000002"/>
    <n v="2"/>
    <n v="36"/>
    <n v="38"/>
  </r>
  <r>
    <n v="289"/>
    <x v="12"/>
    <x v="11"/>
    <x v="1"/>
    <x v="0"/>
    <x v="5"/>
    <x v="1"/>
    <n v="0.2"/>
    <x v="1"/>
    <n v="0.16669999999999999"/>
    <n v="0.44"/>
    <n v="0.44779999999999998"/>
    <n v="4"/>
    <n v="33"/>
    <n v="37"/>
  </r>
  <r>
    <n v="290"/>
    <x v="12"/>
    <x v="12"/>
    <x v="2"/>
    <x v="0"/>
    <x v="5"/>
    <x v="0"/>
    <n v="0.2"/>
    <x v="1"/>
    <n v="0.16669999999999999"/>
    <n v="0.44"/>
    <n v="0.41789999999999999"/>
    <n v="3"/>
    <n v="49"/>
    <n v="52"/>
  </r>
  <r>
    <n v="291"/>
    <x v="12"/>
    <x v="13"/>
    <x v="2"/>
    <x v="0"/>
    <x v="5"/>
    <x v="0"/>
    <n v="0.22"/>
    <x v="0"/>
    <n v="0.19700000000000001"/>
    <n v="0.41"/>
    <n v="0.44779999999999998"/>
    <n v="2"/>
    <n v="81"/>
    <n v="83"/>
  </r>
  <r>
    <n v="292"/>
    <x v="12"/>
    <x v="14"/>
    <x v="2"/>
    <x v="0"/>
    <x v="5"/>
    <x v="0"/>
    <n v="0.22"/>
    <x v="0"/>
    <n v="0.19700000000000001"/>
    <n v="0.41"/>
    <n v="0.3881"/>
    <n v="3"/>
    <n v="39"/>
    <n v="42"/>
  </r>
  <r>
    <n v="293"/>
    <x v="12"/>
    <x v="15"/>
    <x v="2"/>
    <x v="0"/>
    <x v="5"/>
    <x v="0"/>
    <n v="0.24"/>
    <x v="0"/>
    <n v="0.21210000000000001"/>
    <n v="0.38"/>
    <n v="0.29849999999999999"/>
    <n v="5"/>
    <n v="55"/>
    <n v="60"/>
  </r>
  <r>
    <n v="294"/>
    <x v="12"/>
    <x v="16"/>
    <x v="2"/>
    <x v="0"/>
    <x v="5"/>
    <x v="0"/>
    <n v="0.24"/>
    <x v="0"/>
    <n v="0.21210000000000001"/>
    <n v="0.38"/>
    <n v="0.35820000000000002"/>
    <n v="2"/>
    <n v="76"/>
    <n v="78"/>
  </r>
  <r>
    <n v="295"/>
    <x v="12"/>
    <x v="17"/>
    <x v="3"/>
    <x v="0"/>
    <x v="5"/>
    <x v="0"/>
    <n v="0.2"/>
    <x v="1"/>
    <n v="0.18179999999999999"/>
    <n v="0.4"/>
    <n v="0.28360000000000002"/>
    <n v="4"/>
    <n v="158"/>
    <n v="162"/>
  </r>
  <r>
    <n v="296"/>
    <x v="12"/>
    <x v="18"/>
    <x v="3"/>
    <x v="0"/>
    <x v="5"/>
    <x v="0"/>
    <n v="0.2"/>
    <x v="1"/>
    <n v="0.18179999999999999"/>
    <n v="0.4"/>
    <n v="0.32840000000000003"/>
    <n v="3"/>
    <n v="141"/>
    <n v="144"/>
  </r>
  <r>
    <n v="297"/>
    <x v="12"/>
    <x v="19"/>
    <x v="3"/>
    <x v="0"/>
    <x v="5"/>
    <x v="0"/>
    <n v="0.16"/>
    <x v="1"/>
    <n v="0.1515"/>
    <n v="0.47"/>
    <n v="0.25369999999999998"/>
    <n v="1"/>
    <n v="98"/>
    <n v="99"/>
  </r>
  <r>
    <n v="298"/>
    <x v="12"/>
    <x v="20"/>
    <x v="3"/>
    <x v="0"/>
    <x v="5"/>
    <x v="0"/>
    <n v="0.16"/>
    <x v="1"/>
    <n v="0.1515"/>
    <n v="0.47"/>
    <n v="0.22389999999999999"/>
    <n v="0"/>
    <n v="64"/>
    <n v="64"/>
  </r>
  <r>
    <n v="299"/>
    <x v="12"/>
    <x v="21"/>
    <x v="0"/>
    <x v="0"/>
    <x v="5"/>
    <x v="0"/>
    <n v="0.14000000000000001"/>
    <x v="1"/>
    <n v="0.1212"/>
    <n v="0.46"/>
    <n v="0.29849999999999999"/>
    <n v="0"/>
    <n v="40"/>
    <n v="40"/>
  </r>
  <r>
    <n v="300"/>
    <x v="12"/>
    <x v="22"/>
    <x v="0"/>
    <x v="0"/>
    <x v="5"/>
    <x v="0"/>
    <n v="0.14000000000000001"/>
    <x v="1"/>
    <n v="0.1212"/>
    <n v="0.46"/>
    <n v="0.32840000000000003"/>
    <n v="0"/>
    <n v="30"/>
    <n v="30"/>
  </r>
  <r>
    <n v="301"/>
    <x v="12"/>
    <x v="23"/>
    <x v="0"/>
    <x v="0"/>
    <x v="5"/>
    <x v="0"/>
    <n v="0.12"/>
    <x v="1"/>
    <n v="0.13639999999999999"/>
    <n v="0.5"/>
    <n v="0.19400000000000001"/>
    <n v="1"/>
    <n v="14"/>
    <n v="15"/>
  </r>
  <r>
    <n v="302"/>
    <x v="13"/>
    <x v="0"/>
    <x v="0"/>
    <x v="0"/>
    <x v="6"/>
    <x v="0"/>
    <n v="0.12"/>
    <x v="1"/>
    <n v="0.13639999999999999"/>
    <n v="0.5"/>
    <n v="0.19400000000000001"/>
    <n v="0"/>
    <n v="14"/>
    <n v="14"/>
  </r>
  <r>
    <n v="303"/>
    <x v="13"/>
    <x v="1"/>
    <x v="0"/>
    <x v="0"/>
    <x v="6"/>
    <x v="0"/>
    <n v="0.1"/>
    <x v="1"/>
    <n v="0.1212"/>
    <n v="0.54"/>
    <n v="0.16420000000000001"/>
    <n v="0"/>
    <n v="5"/>
    <n v="5"/>
  </r>
  <r>
    <n v="304"/>
    <x v="13"/>
    <x v="2"/>
    <x v="0"/>
    <x v="0"/>
    <x v="6"/>
    <x v="0"/>
    <n v="0.1"/>
    <x v="1"/>
    <n v="0.1212"/>
    <n v="0.54"/>
    <n v="0.1343"/>
    <n v="0"/>
    <n v="1"/>
    <n v="1"/>
  </r>
  <r>
    <n v="305"/>
    <x v="13"/>
    <x v="3"/>
    <x v="0"/>
    <x v="0"/>
    <x v="6"/>
    <x v="0"/>
    <n v="0.1"/>
    <x v="1"/>
    <n v="0.13639999999999999"/>
    <n v="0.54"/>
    <n v="0.1045"/>
    <n v="0"/>
    <n v="1"/>
    <n v="1"/>
  </r>
  <r>
    <n v="306"/>
    <x v="13"/>
    <x v="5"/>
    <x v="1"/>
    <x v="0"/>
    <x v="6"/>
    <x v="0"/>
    <n v="0.1"/>
    <x v="1"/>
    <n v="0.13639999999999999"/>
    <n v="0.54"/>
    <n v="8.9599999999999999E-2"/>
    <n v="0"/>
    <n v="8"/>
    <n v="8"/>
  </r>
  <r>
    <n v="307"/>
    <x v="13"/>
    <x v="6"/>
    <x v="1"/>
    <x v="0"/>
    <x v="6"/>
    <x v="0"/>
    <n v="0.1"/>
    <x v="1"/>
    <n v="0.18179999999999999"/>
    <n v="0.54"/>
    <n v="0"/>
    <n v="0"/>
    <n v="17"/>
    <n v="17"/>
  </r>
  <r>
    <n v="308"/>
    <x v="13"/>
    <x v="7"/>
    <x v="1"/>
    <x v="0"/>
    <x v="6"/>
    <x v="0"/>
    <n v="0.1"/>
    <x v="1"/>
    <n v="0.1212"/>
    <n v="0.74"/>
    <n v="0.16420000000000001"/>
    <n v="0"/>
    <n v="70"/>
    <n v="70"/>
  </r>
  <r>
    <n v="309"/>
    <x v="13"/>
    <x v="8"/>
    <x v="1"/>
    <x v="0"/>
    <x v="6"/>
    <x v="0"/>
    <n v="0.12"/>
    <x v="1"/>
    <n v="0.16669999999999999"/>
    <n v="0.68"/>
    <n v="0"/>
    <n v="2"/>
    <n v="156"/>
    <n v="158"/>
  </r>
  <r>
    <n v="310"/>
    <x v="13"/>
    <x v="9"/>
    <x v="1"/>
    <x v="0"/>
    <x v="6"/>
    <x v="0"/>
    <n v="0.14000000000000001"/>
    <x v="1"/>
    <n v="0.1515"/>
    <n v="0.69"/>
    <n v="0.1343"/>
    <n v="0"/>
    <n v="117"/>
    <n v="117"/>
  </r>
  <r>
    <n v="311"/>
    <x v="13"/>
    <x v="10"/>
    <x v="1"/>
    <x v="0"/>
    <x v="6"/>
    <x v="0"/>
    <n v="0.18"/>
    <x v="1"/>
    <n v="0.18179999999999999"/>
    <n v="0.55000000000000004"/>
    <n v="0.19400000000000001"/>
    <n v="4"/>
    <n v="40"/>
    <n v="44"/>
  </r>
  <r>
    <n v="312"/>
    <x v="13"/>
    <x v="11"/>
    <x v="1"/>
    <x v="0"/>
    <x v="6"/>
    <x v="0"/>
    <n v="0.18"/>
    <x v="1"/>
    <n v="0.16669999999999999"/>
    <n v="0.51"/>
    <n v="0.28360000000000002"/>
    <n v="6"/>
    <n v="47"/>
    <n v="53"/>
  </r>
  <r>
    <n v="313"/>
    <x v="13"/>
    <x v="12"/>
    <x v="2"/>
    <x v="0"/>
    <x v="6"/>
    <x v="0"/>
    <n v="0.2"/>
    <x v="1"/>
    <n v="0.19700000000000001"/>
    <n v="0.44"/>
    <n v="0.25369999999999998"/>
    <n v="2"/>
    <n v="59"/>
    <n v="61"/>
  </r>
  <r>
    <n v="314"/>
    <x v="13"/>
    <x v="13"/>
    <x v="2"/>
    <x v="0"/>
    <x v="6"/>
    <x v="0"/>
    <n v="0.22"/>
    <x v="0"/>
    <n v="0.19700000000000001"/>
    <n v="0.37"/>
    <n v="0.3881"/>
    <n v="4"/>
    <n v="73"/>
    <n v="77"/>
  </r>
  <r>
    <n v="315"/>
    <x v="13"/>
    <x v="14"/>
    <x v="2"/>
    <x v="0"/>
    <x v="6"/>
    <x v="0"/>
    <n v="0.22"/>
    <x v="0"/>
    <n v="0.21210000000000001"/>
    <n v="0.41"/>
    <n v="0.28360000000000002"/>
    <n v="5"/>
    <n v="59"/>
    <n v="64"/>
  </r>
  <r>
    <n v="316"/>
    <x v="13"/>
    <x v="15"/>
    <x v="2"/>
    <x v="0"/>
    <x v="6"/>
    <x v="0"/>
    <n v="0.24"/>
    <x v="0"/>
    <n v="0.2424"/>
    <n v="0.38"/>
    <n v="0.16420000000000001"/>
    <n v="9"/>
    <n v="59"/>
    <n v="68"/>
  </r>
  <r>
    <n v="317"/>
    <x v="13"/>
    <x v="16"/>
    <x v="2"/>
    <x v="0"/>
    <x v="6"/>
    <x v="0"/>
    <n v="0.22"/>
    <x v="0"/>
    <n v="0.2424"/>
    <n v="0.41"/>
    <n v="0.1045"/>
    <n v="3"/>
    <n v="87"/>
    <n v="90"/>
  </r>
  <r>
    <n v="318"/>
    <x v="13"/>
    <x v="17"/>
    <x v="3"/>
    <x v="0"/>
    <x v="6"/>
    <x v="0"/>
    <n v="0.22"/>
    <x v="0"/>
    <n v="0.2273"/>
    <n v="0.41"/>
    <n v="0.16420000000000001"/>
    <n v="4"/>
    <n v="155"/>
    <n v="159"/>
  </r>
  <r>
    <n v="319"/>
    <x v="13"/>
    <x v="18"/>
    <x v="3"/>
    <x v="0"/>
    <x v="6"/>
    <x v="0"/>
    <n v="0.2"/>
    <x v="1"/>
    <n v="0.2576"/>
    <n v="0.47"/>
    <n v="0"/>
    <n v="5"/>
    <n v="134"/>
    <n v="139"/>
  </r>
  <r>
    <n v="320"/>
    <x v="13"/>
    <x v="19"/>
    <x v="3"/>
    <x v="0"/>
    <x v="6"/>
    <x v="0"/>
    <n v="0.16"/>
    <x v="1"/>
    <n v="0.19700000000000001"/>
    <n v="0.59"/>
    <n v="8.9599999999999999E-2"/>
    <n v="3"/>
    <n v="89"/>
    <n v="92"/>
  </r>
  <r>
    <n v="321"/>
    <x v="13"/>
    <x v="20"/>
    <x v="3"/>
    <x v="0"/>
    <x v="6"/>
    <x v="0"/>
    <n v="0.18"/>
    <x v="1"/>
    <n v="0.2424"/>
    <n v="0.59"/>
    <n v="0"/>
    <n v="0"/>
    <n v="68"/>
    <n v="68"/>
  </r>
  <r>
    <n v="322"/>
    <x v="13"/>
    <x v="21"/>
    <x v="0"/>
    <x v="0"/>
    <x v="6"/>
    <x v="0"/>
    <n v="0.16"/>
    <x v="1"/>
    <n v="0.2273"/>
    <n v="0.69"/>
    <n v="0"/>
    <n v="4"/>
    <n v="48"/>
    <n v="52"/>
  </r>
  <r>
    <n v="323"/>
    <x v="13"/>
    <x v="22"/>
    <x v="0"/>
    <x v="0"/>
    <x v="6"/>
    <x v="1"/>
    <n v="0.16"/>
    <x v="1"/>
    <n v="0.2273"/>
    <n v="0.69"/>
    <n v="0"/>
    <n v="2"/>
    <n v="34"/>
    <n v="36"/>
  </r>
  <r>
    <n v="324"/>
    <x v="13"/>
    <x v="23"/>
    <x v="0"/>
    <x v="0"/>
    <x v="6"/>
    <x v="1"/>
    <n v="0.18"/>
    <x v="1"/>
    <n v="0.2424"/>
    <n v="0.55000000000000004"/>
    <n v="0"/>
    <n v="1"/>
    <n v="26"/>
    <n v="27"/>
  </r>
  <r>
    <n v="325"/>
    <x v="14"/>
    <x v="0"/>
    <x v="0"/>
    <x v="0"/>
    <x v="0"/>
    <x v="0"/>
    <n v="0.18"/>
    <x v="1"/>
    <n v="0.2424"/>
    <n v="0.55000000000000004"/>
    <n v="0"/>
    <n v="3"/>
    <n v="25"/>
    <n v="28"/>
  </r>
  <r>
    <n v="326"/>
    <x v="14"/>
    <x v="1"/>
    <x v="0"/>
    <x v="0"/>
    <x v="0"/>
    <x v="1"/>
    <n v="0.16"/>
    <x v="1"/>
    <n v="0.19700000000000001"/>
    <n v="0.59"/>
    <n v="8.9599999999999999E-2"/>
    <n v="2"/>
    <n v="18"/>
    <n v="20"/>
  </r>
  <r>
    <n v="327"/>
    <x v="14"/>
    <x v="2"/>
    <x v="0"/>
    <x v="0"/>
    <x v="0"/>
    <x v="1"/>
    <n v="0.16"/>
    <x v="1"/>
    <n v="0.19700000000000001"/>
    <n v="0.59"/>
    <n v="8.9599999999999999E-2"/>
    <n v="0"/>
    <n v="12"/>
    <n v="12"/>
  </r>
  <r>
    <n v="328"/>
    <x v="14"/>
    <x v="3"/>
    <x v="0"/>
    <x v="0"/>
    <x v="0"/>
    <x v="1"/>
    <n v="0.16"/>
    <x v="1"/>
    <n v="0.2273"/>
    <n v="0.59"/>
    <n v="0"/>
    <n v="1"/>
    <n v="7"/>
    <n v="8"/>
  </r>
  <r>
    <n v="329"/>
    <x v="14"/>
    <x v="4"/>
    <x v="0"/>
    <x v="0"/>
    <x v="0"/>
    <x v="1"/>
    <n v="0.16"/>
    <x v="1"/>
    <n v="0.2273"/>
    <n v="0.59"/>
    <n v="0"/>
    <n v="0"/>
    <n v="5"/>
    <n v="5"/>
  </r>
  <r>
    <n v="330"/>
    <x v="14"/>
    <x v="5"/>
    <x v="1"/>
    <x v="0"/>
    <x v="0"/>
    <x v="0"/>
    <n v="0.16"/>
    <x v="1"/>
    <n v="0.2273"/>
    <n v="0.59"/>
    <n v="0"/>
    <n v="0"/>
    <n v="1"/>
    <n v="1"/>
  </r>
  <r>
    <n v="331"/>
    <x v="14"/>
    <x v="6"/>
    <x v="1"/>
    <x v="0"/>
    <x v="0"/>
    <x v="0"/>
    <n v="0.14000000000000001"/>
    <x v="1"/>
    <n v="0.16669999999999999"/>
    <n v="0.63"/>
    <n v="0.1045"/>
    <n v="1"/>
    <n v="2"/>
    <n v="3"/>
  </r>
  <r>
    <n v="332"/>
    <x v="14"/>
    <x v="7"/>
    <x v="1"/>
    <x v="0"/>
    <x v="0"/>
    <x v="0"/>
    <n v="0.14000000000000001"/>
    <x v="1"/>
    <n v="0.21210000000000001"/>
    <n v="0.63"/>
    <n v="0"/>
    <n v="1"/>
    <n v="9"/>
    <n v="10"/>
  </r>
  <r>
    <n v="333"/>
    <x v="14"/>
    <x v="8"/>
    <x v="1"/>
    <x v="0"/>
    <x v="0"/>
    <x v="0"/>
    <n v="0.14000000000000001"/>
    <x v="1"/>
    <n v="0.1515"/>
    <n v="0.63"/>
    <n v="0.1343"/>
    <n v="1"/>
    <n v="22"/>
    <n v="23"/>
  </r>
  <r>
    <n v="334"/>
    <x v="14"/>
    <x v="9"/>
    <x v="1"/>
    <x v="0"/>
    <x v="0"/>
    <x v="0"/>
    <n v="0.16"/>
    <x v="1"/>
    <n v="0.18179999999999999"/>
    <n v="0.64"/>
    <n v="0.1343"/>
    <n v="2"/>
    <n v="31"/>
    <n v="33"/>
  </r>
  <r>
    <n v="335"/>
    <x v="14"/>
    <x v="10"/>
    <x v="1"/>
    <x v="0"/>
    <x v="0"/>
    <x v="0"/>
    <n v="0.18"/>
    <x v="1"/>
    <n v="0.19700000000000001"/>
    <n v="0.59"/>
    <n v="0.16420000000000001"/>
    <n v="2"/>
    <n v="57"/>
    <n v="59"/>
  </r>
  <r>
    <n v="336"/>
    <x v="14"/>
    <x v="11"/>
    <x v="1"/>
    <x v="0"/>
    <x v="0"/>
    <x v="0"/>
    <n v="0.2"/>
    <x v="1"/>
    <n v="0.19700000000000001"/>
    <n v="0.55000000000000004"/>
    <n v="0.22389999999999999"/>
    <n v="18"/>
    <n v="54"/>
    <n v="72"/>
  </r>
  <r>
    <n v="337"/>
    <x v="14"/>
    <x v="12"/>
    <x v="2"/>
    <x v="0"/>
    <x v="0"/>
    <x v="0"/>
    <n v="0.24"/>
    <x v="0"/>
    <n v="0.2273"/>
    <n v="0.48"/>
    <n v="0.22389999999999999"/>
    <n v="15"/>
    <n v="74"/>
    <n v="89"/>
  </r>
  <r>
    <n v="338"/>
    <x v="14"/>
    <x v="13"/>
    <x v="2"/>
    <x v="0"/>
    <x v="0"/>
    <x v="0"/>
    <n v="0.28000000000000003"/>
    <x v="0"/>
    <n v="0.2576"/>
    <n v="0.38"/>
    <n v="0.29849999999999999"/>
    <n v="21"/>
    <n v="80"/>
    <n v="101"/>
  </r>
  <r>
    <n v="339"/>
    <x v="14"/>
    <x v="14"/>
    <x v="2"/>
    <x v="0"/>
    <x v="0"/>
    <x v="0"/>
    <n v="0.3"/>
    <x v="0"/>
    <n v="0.28789999999999999"/>
    <n v="0.39"/>
    <n v="0.28360000000000002"/>
    <n v="26"/>
    <n v="92"/>
    <n v="118"/>
  </r>
  <r>
    <n v="340"/>
    <x v="14"/>
    <x v="15"/>
    <x v="2"/>
    <x v="0"/>
    <x v="0"/>
    <x v="1"/>
    <n v="0.32"/>
    <x v="0"/>
    <n v="0.31819999999999998"/>
    <n v="0.36"/>
    <n v="0.19400000000000001"/>
    <n v="21"/>
    <n v="108"/>
    <n v="129"/>
  </r>
  <r>
    <n v="341"/>
    <x v="14"/>
    <x v="16"/>
    <x v="2"/>
    <x v="0"/>
    <x v="0"/>
    <x v="1"/>
    <n v="0.34"/>
    <x v="0"/>
    <n v="0.33329999999999999"/>
    <n v="0.34"/>
    <n v="0.19400000000000001"/>
    <n v="33"/>
    <n v="95"/>
    <n v="128"/>
  </r>
  <r>
    <n v="342"/>
    <x v="14"/>
    <x v="17"/>
    <x v="3"/>
    <x v="0"/>
    <x v="0"/>
    <x v="1"/>
    <n v="0.32"/>
    <x v="0"/>
    <n v="0.30299999999999999"/>
    <n v="0.36"/>
    <n v="0.28360000000000002"/>
    <n v="29"/>
    <n v="54"/>
    <n v="83"/>
  </r>
  <r>
    <n v="343"/>
    <x v="14"/>
    <x v="18"/>
    <x v="3"/>
    <x v="0"/>
    <x v="0"/>
    <x v="1"/>
    <n v="0.3"/>
    <x v="0"/>
    <n v="0.28789999999999999"/>
    <n v="0.45"/>
    <n v="0.25369999999999998"/>
    <n v="15"/>
    <n v="69"/>
    <n v="84"/>
  </r>
  <r>
    <n v="344"/>
    <x v="14"/>
    <x v="19"/>
    <x v="3"/>
    <x v="0"/>
    <x v="0"/>
    <x v="1"/>
    <n v="0.32"/>
    <x v="0"/>
    <n v="0.30299999999999999"/>
    <n v="0.39"/>
    <n v="0.25369999999999998"/>
    <n v="14"/>
    <n v="60"/>
    <n v="74"/>
  </r>
  <r>
    <n v="345"/>
    <x v="14"/>
    <x v="20"/>
    <x v="3"/>
    <x v="0"/>
    <x v="0"/>
    <x v="1"/>
    <n v="0.32"/>
    <x v="0"/>
    <n v="0.30299999999999999"/>
    <n v="0.39"/>
    <n v="0.25369999999999998"/>
    <n v="6"/>
    <n v="35"/>
    <n v="41"/>
  </r>
  <r>
    <n v="346"/>
    <x v="14"/>
    <x v="21"/>
    <x v="0"/>
    <x v="0"/>
    <x v="0"/>
    <x v="1"/>
    <n v="0.32"/>
    <x v="0"/>
    <n v="0.30299999999999999"/>
    <n v="0.39"/>
    <n v="0.22389999999999999"/>
    <n v="6"/>
    <n v="51"/>
    <n v="57"/>
  </r>
  <r>
    <n v="347"/>
    <x v="14"/>
    <x v="22"/>
    <x v="0"/>
    <x v="0"/>
    <x v="0"/>
    <x v="1"/>
    <n v="0.3"/>
    <x v="0"/>
    <n v="0.31819999999999998"/>
    <n v="0.42"/>
    <n v="0.1045"/>
    <n v="0"/>
    <n v="26"/>
    <n v="26"/>
  </r>
  <r>
    <n v="348"/>
    <x v="14"/>
    <x v="23"/>
    <x v="0"/>
    <x v="0"/>
    <x v="0"/>
    <x v="0"/>
    <n v="0.3"/>
    <x v="0"/>
    <n v="0.28789999999999999"/>
    <n v="0.45"/>
    <n v="0.28360000000000002"/>
    <n v="5"/>
    <n v="39"/>
    <n v="44"/>
  </r>
  <r>
    <n v="349"/>
    <x v="15"/>
    <x v="0"/>
    <x v="0"/>
    <x v="0"/>
    <x v="1"/>
    <x v="0"/>
    <n v="0.26"/>
    <x v="0"/>
    <n v="0.30299999999999999"/>
    <n v="0.56000000000000005"/>
    <n v="0"/>
    <n v="6"/>
    <n v="33"/>
    <n v="39"/>
  </r>
  <r>
    <n v="350"/>
    <x v="15"/>
    <x v="1"/>
    <x v="0"/>
    <x v="0"/>
    <x v="1"/>
    <x v="0"/>
    <n v="0.26"/>
    <x v="0"/>
    <n v="0.2727"/>
    <n v="0.56000000000000005"/>
    <n v="0.1343"/>
    <n v="4"/>
    <n v="19"/>
    <n v="23"/>
  </r>
  <r>
    <n v="351"/>
    <x v="15"/>
    <x v="2"/>
    <x v="0"/>
    <x v="0"/>
    <x v="1"/>
    <x v="0"/>
    <n v="0.26"/>
    <x v="0"/>
    <n v="0.28789999999999999"/>
    <n v="0.56000000000000005"/>
    <n v="8.9599999999999999E-2"/>
    <n v="3"/>
    <n v="13"/>
    <n v="16"/>
  </r>
  <r>
    <n v="352"/>
    <x v="15"/>
    <x v="3"/>
    <x v="0"/>
    <x v="0"/>
    <x v="1"/>
    <x v="0"/>
    <n v="0.22"/>
    <x v="0"/>
    <n v="0.2727"/>
    <n v="0.69"/>
    <n v="0"/>
    <n v="9"/>
    <n v="6"/>
    <n v="15"/>
  </r>
  <r>
    <n v="353"/>
    <x v="15"/>
    <x v="4"/>
    <x v="0"/>
    <x v="0"/>
    <x v="1"/>
    <x v="0"/>
    <n v="0.26"/>
    <x v="0"/>
    <n v="0.2576"/>
    <n v="0.56000000000000005"/>
    <n v="0.16420000000000001"/>
    <n v="0"/>
    <n v="1"/>
    <n v="1"/>
  </r>
  <r>
    <n v="354"/>
    <x v="15"/>
    <x v="5"/>
    <x v="1"/>
    <x v="0"/>
    <x v="1"/>
    <x v="1"/>
    <n v="0.26"/>
    <x v="0"/>
    <n v="0.2576"/>
    <n v="0.56000000000000005"/>
    <n v="0.16420000000000001"/>
    <n v="1"/>
    <n v="1"/>
    <n v="2"/>
  </r>
  <r>
    <n v="355"/>
    <x v="15"/>
    <x v="6"/>
    <x v="1"/>
    <x v="0"/>
    <x v="1"/>
    <x v="1"/>
    <n v="0.26"/>
    <x v="0"/>
    <n v="0.2576"/>
    <n v="0.56000000000000005"/>
    <n v="0.16420000000000001"/>
    <n v="0"/>
    <n v="1"/>
    <n v="1"/>
  </r>
  <r>
    <n v="356"/>
    <x v="15"/>
    <x v="7"/>
    <x v="1"/>
    <x v="0"/>
    <x v="1"/>
    <x v="1"/>
    <n v="0.24"/>
    <x v="0"/>
    <n v="0.21210000000000001"/>
    <n v="0.56000000000000005"/>
    <n v="0.29849999999999999"/>
    <n v="0"/>
    <n v="3"/>
    <n v="3"/>
  </r>
  <r>
    <n v="357"/>
    <x v="15"/>
    <x v="8"/>
    <x v="1"/>
    <x v="0"/>
    <x v="1"/>
    <x v="0"/>
    <n v="0.22"/>
    <x v="0"/>
    <n v="0.21210000000000001"/>
    <n v="0.55000000000000004"/>
    <n v="0.28360000000000002"/>
    <n v="0"/>
    <n v="18"/>
    <n v="18"/>
  </r>
  <r>
    <n v="358"/>
    <x v="15"/>
    <x v="9"/>
    <x v="1"/>
    <x v="0"/>
    <x v="1"/>
    <x v="0"/>
    <n v="0.22"/>
    <x v="0"/>
    <n v="0.21210000000000001"/>
    <n v="0.51"/>
    <n v="0.25369999999999998"/>
    <n v="3"/>
    <n v="29"/>
    <n v="32"/>
  </r>
  <r>
    <n v="359"/>
    <x v="15"/>
    <x v="10"/>
    <x v="1"/>
    <x v="0"/>
    <x v="1"/>
    <x v="0"/>
    <n v="0.22"/>
    <x v="0"/>
    <n v="0.21210000000000001"/>
    <n v="0.51"/>
    <n v="0.28360000000000002"/>
    <n v="8"/>
    <n v="71"/>
    <n v="79"/>
  </r>
  <r>
    <n v="360"/>
    <x v="15"/>
    <x v="11"/>
    <x v="1"/>
    <x v="0"/>
    <x v="1"/>
    <x v="0"/>
    <n v="0.24"/>
    <x v="0"/>
    <n v="0.2273"/>
    <n v="0.44"/>
    <n v="0.25369999999999998"/>
    <n v="23"/>
    <n v="70"/>
    <n v="93"/>
  </r>
  <r>
    <n v="361"/>
    <x v="15"/>
    <x v="12"/>
    <x v="2"/>
    <x v="0"/>
    <x v="1"/>
    <x v="0"/>
    <n v="0.24"/>
    <x v="0"/>
    <n v="0.21210000000000001"/>
    <n v="0.41"/>
    <n v="0.28360000000000002"/>
    <n v="29"/>
    <n v="75"/>
    <n v="104"/>
  </r>
  <r>
    <n v="362"/>
    <x v="15"/>
    <x v="13"/>
    <x v="2"/>
    <x v="0"/>
    <x v="1"/>
    <x v="0"/>
    <n v="0.26"/>
    <x v="0"/>
    <n v="0.2273"/>
    <n v="0.35"/>
    <n v="0.29849999999999999"/>
    <n v="23"/>
    <n v="95"/>
    <n v="118"/>
  </r>
  <r>
    <n v="363"/>
    <x v="15"/>
    <x v="14"/>
    <x v="2"/>
    <x v="0"/>
    <x v="1"/>
    <x v="0"/>
    <n v="0.28000000000000003"/>
    <x v="0"/>
    <n v="0.2727"/>
    <n v="0.36"/>
    <n v="0.25369999999999998"/>
    <n v="22"/>
    <n v="69"/>
    <n v="91"/>
  </r>
  <r>
    <n v="364"/>
    <x v="15"/>
    <x v="15"/>
    <x v="2"/>
    <x v="0"/>
    <x v="1"/>
    <x v="0"/>
    <n v="0.26"/>
    <x v="0"/>
    <n v="0.2424"/>
    <n v="0.38"/>
    <n v="0.25369999999999998"/>
    <n v="35"/>
    <n v="78"/>
    <n v="113"/>
  </r>
  <r>
    <n v="365"/>
    <x v="15"/>
    <x v="16"/>
    <x v="2"/>
    <x v="0"/>
    <x v="1"/>
    <x v="0"/>
    <n v="0.24"/>
    <x v="0"/>
    <n v="0.2273"/>
    <n v="0.38"/>
    <n v="0.22389999999999999"/>
    <n v="22"/>
    <n v="77"/>
    <n v="99"/>
  </r>
  <r>
    <n v="366"/>
    <x v="15"/>
    <x v="17"/>
    <x v="3"/>
    <x v="0"/>
    <x v="1"/>
    <x v="0"/>
    <n v="0.22"/>
    <x v="0"/>
    <n v="0.21210000000000001"/>
    <n v="0.37"/>
    <n v="0.25369999999999998"/>
    <n v="23"/>
    <n v="82"/>
    <n v="105"/>
  </r>
  <r>
    <n v="367"/>
    <x v="15"/>
    <x v="18"/>
    <x v="3"/>
    <x v="0"/>
    <x v="1"/>
    <x v="0"/>
    <n v="0.2"/>
    <x v="1"/>
    <n v="0.21210000000000001"/>
    <n v="0.4"/>
    <n v="0.16420000000000001"/>
    <n v="11"/>
    <n v="56"/>
    <n v="67"/>
  </r>
  <r>
    <n v="368"/>
    <x v="15"/>
    <x v="19"/>
    <x v="3"/>
    <x v="0"/>
    <x v="1"/>
    <x v="0"/>
    <n v="0.18"/>
    <x v="1"/>
    <n v="0.19700000000000001"/>
    <n v="0.47"/>
    <n v="0.1343"/>
    <n v="14"/>
    <n v="47"/>
    <n v="61"/>
  </r>
  <r>
    <n v="369"/>
    <x v="15"/>
    <x v="20"/>
    <x v="3"/>
    <x v="0"/>
    <x v="1"/>
    <x v="0"/>
    <n v="0.18"/>
    <x v="1"/>
    <n v="0.19700000000000001"/>
    <n v="0.47"/>
    <n v="0.16420000000000001"/>
    <n v="7"/>
    <n v="50"/>
    <n v="57"/>
  </r>
  <r>
    <n v="370"/>
    <x v="15"/>
    <x v="21"/>
    <x v="0"/>
    <x v="0"/>
    <x v="1"/>
    <x v="0"/>
    <n v="0.18"/>
    <x v="1"/>
    <n v="0.19700000000000001"/>
    <n v="0.51"/>
    <n v="0.16420000000000001"/>
    <n v="6"/>
    <n v="22"/>
    <n v="28"/>
  </r>
  <r>
    <n v="371"/>
    <x v="15"/>
    <x v="22"/>
    <x v="0"/>
    <x v="0"/>
    <x v="1"/>
    <x v="1"/>
    <n v="0.2"/>
    <x v="1"/>
    <n v="0.21210000000000001"/>
    <n v="0.49"/>
    <n v="0.1343"/>
    <n v="2"/>
    <n v="19"/>
    <n v="21"/>
  </r>
  <r>
    <n v="372"/>
    <x v="15"/>
    <x v="23"/>
    <x v="0"/>
    <x v="0"/>
    <x v="1"/>
    <x v="1"/>
    <n v="0.2"/>
    <x v="1"/>
    <n v="0.2273"/>
    <n v="0.4"/>
    <n v="0.1045"/>
    <n v="0"/>
    <n v="18"/>
    <n v="18"/>
  </r>
  <r>
    <n v="373"/>
    <x v="16"/>
    <x v="0"/>
    <x v="0"/>
    <x v="1"/>
    <x v="2"/>
    <x v="1"/>
    <n v="0.2"/>
    <x v="1"/>
    <n v="0.19700000000000001"/>
    <n v="0.47"/>
    <n v="0.22389999999999999"/>
    <n v="1"/>
    <n v="16"/>
    <n v="17"/>
  </r>
  <r>
    <n v="374"/>
    <x v="16"/>
    <x v="1"/>
    <x v="0"/>
    <x v="1"/>
    <x v="2"/>
    <x v="1"/>
    <n v="0.2"/>
    <x v="1"/>
    <n v="0.19700000000000001"/>
    <n v="0.44"/>
    <n v="0.19400000000000001"/>
    <n v="1"/>
    <n v="15"/>
    <n v="16"/>
  </r>
  <r>
    <n v="375"/>
    <x v="16"/>
    <x v="2"/>
    <x v="0"/>
    <x v="1"/>
    <x v="2"/>
    <x v="1"/>
    <n v="0.18"/>
    <x v="1"/>
    <n v="0.16669999999999999"/>
    <n v="0.43"/>
    <n v="0.25369999999999998"/>
    <n v="0"/>
    <n v="8"/>
    <n v="8"/>
  </r>
  <r>
    <n v="376"/>
    <x v="16"/>
    <x v="3"/>
    <x v="0"/>
    <x v="1"/>
    <x v="2"/>
    <x v="1"/>
    <n v="0.18"/>
    <x v="1"/>
    <n v="0.18179999999999999"/>
    <n v="0.43"/>
    <n v="0.19400000000000001"/>
    <n v="0"/>
    <n v="2"/>
    <n v="2"/>
  </r>
  <r>
    <n v="377"/>
    <x v="16"/>
    <x v="4"/>
    <x v="0"/>
    <x v="1"/>
    <x v="2"/>
    <x v="1"/>
    <n v="0.18"/>
    <x v="1"/>
    <n v="0.19700000000000001"/>
    <n v="0.43"/>
    <n v="0.1343"/>
    <n v="1"/>
    <n v="2"/>
    <n v="3"/>
  </r>
  <r>
    <n v="378"/>
    <x v="16"/>
    <x v="5"/>
    <x v="1"/>
    <x v="1"/>
    <x v="2"/>
    <x v="1"/>
    <n v="0.18"/>
    <x v="1"/>
    <n v="0.19700000000000001"/>
    <n v="0.43"/>
    <n v="0.16420000000000001"/>
    <n v="0"/>
    <n v="1"/>
    <n v="1"/>
  </r>
  <r>
    <n v="379"/>
    <x v="16"/>
    <x v="6"/>
    <x v="1"/>
    <x v="1"/>
    <x v="2"/>
    <x v="1"/>
    <n v="0.18"/>
    <x v="1"/>
    <n v="0.18179999999999999"/>
    <n v="0.43"/>
    <n v="0.19400000000000001"/>
    <n v="0"/>
    <n v="5"/>
    <n v="5"/>
  </r>
  <r>
    <n v="380"/>
    <x v="16"/>
    <x v="7"/>
    <x v="1"/>
    <x v="1"/>
    <x v="2"/>
    <x v="1"/>
    <n v="0.16"/>
    <x v="1"/>
    <n v="0.18179999999999999"/>
    <n v="0.5"/>
    <n v="0.1343"/>
    <n v="4"/>
    <n v="9"/>
    <n v="13"/>
  </r>
  <r>
    <n v="381"/>
    <x v="16"/>
    <x v="8"/>
    <x v="1"/>
    <x v="1"/>
    <x v="2"/>
    <x v="1"/>
    <n v="0.16"/>
    <x v="1"/>
    <n v="0.1515"/>
    <n v="0.47"/>
    <n v="0.22389999999999999"/>
    <n v="3"/>
    <n v="30"/>
    <n v="33"/>
  </r>
  <r>
    <n v="382"/>
    <x v="16"/>
    <x v="9"/>
    <x v="1"/>
    <x v="1"/>
    <x v="2"/>
    <x v="1"/>
    <n v="0.16"/>
    <x v="1"/>
    <n v="0.1515"/>
    <n v="0.47"/>
    <n v="0.22389999999999999"/>
    <n v="8"/>
    <n v="39"/>
    <n v="47"/>
  </r>
  <r>
    <n v="383"/>
    <x v="16"/>
    <x v="10"/>
    <x v="1"/>
    <x v="1"/>
    <x v="2"/>
    <x v="1"/>
    <n v="0.16"/>
    <x v="1"/>
    <n v="0.1515"/>
    <n v="0.5"/>
    <n v="0.25369999999999998"/>
    <n v="7"/>
    <n v="50"/>
    <n v="57"/>
  </r>
  <r>
    <n v="384"/>
    <x v="16"/>
    <x v="11"/>
    <x v="1"/>
    <x v="1"/>
    <x v="2"/>
    <x v="1"/>
    <n v="0.16"/>
    <x v="1"/>
    <n v="0.1515"/>
    <n v="0.55000000000000004"/>
    <n v="0.19400000000000001"/>
    <n v="9"/>
    <n v="55"/>
    <n v="64"/>
  </r>
  <r>
    <n v="385"/>
    <x v="16"/>
    <x v="12"/>
    <x v="2"/>
    <x v="1"/>
    <x v="2"/>
    <x v="1"/>
    <n v="0.18"/>
    <x v="1"/>
    <n v="0.19700000000000001"/>
    <n v="0.47"/>
    <n v="0.1343"/>
    <n v="10"/>
    <n v="70"/>
    <n v="80"/>
  </r>
  <r>
    <n v="386"/>
    <x v="16"/>
    <x v="13"/>
    <x v="2"/>
    <x v="1"/>
    <x v="2"/>
    <x v="1"/>
    <n v="0.18"/>
    <x v="1"/>
    <n v="0.19700000000000001"/>
    <n v="0.47"/>
    <n v="0.1343"/>
    <n v="13"/>
    <n v="80"/>
    <n v="93"/>
  </r>
  <r>
    <n v="387"/>
    <x v="16"/>
    <x v="14"/>
    <x v="2"/>
    <x v="1"/>
    <x v="2"/>
    <x v="1"/>
    <n v="0.18"/>
    <x v="1"/>
    <n v="0.21210000000000001"/>
    <n v="0.43"/>
    <n v="0.1045"/>
    <n v="12"/>
    <n v="74"/>
    <n v="86"/>
  </r>
  <r>
    <n v="388"/>
    <x v="16"/>
    <x v="15"/>
    <x v="2"/>
    <x v="1"/>
    <x v="2"/>
    <x v="1"/>
    <n v="0.2"/>
    <x v="1"/>
    <n v="0.21210000000000001"/>
    <n v="0.47"/>
    <n v="0.16420000000000001"/>
    <n v="21"/>
    <n v="72"/>
    <n v="93"/>
  </r>
  <r>
    <n v="389"/>
    <x v="16"/>
    <x v="16"/>
    <x v="2"/>
    <x v="1"/>
    <x v="2"/>
    <x v="1"/>
    <n v="0.2"/>
    <x v="1"/>
    <n v="0.21210000000000001"/>
    <n v="0.47"/>
    <n v="0.16420000000000001"/>
    <n v="6"/>
    <n v="76"/>
    <n v="82"/>
  </r>
  <r>
    <n v="390"/>
    <x v="16"/>
    <x v="17"/>
    <x v="3"/>
    <x v="1"/>
    <x v="2"/>
    <x v="0"/>
    <n v="0.2"/>
    <x v="1"/>
    <n v="0.19700000000000001"/>
    <n v="0.51"/>
    <n v="0.19400000000000001"/>
    <n v="4"/>
    <n v="67"/>
    <n v="71"/>
  </r>
  <r>
    <n v="391"/>
    <x v="16"/>
    <x v="18"/>
    <x v="3"/>
    <x v="1"/>
    <x v="2"/>
    <x v="1"/>
    <n v="0.18"/>
    <x v="1"/>
    <n v="0.16669999999999999"/>
    <n v="0.55000000000000004"/>
    <n v="0.25369999999999998"/>
    <n v="7"/>
    <n v="85"/>
    <n v="92"/>
  </r>
  <r>
    <n v="392"/>
    <x v="16"/>
    <x v="19"/>
    <x v="3"/>
    <x v="1"/>
    <x v="2"/>
    <x v="2"/>
    <n v="0.18"/>
    <x v="1"/>
    <n v="0.18179999999999999"/>
    <n v="0.59"/>
    <n v="0.19400000000000001"/>
    <n v="2"/>
    <n v="58"/>
    <n v="60"/>
  </r>
  <r>
    <n v="393"/>
    <x v="16"/>
    <x v="20"/>
    <x v="3"/>
    <x v="1"/>
    <x v="2"/>
    <x v="2"/>
    <n v="0.16"/>
    <x v="1"/>
    <n v="0.1515"/>
    <n v="0.8"/>
    <n v="0.19400000000000001"/>
    <n v="4"/>
    <n v="29"/>
    <n v="33"/>
  </r>
  <r>
    <n v="394"/>
    <x v="16"/>
    <x v="21"/>
    <x v="0"/>
    <x v="1"/>
    <x v="2"/>
    <x v="2"/>
    <n v="0.16"/>
    <x v="1"/>
    <n v="0.1515"/>
    <n v="0.8"/>
    <n v="0.19400000000000001"/>
    <n v="3"/>
    <n v="24"/>
    <n v="27"/>
  </r>
  <r>
    <n v="395"/>
    <x v="16"/>
    <x v="22"/>
    <x v="0"/>
    <x v="1"/>
    <x v="2"/>
    <x v="2"/>
    <n v="0.14000000000000001"/>
    <x v="1"/>
    <n v="0.1212"/>
    <n v="0.93"/>
    <n v="0.25369999999999998"/>
    <n v="0"/>
    <n v="13"/>
    <n v="13"/>
  </r>
  <r>
    <n v="396"/>
    <x v="16"/>
    <x v="23"/>
    <x v="0"/>
    <x v="1"/>
    <x v="2"/>
    <x v="2"/>
    <n v="0.16"/>
    <x v="1"/>
    <n v="0.13639999999999999"/>
    <n v="0.86"/>
    <n v="0.28360000000000002"/>
    <n v="1"/>
    <n v="3"/>
    <n v="4"/>
  </r>
  <r>
    <n v="397"/>
    <x v="17"/>
    <x v="12"/>
    <x v="2"/>
    <x v="0"/>
    <x v="3"/>
    <x v="1"/>
    <n v="0.2"/>
    <x v="1"/>
    <n v="0.18179999999999999"/>
    <n v="0.86"/>
    <n v="0.32840000000000003"/>
    <n v="0"/>
    <n v="3"/>
    <n v="3"/>
  </r>
  <r>
    <n v="398"/>
    <x v="17"/>
    <x v="13"/>
    <x v="2"/>
    <x v="0"/>
    <x v="3"/>
    <x v="1"/>
    <n v="0.2"/>
    <x v="1"/>
    <n v="0.19700000000000001"/>
    <n v="0.86"/>
    <n v="0.22389999999999999"/>
    <n v="0"/>
    <n v="22"/>
    <n v="22"/>
  </r>
  <r>
    <n v="399"/>
    <x v="17"/>
    <x v="14"/>
    <x v="2"/>
    <x v="0"/>
    <x v="3"/>
    <x v="1"/>
    <n v="0.22"/>
    <x v="0"/>
    <n v="0.2273"/>
    <n v="0.8"/>
    <n v="0.16420000000000001"/>
    <n v="2"/>
    <n v="26"/>
    <n v="28"/>
  </r>
  <r>
    <n v="400"/>
    <x v="17"/>
    <x v="15"/>
    <x v="2"/>
    <x v="0"/>
    <x v="3"/>
    <x v="1"/>
    <n v="0.22"/>
    <x v="0"/>
    <n v="0.2273"/>
    <n v="0.87"/>
    <n v="0.16420000000000001"/>
    <n v="3"/>
    <n v="32"/>
    <n v="35"/>
  </r>
  <r>
    <n v="401"/>
    <x v="17"/>
    <x v="16"/>
    <x v="2"/>
    <x v="0"/>
    <x v="3"/>
    <x v="1"/>
    <n v="0.22"/>
    <x v="0"/>
    <n v="0.2273"/>
    <n v="0.87"/>
    <n v="0.19400000000000001"/>
    <n v="0"/>
    <n v="61"/>
    <n v="61"/>
  </r>
  <r>
    <n v="402"/>
    <x v="17"/>
    <x v="17"/>
    <x v="3"/>
    <x v="0"/>
    <x v="3"/>
    <x v="1"/>
    <n v="0.22"/>
    <x v="0"/>
    <n v="0.2273"/>
    <n v="0.82"/>
    <n v="0.19400000000000001"/>
    <n v="1"/>
    <n v="124"/>
    <n v="125"/>
  </r>
  <r>
    <n v="403"/>
    <x v="17"/>
    <x v="18"/>
    <x v="3"/>
    <x v="0"/>
    <x v="3"/>
    <x v="1"/>
    <n v="0.22"/>
    <x v="0"/>
    <n v="0.2273"/>
    <n v="0.8"/>
    <n v="0.16420000000000001"/>
    <n v="1"/>
    <n v="132"/>
    <n v="133"/>
  </r>
  <r>
    <n v="404"/>
    <x v="17"/>
    <x v="19"/>
    <x v="3"/>
    <x v="0"/>
    <x v="3"/>
    <x v="1"/>
    <n v="0.22"/>
    <x v="0"/>
    <n v="0.2273"/>
    <n v="0.8"/>
    <n v="0.1343"/>
    <n v="1"/>
    <n v="98"/>
    <n v="99"/>
  </r>
  <r>
    <n v="405"/>
    <x v="17"/>
    <x v="20"/>
    <x v="3"/>
    <x v="0"/>
    <x v="3"/>
    <x v="1"/>
    <n v="0.22"/>
    <x v="0"/>
    <n v="0.2727"/>
    <n v="0.87"/>
    <n v="0"/>
    <n v="0"/>
    <n v="83"/>
    <n v="83"/>
  </r>
  <r>
    <n v="406"/>
    <x v="17"/>
    <x v="21"/>
    <x v="0"/>
    <x v="0"/>
    <x v="3"/>
    <x v="1"/>
    <n v="0.22"/>
    <x v="0"/>
    <n v="0.2424"/>
    <n v="0.93"/>
    <n v="0.1045"/>
    <n v="0"/>
    <n v="41"/>
    <n v="41"/>
  </r>
  <r>
    <n v="407"/>
    <x v="17"/>
    <x v="22"/>
    <x v="0"/>
    <x v="0"/>
    <x v="3"/>
    <x v="1"/>
    <n v="0.22"/>
    <x v="0"/>
    <n v="0.2576"/>
    <n v="0.93"/>
    <n v="8.9599999999999999E-2"/>
    <n v="0"/>
    <n v="33"/>
    <n v="33"/>
  </r>
  <r>
    <n v="408"/>
    <x v="17"/>
    <x v="23"/>
    <x v="0"/>
    <x v="0"/>
    <x v="3"/>
    <x v="1"/>
    <n v="0.22"/>
    <x v="0"/>
    <n v="0.2727"/>
    <n v="0.93"/>
    <n v="0"/>
    <n v="1"/>
    <n v="19"/>
    <n v="20"/>
  </r>
  <r>
    <n v="409"/>
    <x v="18"/>
    <x v="0"/>
    <x v="0"/>
    <x v="0"/>
    <x v="4"/>
    <x v="1"/>
    <n v="0.22"/>
    <x v="0"/>
    <n v="0.2727"/>
    <n v="0.93"/>
    <n v="0"/>
    <n v="0"/>
    <n v="3"/>
    <n v="3"/>
  </r>
  <r>
    <n v="410"/>
    <x v="18"/>
    <x v="1"/>
    <x v="0"/>
    <x v="0"/>
    <x v="4"/>
    <x v="2"/>
    <n v="0.22"/>
    <x v="0"/>
    <n v="0.2273"/>
    <n v="0.93"/>
    <n v="0.1343"/>
    <n v="1"/>
    <n v="6"/>
    <n v="7"/>
  </r>
  <r>
    <n v="411"/>
    <x v="18"/>
    <x v="2"/>
    <x v="0"/>
    <x v="0"/>
    <x v="4"/>
    <x v="2"/>
    <n v="0.22"/>
    <x v="0"/>
    <n v="0.2273"/>
    <n v="0.93"/>
    <n v="0.1343"/>
    <n v="0"/>
    <n v="3"/>
    <n v="3"/>
  </r>
  <r>
    <n v="412"/>
    <x v="18"/>
    <x v="4"/>
    <x v="0"/>
    <x v="0"/>
    <x v="4"/>
    <x v="2"/>
    <n v="0.22"/>
    <x v="0"/>
    <n v="0.2273"/>
    <n v="0.93"/>
    <n v="0.1343"/>
    <n v="1"/>
    <n v="1"/>
    <n v="2"/>
  </r>
  <r>
    <n v="413"/>
    <x v="18"/>
    <x v="5"/>
    <x v="1"/>
    <x v="0"/>
    <x v="4"/>
    <x v="1"/>
    <n v="0.22"/>
    <x v="0"/>
    <n v="0.2576"/>
    <n v="0.93"/>
    <n v="8.9599999999999999E-2"/>
    <n v="0"/>
    <n v="7"/>
    <n v="7"/>
  </r>
  <r>
    <n v="414"/>
    <x v="18"/>
    <x v="6"/>
    <x v="1"/>
    <x v="0"/>
    <x v="4"/>
    <x v="1"/>
    <n v="0.22"/>
    <x v="0"/>
    <n v="0.2576"/>
    <n v="0.93"/>
    <n v="8.9599999999999999E-2"/>
    <n v="0"/>
    <n v="32"/>
    <n v="32"/>
  </r>
  <r>
    <n v="415"/>
    <x v="18"/>
    <x v="7"/>
    <x v="1"/>
    <x v="0"/>
    <x v="4"/>
    <x v="1"/>
    <n v="0.24"/>
    <x v="0"/>
    <n v="0.2576"/>
    <n v="0.92"/>
    <n v="0.1045"/>
    <n v="1"/>
    <n v="89"/>
    <n v="90"/>
  </r>
  <r>
    <n v="416"/>
    <x v="18"/>
    <x v="8"/>
    <x v="1"/>
    <x v="0"/>
    <x v="4"/>
    <x v="1"/>
    <n v="0.24"/>
    <x v="0"/>
    <n v="0.2576"/>
    <n v="0.93"/>
    <n v="0.1045"/>
    <n v="1"/>
    <n v="196"/>
    <n v="197"/>
  </r>
  <r>
    <n v="417"/>
    <x v="18"/>
    <x v="9"/>
    <x v="1"/>
    <x v="0"/>
    <x v="4"/>
    <x v="1"/>
    <n v="0.24"/>
    <x v="0"/>
    <n v="0.2576"/>
    <n v="0.93"/>
    <n v="0.1045"/>
    <n v="2"/>
    <n v="107"/>
    <n v="109"/>
  </r>
  <r>
    <n v="418"/>
    <x v="18"/>
    <x v="10"/>
    <x v="1"/>
    <x v="0"/>
    <x v="4"/>
    <x v="1"/>
    <n v="0.26"/>
    <x v="0"/>
    <n v="0.2727"/>
    <n v="0.93"/>
    <n v="0.1343"/>
    <n v="1"/>
    <n v="46"/>
    <n v="47"/>
  </r>
  <r>
    <n v="419"/>
    <x v="18"/>
    <x v="11"/>
    <x v="1"/>
    <x v="0"/>
    <x v="4"/>
    <x v="1"/>
    <n v="0.28000000000000003"/>
    <x v="0"/>
    <n v="0.30299999999999999"/>
    <n v="0.87"/>
    <n v="8.9599999999999999E-2"/>
    <n v="5"/>
    <n v="47"/>
    <n v="52"/>
  </r>
  <r>
    <n v="420"/>
    <x v="18"/>
    <x v="12"/>
    <x v="2"/>
    <x v="0"/>
    <x v="4"/>
    <x v="1"/>
    <n v="0.3"/>
    <x v="0"/>
    <n v="0.31819999999999998"/>
    <n v="0.81"/>
    <n v="8.9599999999999999E-2"/>
    <n v="5"/>
    <n v="65"/>
    <n v="70"/>
  </r>
  <r>
    <n v="421"/>
    <x v="18"/>
    <x v="13"/>
    <x v="2"/>
    <x v="0"/>
    <x v="4"/>
    <x v="0"/>
    <n v="0.4"/>
    <x v="0"/>
    <n v="0.40910000000000002"/>
    <n v="0.62"/>
    <n v="0.28360000000000002"/>
    <n v="11"/>
    <n v="67"/>
    <n v="78"/>
  </r>
  <r>
    <n v="422"/>
    <x v="18"/>
    <x v="14"/>
    <x v="2"/>
    <x v="0"/>
    <x v="4"/>
    <x v="0"/>
    <n v="0.4"/>
    <x v="0"/>
    <n v="0.40910000000000002"/>
    <n v="0.57999999999999996"/>
    <n v="0.25369999999999998"/>
    <n v="7"/>
    <n v="68"/>
    <n v="75"/>
  </r>
  <r>
    <n v="423"/>
    <x v="18"/>
    <x v="15"/>
    <x v="2"/>
    <x v="0"/>
    <x v="4"/>
    <x v="0"/>
    <n v="0.4"/>
    <x v="0"/>
    <n v="0.40910000000000002"/>
    <n v="0.54"/>
    <n v="0.28360000000000002"/>
    <n v="4"/>
    <n v="78"/>
    <n v="82"/>
  </r>
  <r>
    <n v="424"/>
    <x v="18"/>
    <x v="16"/>
    <x v="2"/>
    <x v="0"/>
    <x v="4"/>
    <x v="0"/>
    <n v="0.38"/>
    <x v="0"/>
    <n v="0.39389999999999997"/>
    <n v="0.57999999999999996"/>
    <n v="0.3881"/>
    <n v="10"/>
    <n v="94"/>
    <n v="104"/>
  </r>
  <r>
    <n v="425"/>
    <x v="18"/>
    <x v="17"/>
    <x v="3"/>
    <x v="0"/>
    <x v="4"/>
    <x v="0"/>
    <n v="0.36"/>
    <x v="0"/>
    <n v="0.33329999999999999"/>
    <n v="0.56999999999999995"/>
    <n v="0.32840000000000003"/>
    <n v="7"/>
    <n v="190"/>
    <n v="197"/>
  </r>
  <r>
    <n v="426"/>
    <x v="18"/>
    <x v="18"/>
    <x v="3"/>
    <x v="0"/>
    <x v="4"/>
    <x v="0"/>
    <n v="0.34"/>
    <x v="0"/>
    <n v="0.31819999999999998"/>
    <n v="0.61"/>
    <n v="0.28360000000000002"/>
    <n v="5"/>
    <n v="156"/>
    <n v="161"/>
  </r>
  <r>
    <n v="427"/>
    <x v="18"/>
    <x v="19"/>
    <x v="3"/>
    <x v="0"/>
    <x v="4"/>
    <x v="0"/>
    <n v="0.32"/>
    <x v="0"/>
    <n v="0.28789999999999999"/>
    <n v="0.56999999999999995"/>
    <n v="0.41789999999999999"/>
    <n v="4"/>
    <n v="108"/>
    <n v="112"/>
  </r>
  <r>
    <n v="428"/>
    <x v="18"/>
    <x v="20"/>
    <x v="3"/>
    <x v="0"/>
    <x v="4"/>
    <x v="0"/>
    <n v="0.32"/>
    <x v="0"/>
    <n v="0.30299999999999999"/>
    <n v="0.49"/>
    <n v="0.29849999999999999"/>
    <n v="2"/>
    <n v="74"/>
    <n v="76"/>
  </r>
  <r>
    <n v="429"/>
    <x v="18"/>
    <x v="21"/>
    <x v="0"/>
    <x v="0"/>
    <x v="4"/>
    <x v="0"/>
    <n v="0.32"/>
    <x v="0"/>
    <n v="0.28789999999999999"/>
    <n v="0.49"/>
    <n v="0.41789999999999999"/>
    <n v="4"/>
    <n v="55"/>
    <n v="59"/>
  </r>
  <r>
    <n v="430"/>
    <x v="18"/>
    <x v="22"/>
    <x v="0"/>
    <x v="0"/>
    <x v="4"/>
    <x v="0"/>
    <n v="0.3"/>
    <x v="0"/>
    <n v="0.30299999999999999"/>
    <n v="0.52"/>
    <n v="0.16420000000000001"/>
    <n v="6"/>
    <n v="53"/>
    <n v="59"/>
  </r>
  <r>
    <n v="431"/>
    <x v="18"/>
    <x v="23"/>
    <x v="0"/>
    <x v="0"/>
    <x v="4"/>
    <x v="0"/>
    <n v="0.3"/>
    <x v="0"/>
    <n v="0.2727"/>
    <n v="0.52"/>
    <n v="0.4627"/>
    <n v="1"/>
    <n v="27"/>
    <n v="28"/>
  </r>
  <r>
    <n v="432"/>
    <x v="19"/>
    <x v="0"/>
    <x v="0"/>
    <x v="0"/>
    <x v="5"/>
    <x v="0"/>
    <n v="0.26"/>
    <x v="0"/>
    <n v="0.2273"/>
    <n v="0.56000000000000005"/>
    <n v="0.3881"/>
    <n v="5"/>
    <n v="8"/>
    <n v="13"/>
  </r>
  <r>
    <n v="433"/>
    <x v="19"/>
    <x v="1"/>
    <x v="0"/>
    <x v="0"/>
    <x v="5"/>
    <x v="0"/>
    <n v="0.26"/>
    <x v="0"/>
    <n v="0.2727"/>
    <n v="0.56000000000000005"/>
    <n v="0"/>
    <n v="2"/>
    <n v="3"/>
    <n v="5"/>
  </r>
  <r>
    <n v="434"/>
    <x v="19"/>
    <x v="2"/>
    <x v="0"/>
    <x v="0"/>
    <x v="5"/>
    <x v="0"/>
    <n v="0.26"/>
    <x v="0"/>
    <n v="0.2727"/>
    <n v="0.56000000000000005"/>
    <n v="0"/>
    <n v="0"/>
    <n v="2"/>
    <n v="2"/>
  </r>
  <r>
    <n v="435"/>
    <x v="19"/>
    <x v="3"/>
    <x v="0"/>
    <x v="0"/>
    <x v="5"/>
    <x v="0"/>
    <n v="0.26"/>
    <x v="0"/>
    <n v="0.2576"/>
    <n v="0.56000000000000005"/>
    <n v="0.16420000000000001"/>
    <n v="0"/>
    <n v="1"/>
    <n v="1"/>
  </r>
  <r>
    <n v="436"/>
    <x v="19"/>
    <x v="4"/>
    <x v="0"/>
    <x v="0"/>
    <x v="5"/>
    <x v="0"/>
    <n v="0.26"/>
    <x v="0"/>
    <n v="0.2576"/>
    <n v="0.56000000000000005"/>
    <n v="0.16420000000000001"/>
    <n v="0"/>
    <n v="1"/>
    <n v="1"/>
  </r>
  <r>
    <n v="437"/>
    <x v="19"/>
    <x v="5"/>
    <x v="1"/>
    <x v="0"/>
    <x v="5"/>
    <x v="0"/>
    <n v="0.24"/>
    <x v="0"/>
    <n v="0.2273"/>
    <n v="0.6"/>
    <n v="0.22389999999999999"/>
    <n v="0"/>
    <n v="6"/>
    <n v="6"/>
  </r>
  <r>
    <n v="438"/>
    <x v="19"/>
    <x v="6"/>
    <x v="1"/>
    <x v="0"/>
    <x v="5"/>
    <x v="0"/>
    <n v="0.22"/>
    <x v="0"/>
    <n v="0.21210000000000001"/>
    <n v="0.6"/>
    <n v="0.22389999999999999"/>
    <n v="0"/>
    <n v="35"/>
    <n v="35"/>
  </r>
  <r>
    <n v="439"/>
    <x v="19"/>
    <x v="7"/>
    <x v="1"/>
    <x v="0"/>
    <x v="5"/>
    <x v="0"/>
    <n v="0.22"/>
    <x v="0"/>
    <n v="0.21210000000000001"/>
    <n v="0.55000000000000004"/>
    <n v="0.22389999999999999"/>
    <n v="1"/>
    <n v="100"/>
    <n v="101"/>
  </r>
  <r>
    <n v="440"/>
    <x v="19"/>
    <x v="8"/>
    <x v="1"/>
    <x v="0"/>
    <x v="5"/>
    <x v="0"/>
    <n v="0.22"/>
    <x v="0"/>
    <n v="0.21210000000000001"/>
    <n v="0.55000000000000004"/>
    <n v="0.28360000000000002"/>
    <n v="2"/>
    <n v="247"/>
    <n v="249"/>
  </r>
  <r>
    <n v="441"/>
    <x v="19"/>
    <x v="9"/>
    <x v="1"/>
    <x v="0"/>
    <x v="5"/>
    <x v="1"/>
    <n v="0.24"/>
    <x v="0"/>
    <n v="0.2273"/>
    <n v="0.52"/>
    <n v="0.22389999999999999"/>
    <n v="3"/>
    <n v="140"/>
    <n v="143"/>
  </r>
  <r>
    <n v="442"/>
    <x v="19"/>
    <x v="10"/>
    <x v="1"/>
    <x v="0"/>
    <x v="5"/>
    <x v="0"/>
    <n v="0.26"/>
    <x v="0"/>
    <n v="0.2273"/>
    <n v="0.48"/>
    <n v="0.29849999999999999"/>
    <n v="1"/>
    <n v="56"/>
    <n v="57"/>
  </r>
  <r>
    <n v="443"/>
    <x v="19"/>
    <x v="11"/>
    <x v="1"/>
    <x v="0"/>
    <x v="5"/>
    <x v="1"/>
    <n v="0.28000000000000003"/>
    <x v="0"/>
    <n v="0.2727"/>
    <n v="0.45"/>
    <n v="0.16420000000000001"/>
    <n v="5"/>
    <n v="63"/>
    <n v="68"/>
  </r>
  <r>
    <n v="444"/>
    <x v="19"/>
    <x v="12"/>
    <x v="2"/>
    <x v="0"/>
    <x v="5"/>
    <x v="1"/>
    <n v="0.3"/>
    <x v="0"/>
    <n v="0.33329999999999999"/>
    <n v="0.42"/>
    <n v="0"/>
    <n v="7"/>
    <n v="77"/>
    <n v="84"/>
  </r>
  <r>
    <n v="445"/>
    <x v="19"/>
    <x v="13"/>
    <x v="2"/>
    <x v="0"/>
    <x v="5"/>
    <x v="1"/>
    <n v="0.28000000000000003"/>
    <x v="0"/>
    <n v="0.28789999999999999"/>
    <n v="0.45"/>
    <n v="0.1045"/>
    <n v="12"/>
    <n v="86"/>
    <n v="98"/>
  </r>
  <r>
    <n v="446"/>
    <x v="19"/>
    <x v="14"/>
    <x v="2"/>
    <x v="0"/>
    <x v="5"/>
    <x v="1"/>
    <n v="0.3"/>
    <x v="0"/>
    <n v="0.30299999999999999"/>
    <n v="0.45"/>
    <n v="0.1343"/>
    <n v="6"/>
    <n v="75"/>
    <n v="81"/>
  </r>
  <r>
    <n v="447"/>
    <x v="19"/>
    <x v="15"/>
    <x v="2"/>
    <x v="0"/>
    <x v="5"/>
    <x v="1"/>
    <n v="0.32"/>
    <x v="0"/>
    <n v="0.31819999999999998"/>
    <n v="0.45"/>
    <n v="0.19400000000000001"/>
    <n v="8"/>
    <n v="62"/>
    <n v="70"/>
  </r>
  <r>
    <n v="448"/>
    <x v="19"/>
    <x v="16"/>
    <x v="2"/>
    <x v="0"/>
    <x v="5"/>
    <x v="1"/>
    <n v="0.3"/>
    <x v="0"/>
    <n v="0.30299999999999999"/>
    <n v="0.49"/>
    <n v="0.1343"/>
    <n v="8"/>
    <n v="83"/>
    <n v="91"/>
  </r>
  <r>
    <n v="449"/>
    <x v="19"/>
    <x v="17"/>
    <x v="3"/>
    <x v="0"/>
    <x v="5"/>
    <x v="1"/>
    <n v="0.3"/>
    <x v="0"/>
    <n v="0.31819999999999998"/>
    <n v="0.49"/>
    <n v="0.1045"/>
    <n v="8"/>
    <n v="207"/>
    <n v="215"/>
  </r>
  <r>
    <n v="450"/>
    <x v="19"/>
    <x v="18"/>
    <x v="3"/>
    <x v="0"/>
    <x v="5"/>
    <x v="1"/>
    <n v="0.26"/>
    <x v="0"/>
    <n v="0.2576"/>
    <n v="0.56000000000000005"/>
    <n v="0.19400000000000001"/>
    <n v="1"/>
    <n v="184"/>
    <n v="185"/>
  </r>
  <r>
    <n v="451"/>
    <x v="19"/>
    <x v="19"/>
    <x v="3"/>
    <x v="0"/>
    <x v="5"/>
    <x v="0"/>
    <n v="0.26"/>
    <x v="0"/>
    <n v="0.2273"/>
    <n v="0.56000000000000005"/>
    <n v="0.32840000000000003"/>
    <n v="6"/>
    <n v="146"/>
    <n v="152"/>
  </r>
  <r>
    <n v="452"/>
    <x v="19"/>
    <x v="20"/>
    <x v="3"/>
    <x v="0"/>
    <x v="5"/>
    <x v="1"/>
    <n v="0.26"/>
    <x v="0"/>
    <n v="0.2424"/>
    <n v="0.6"/>
    <n v="0.28360000000000002"/>
    <n v="2"/>
    <n v="124"/>
    <n v="126"/>
  </r>
  <r>
    <n v="453"/>
    <x v="19"/>
    <x v="21"/>
    <x v="0"/>
    <x v="0"/>
    <x v="5"/>
    <x v="1"/>
    <n v="0.24"/>
    <x v="0"/>
    <n v="0.2273"/>
    <n v="0.6"/>
    <n v="0.25369999999999998"/>
    <n v="3"/>
    <n v="54"/>
    <n v="57"/>
  </r>
  <r>
    <n v="454"/>
    <x v="19"/>
    <x v="22"/>
    <x v="0"/>
    <x v="0"/>
    <x v="5"/>
    <x v="1"/>
    <n v="0.24"/>
    <x v="0"/>
    <n v="0.21210000000000001"/>
    <n v="0.65"/>
    <n v="0.28360000000000002"/>
    <n v="0"/>
    <n v="56"/>
    <n v="56"/>
  </r>
  <r>
    <n v="455"/>
    <x v="19"/>
    <x v="23"/>
    <x v="0"/>
    <x v="0"/>
    <x v="5"/>
    <x v="1"/>
    <n v="0.24"/>
    <x v="0"/>
    <n v="0.21210000000000001"/>
    <n v="0.65"/>
    <n v="0.32840000000000003"/>
    <n v="3"/>
    <n v="28"/>
    <n v="31"/>
  </r>
  <r>
    <n v="456"/>
    <x v="20"/>
    <x v="0"/>
    <x v="0"/>
    <x v="0"/>
    <x v="6"/>
    <x v="1"/>
    <n v="0.24"/>
    <x v="0"/>
    <n v="0.2273"/>
    <n v="0.7"/>
    <n v="0.25369999999999998"/>
    <n v="1"/>
    <n v="20"/>
    <n v="21"/>
  </r>
  <r>
    <n v="457"/>
    <x v="20"/>
    <x v="1"/>
    <x v="0"/>
    <x v="0"/>
    <x v="6"/>
    <x v="1"/>
    <n v="0.24"/>
    <x v="0"/>
    <n v="0.2273"/>
    <n v="0.7"/>
    <n v="0.25369999999999998"/>
    <n v="0"/>
    <n v="6"/>
    <n v="6"/>
  </r>
  <r>
    <n v="458"/>
    <x v="20"/>
    <x v="2"/>
    <x v="0"/>
    <x v="0"/>
    <x v="6"/>
    <x v="2"/>
    <n v="0.24"/>
    <x v="0"/>
    <n v="0.2424"/>
    <n v="0.75"/>
    <n v="0.16420000000000001"/>
    <n v="0"/>
    <n v="2"/>
    <n v="2"/>
  </r>
  <r>
    <n v="459"/>
    <x v="20"/>
    <x v="3"/>
    <x v="0"/>
    <x v="0"/>
    <x v="6"/>
    <x v="2"/>
    <n v="0.22"/>
    <x v="0"/>
    <n v="0.21210000000000001"/>
    <n v="0.8"/>
    <n v="0.29849999999999999"/>
    <n v="0"/>
    <n v="1"/>
    <n v="1"/>
  </r>
  <r>
    <n v="460"/>
    <x v="20"/>
    <x v="4"/>
    <x v="0"/>
    <x v="0"/>
    <x v="6"/>
    <x v="1"/>
    <n v="0.22"/>
    <x v="0"/>
    <n v="0.2576"/>
    <n v="0.87"/>
    <n v="8.9599999999999999E-2"/>
    <n v="0"/>
    <n v="1"/>
    <n v="1"/>
  </r>
  <r>
    <n v="461"/>
    <x v="20"/>
    <x v="5"/>
    <x v="1"/>
    <x v="0"/>
    <x v="6"/>
    <x v="0"/>
    <n v="0.24"/>
    <x v="0"/>
    <n v="0.19700000000000001"/>
    <n v="0.6"/>
    <n v="0.41789999999999999"/>
    <n v="1"/>
    <n v="4"/>
    <n v="5"/>
  </r>
  <r>
    <n v="462"/>
    <x v="20"/>
    <x v="6"/>
    <x v="1"/>
    <x v="0"/>
    <x v="6"/>
    <x v="0"/>
    <n v="0.22"/>
    <x v="0"/>
    <n v="0.21210000000000001"/>
    <n v="0.55000000000000004"/>
    <n v="0.25369999999999998"/>
    <n v="0"/>
    <n v="27"/>
    <n v="27"/>
  </r>
  <r>
    <n v="463"/>
    <x v="20"/>
    <x v="7"/>
    <x v="1"/>
    <x v="0"/>
    <x v="6"/>
    <x v="0"/>
    <n v="0.2"/>
    <x v="1"/>
    <n v="0.18179999999999999"/>
    <n v="0.51"/>
    <n v="0.28360000000000002"/>
    <n v="2"/>
    <n v="66"/>
    <n v="68"/>
  </r>
  <r>
    <n v="464"/>
    <x v="20"/>
    <x v="8"/>
    <x v="1"/>
    <x v="0"/>
    <x v="6"/>
    <x v="0"/>
    <n v="0.2"/>
    <x v="1"/>
    <n v="0.18179999999999999"/>
    <n v="0.47"/>
    <n v="0.32840000000000003"/>
    <n v="7"/>
    <n v="210"/>
    <n v="217"/>
  </r>
  <r>
    <n v="465"/>
    <x v="20"/>
    <x v="9"/>
    <x v="1"/>
    <x v="0"/>
    <x v="6"/>
    <x v="0"/>
    <n v="0.2"/>
    <x v="1"/>
    <n v="0.18179999999999999"/>
    <n v="0.51"/>
    <n v="0.35820000000000002"/>
    <n v="7"/>
    <n v="159"/>
    <n v="166"/>
  </r>
  <r>
    <n v="466"/>
    <x v="20"/>
    <x v="10"/>
    <x v="1"/>
    <x v="0"/>
    <x v="6"/>
    <x v="0"/>
    <n v="0.2"/>
    <x v="1"/>
    <n v="0.16669999999999999"/>
    <n v="0.47"/>
    <n v="0.4627"/>
    <n v="6"/>
    <n v="57"/>
    <n v="63"/>
  </r>
  <r>
    <n v="467"/>
    <x v="20"/>
    <x v="11"/>
    <x v="1"/>
    <x v="0"/>
    <x v="6"/>
    <x v="0"/>
    <n v="0.22"/>
    <x v="0"/>
    <n v="0.18179999999999999"/>
    <n v="0.41"/>
    <n v="0.4627"/>
    <n v="6"/>
    <n v="53"/>
    <n v="59"/>
  </r>
  <r>
    <n v="468"/>
    <x v="20"/>
    <x v="12"/>
    <x v="2"/>
    <x v="0"/>
    <x v="6"/>
    <x v="0"/>
    <n v="0.22"/>
    <x v="0"/>
    <n v="0.18179999999999999"/>
    <n v="0.27"/>
    <n v="0.58209999999999995"/>
    <n v="11"/>
    <n v="67"/>
    <n v="78"/>
  </r>
  <r>
    <n v="469"/>
    <x v="20"/>
    <x v="13"/>
    <x v="2"/>
    <x v="0"/>
    <x v="6"/>
    <x v="0"/>
    <n v="0.2"/>
    <x v="1"/>
    <n v="0.1515"/>
    <n v="0.21"/>
    <n v="0.58209999999999995"/>
    <n v="8"/>
    <n v="65"/>
    <n v="73"/>
  </r>
  <r>
    <n v="470"/>
    <x v="20"/>
    <x v="14"/>
    <x v="2"/>
    <x v="0"/>
    <x v="6"/>
    <x v="0"/>
    <n v="0.2"/>
    <x v="1"/>
    <n v="0.1515"/>
    <n v="0.25"/>
    <n v="0.52239999999999998"/>
    <n v="6"/>
    <n v="56"/>
    <n v="62"/>
  </r>
  <r>
    <n v="471"/>
    <x v="20"/>
    <x v="15"/>
    <x v="2"/>
    <x v="0"/>
    <x v="6"/>
    <x v="0"/>
    <n v="0.16"/>
    <x v="1"/>
    <n v="0.1212"/>
    <n v="0.26"/>
    <n v="0.44779999999999998"/>
    <n v="4"/>
    <n v="61"/>
    <n v="65"/>
  </r>
  <r>
    <n v="472"/>
    <x v="20"/>
    <x v="16"/>
    <x v="2"/>
    <x v="0"/>
    <x v="6"/>
    <x v="0"/>
    <n v="0.16"/>
    <x v="1"/>
    <n v="0.13639999999999999"/>
    <n v="0.26"/>
    <n v="0.35820000000000002"/>
    <n v="0"/>
    <n v="97"/>
    <n v="97"/>
  </r>
  <r>
    <n v="473"/>
    <x v="20"/>
    <x v="17"/>
    <x v="3"/>
    <x v="0"/>
    <x v="6"/>
    <x v="0"/>
    <n v="0.14000000000000001"/>
    <x v="1"/>
    <n v="0.1212"/>
    <n v="0.28000000000000003"/>
    <n v="0.35820000000000002"/>
    <n v="10"/>
    <n v="151"/>
    <n v="161"/>
  </r>
  <r>
    <n v="474"/>
    <x v="20"/>
    <x v="18"/>
    <x v="3"/>
    <x v="0"/>
    <x v="6"/>
    <x v="0"/>
    <n v="0.12"/>
    <x v="1"/>
    <n v="0.1212"/>
    <n v="0.3"/>
    <n v="0.25369999999999998"/>
    <n v="1"/>
    <n v="119"/>
    <n v="120"/>
  </r>
  <r>
    <n v="475"/>
    <x v="20"/>
    <x v="19"/>
    <x v="3"/>
    <x v="0"/>
    <x v="6"/>
    <x v="0"/>
    <n v="0.12"/>
    <x v="1"/>
    <n v="0.1061"/>
    <n v="0.3"/>
    <n v="0.32840000000000003"/>
    <n v="3"/>
    <n v="93"/>
    <n v="96"/>
  </r>
  <r>
    <n v="476"/>
    <x v="20"/>
    <x v="20"/>
    <x v="3"/>
    <x v="0"/>
    <x v="6"/>
    <x v="0"/>
    <n v="0.1"/>
    <x v="1"/>
    <n v="7.5800000000000006E-2"/>
    <n v="0.33"/>
    <n v="0.41789999999999999"/>
    <n v="1"/>
    <n v="52"/>
    <n v="53"/>
  </r>
  <r>
    <n v="477"/>
    <x v="20"/>
    <x v="21"/>
    <x v="0"/>
    <x v="0"/>
    <x v="6"/>
    <x v="0"/>
    <n v="0.08"/>
    <x v="1"/>
    <n v="7.5800000000000006E-2"/>
    <n v="0.38"/>
    <n v="0.28360000000000002"/>
    <n v="0"/>
    <n v="41"/>
    <n v="41"/>
  </r>
  <r>
    <n v="478"/>
    <x v="20"/>
    <x v="22"/>
    <x v="0"/>
    <x v="0"/>
    <x v="6"/>
    <x v="0"/>
    <n v="0.06"/>
    <x v="1"/>
    <n v="3.0300000000000001E-2"/>
    <n v="0.41"/>
    <n v="0.3881"/>
    <n v="1"/>
    <n v="33"/>
    <n v="34"/>
  </r>
  <r>
    <n v="479"/>
    <x v="20"/>
    <x v="23"/>
    <x v="0"/>
    <x v="0"/>
    <x v="6"/>
    <x v="0"/>
    <n v="0.06"/>
    <x v="1"/>
    <n v="4.5499999999999999E-2"/>
    <n v="0.38"/>
    <n v="0.32840000000000003"/>
    <n v="0"/>
    <n v="27"/>
    <n v="27"/>
  </r>
  <r>
    <n v="480"/>
    <x v="21"/>
    <x v="0"/>
    <x v="0"/>
    <x v="0"/>
    <x v="0"/>
    <x v="0"/>
    <n v="0.04"/>
    <x v="1"/>
    <n v="3.0300000000000001E-2"/>
    <n v="0.45"/>
    <n v="0.25369999999999998"/>
    <n v="0"/>
    <n v="13"/>
    <n v="13"/>
  </r>
  <r>
    <n v="481"/>
    <x v="21"/>
    <x v="1"/>
    <x v="0"/>
    <x v="0"/>
    <x v="0"/>
    <x v="1"/>
    <n v="0.04"/>
    <x v="1"/>
    <n v="0"/>
    <n v="0.41"/>
    <n v="0.3881"/>
    <n v="3"/>
    <n v="9"/>
    <n v="12"/>
  </r>
  <r>
    <n v="482"/>
    <x v="21"/>
    <x v="2"/>
    <x v="0"/>
    <x v="0"/>
    <x v="0"/>
    <x v="1"/>
    <n v="0.04"/>
    <x v="1"/>
    <n v="3.0300000000000001E-2"/>
    <n v="0.41"/>
    <n v="0.25369999999999998"/>
    <n v="0"/>
    <n v="11"/>
    <n v="11"/>
  </r>
  <r>
    <n v="483"/>
    <x v="21"/>
    <x v="3"/>
    <x v="0"/>
    <x v="0"/>
    <x v="0"/>
    <x v="1"/>
    <n v="0.04"/>
    <x v="1"/>
    <n v="3.0300000000000001E-2"/>
    <n v="0.41"/>
    <n v="0.28360000000000002"/>
    <n v="1"/>
    <n v="6"/>
    <n v="7"/>
  </r>
  <r>
    <n v="484"/>
    <x v="21"/>
    <x v="4"/>
    <x v="0"/>
    <x v="0"/>
    <x v="0"/>
    <x v="1"/>
    <n v="0.02"/>
    <x v="1"/>
    <n v="1.52E-2"/>
    <n v="0.48"/>
    <n v="0.29849999999999999"/>
    <n v="0"/>
    <n v="3"/>
    <n v="3"/>
  </r>
  <r>
    <n v="485"/>
    <x v="21"/>
    <x v="6"/>
    <x v="1"/>
    <x v="0"/>
    <x v="0"/>
    <x v="1"/>
    <n v="0.02"/>
    <x v="1"/>
    <n v="3.0300000000000001E-2"/>
    <n v="0.44"/>
    <n v="0.22389999999999999"/>
    <n v="0"/>
    <n v="2"/>
    <n v="2"/>
  </r>
  <r>
    <n v="486"/>
    <x v="21"/>
    <x v="7"/>
    <x v="1"/>
    <x v="0"/>
    <x v="0"/>
    <x v="0"/>
    <n v="0.02"/>
    <x v="1"/>
    <n v="1.52E-2"/>
    <n v="0.44"/>
    <n v="0.28360000000000002"/>
    <n v="0"/>
    <n v="8"/>
    <n v="8"/>
  </r>
  <r>
    <n v="487"/>
    <x v="21"/>
    <x v="8"/>
    <x v="1"/>
    <x v="0"/>
    <x v="0"/>
    <x v="0"/>
    <n v="0.02"/>
    <x v="1"/>
    <n v="0"/>
    <n v="0.44"/>
    <n v="0.32840000000000003"/>
    <n v="1"/>
    <n v="26"/>
    <n v="27"/>
  </r>
  <r>
    <n v="488"/>
    <x v="21"/>
    <x v="9"/>
    <x v="1"/>
    <x v="0"/>
    <x v="0"/>
    <x v="0"/>
    <n v="0.04"/>
    <x v="1"/>
    <n v="3.0300000000000001E-2"/>
    <n v="0.41"/>
    <n v="0.25369999999999998"/>
    <n v="3"/>
    <n v="37"/>
    <n v="40"/>
  </r>
  <r>
    <n v="489"/>
    <x v="21"/>
    <x v="10"/>
    <x v="1"/>
    <x v="0"/>
    <x v="0"/>
    <x v="1"/>
    <n v="0.04"/>
    <x v="1"/>
    <n v="6.0600000000000001E-2"/>
    <n v="0.41"/>
    <n v="0.16420000000000001"/>
    <n v="3"/>
    <n v="50"/>
    <n v="53"/>
  </r>
  <r>
    <n v="490"/>
    <x v="21"/>
    <x v="11"/>
    <x v="1"/>
    <x v="0"/>
    <x v="0"/>
    <x v="1"/>
    <n v="0.06"/>
    <x v="1"/>
    <n v="7.5800000000000006E-2"/>
    <n v="0.38"/>
    <n v="0.1343"/>
    <n v="4"/>
    <n v="59"/>
    <n v="63"/>
  </r>
  <r>
    <n v="491"/>
    <x v="21"/>
    <x v="12"/>
    <x v="2"/>
    <x v="0"/>
    <x v="0"/>
    <x v="1"/>
    <n v="0.06"/>
    <x v="1"/>
    <n v="0.1061"/>
    <n v="0.38"/>
    <n v="0.1045"/>
    <n v="10"/>
    <n v="60"/>
    <n v="70"/>
  </r>
  <r>
    <n v="492"/>
    <x v="21"/>
    <x v="13"/>
    <x v="2"/>
    <x v="0"/>
    <x v="0"/>
    <x v="0"/>
    <n v="0.08"/>
    <x v="1"/>
    <n v="0.16669999999999999"/>
    <n v="0.35"/>
    <n v="0"/>
    <n v="12"/>
    <n v="72"/>
    <n v="84"/>
  </r>
  <r>
    <n v="493"/>
    <x v="21"/>
    <x v="14"/>
    <x v="2"/>
    <x v="0"/>
    <x v="0"/>
    <x v="0"/>
    <n v="0.1"/>
    <x v="1"/>
    <n v="0.13639999999999999"/>
    <n v="0.33"/>
    <n v="0.1045"/>
    <n v="11"/>
    <n v="64"/>
    <n v="75"/>
  </r>
  <r>
    <n v="494"/>
    <x v="21"/>
    <x v="15"/>
    <x v="2"/>
    <x v="0"/>
    <x v="0"/>
    <x v="0"/>
    <n v="0.12"/>
    <x v="1"/>
    <n v="0.1515"/>
    <n v="0.28000000000000003"/>
    <n v="0"/>
    <n v="10"/>
    <n v="93"/>
    <n v="103"/>
  </r>
  <r>
    <n v="495"/>
    <x v="21"/>
    <x v="16"/>
    <x v="2"/>
    <x v="0"/>
    <x v="0"/>
    <x v="0"/>
    <n v="0.12"/>
    <x v="1"/>
    <n v="0.13639999999999999"/>
    <n v="0.28000000000000003"/>
    <n v="0.19400000000000001"/>
    <n v="11"/>
    <n v="72"/>
    <n v="83"/>
  </r>
  <r>
    <n v="496"/>
    <x v="21"/>
    <x v="17"/>
    <x v="3"/>
    <x v="0"/>
    <x v="0"/>
    <x v="0"/>
    <n v="0.12"/>
    <x v="1"/>
    <n v="0.19700000000000001"/>
    <n v="0.28000000000000003"/>
    <n v="0"/>
    <n v="8"/>
    <n v="59"/>
    <n v="67"/>
  </r>
  <r>
    <n v="497"/>
    <x v="21"/>
    <x v="18"/>
    <x v="3"/>
    <x v="0"/>
    <x v="0"/>
    <x v="0"/>
    <n v="0.08"/>
    <x v="1"/>
    <n v="9.0899999999999995E-2"/>
    <n v="0.35"/>
    <n v="0.19400000000000001"/>
    <n v="0"/>
    <n v="54"/>
    <n v="54"/>
  </r>
  <r>
    <n v="498"/>
    <x v="21"/>
    <x v="19"/>
    <x v="3"/>
    <x v="0"/>
    <x v="0"/>
    <x v="0"/>
    <n v="0.08"/>
    <x v="1"/>
    <n v="0.1061"/>
    <n v="0.35"/>
    <n v="0.1343"/>
    <n v="6"/>
    <n v="53"/>
    <n v="59"/>
  </r>
  <r>
    <n v="499"/>
    <x v="21"/>
    <x v="20"/>
    <x v="3"/>
    <x v="0"/>
    <x v="0"/>
    <x v="0"/>
    <n v="0.06"/>
    <x v="1"/>
    <n v="7.5800000000000006E-2"/>
    <n v="0.45"/>
    <n v="0.16420000000000001"/>
    <n v="1"/>
    <n v="44"/>
    <n v="45"/>
  </r>
  <r>
    <n v="500"/>
    <x v="21"/>
    <x v="21"/>
    <x v="0"/>
    <x v="0"/>
    <x v="0"/>
    <x v="0"/>
    <n v="0.06"/>
    <x v="1"/>
    <n v="0.1061"/>
    <n v="0.41"/>
    <n v="8.9599999999999999E-2"/>
    <n v="0"/>
    <n v="39"/>
    <n v="39"/>
  </r>
  <r>
    <n v="501"/>
    <x v="21"/>
    <x v="22"/>
    <x v="0"/>
    <x v="0"/>
    <x v="0"/>
    <x v="0"/>
    <n v="0.06"/>
    <x v="1"/>
    <n v="0.1515"/>
    <n v="0.49"/>
    <n v="0"/>
    <n v="7"/>
    <n v="23"/>
    <n v="30"/>
  </r>
  <r>
    <n v="502"/>
    <x v="21"/>
    <x v="23"/>
    <x v="0"/>
    <x v="0"/>
    <x v="0"/>
    <x v="0"/>
    <n v="0.04"/>
    <x v="1"/>
    <n v="7.5800000000000006E-2"/>
    <n v="0.56999999999999995"/>
    <n v="0.1045"/>
    <n v="2"/>
    <n v="31"/>
    <n v="33"/>
  </r>
  <r>
    <n v="503"/>
    <x v="22"/>
    <x v="0"/>
    <x v="0"/>
    <x v="0"/>
    <x v="1"/>
    <x v="0"/>
    <n v="0.04"/>
    <x v="1"/>
    <n v="7.5800000000000006E-2"/>
    <n v="0.56999999999999995"/>
    <n v="0.1045"/>
    <n v="2"/>
    <n v="20"/>
    <n v="22"/>
  </r>
  <r>
    <n v="504"/>
    <x v="22"/>
    <x v="1"/>
    <x v="0"/>
    <x v="0"/>
    <x v="1"/>
    <x v="0"/>
    <n v="0.04"/>
    <x v="1"/>
    <n v="7.5800000000000006E-2"/>
    <n v="0.56999999999999995"/>
    <n v="0.1045"/>
    <n v="1"/>
    <n v="12"/>
    <n v="13"/>
  </r>
  <r>
    <n v="505"/>
    <x v="22"/>
    <x v="2"/>
    <x v="0"/>
    <x v="0"/>
    <x v="1"/>
    <x v="0"/>
    <n v="0.02"/>
    <x v="1"/>
    <n v="6.0600000000000001E-2"/>
    <n v="0.62"/>
    <n v="0.1343"/>
    <n v="3"/>
    <n v="15"/>
    <n v="18"/>
  </r>
  <r>
    <n v="506"/>
    <x v="22"/>
    <x v="3"/>
    <x v="0"/>
    <x v="0"/>
    <x v="1"/>
    <x v="0"/>
    <n v="0.02"/>
    <x v="1"/>
    <n v="6.0600000000000001E-2"/>
    <n v="0.62"/>
    <n v="0.1343"/>
    <n v="1"/>
    <n v="4"/>
    <n v="5"/>
  </r>
  <r>
    <n v="507"/>
    <x v="22"/>
    <x v="5"/>
    <x v="1"/>
    <x v="0"/>
    <x v="1"/>
    <x v="1"/>
    <n v="0.04"/>
    <x v="1"/>
    <n v="7.5800000000000006E-2"/>
    <n v="0.56999999999999995"/>
    <n v="0.1045"/>
    <n v="0"/>
    <n v="3"/>
    <n v="3"/>
  </r>
  <r>
    <n v="508"/>
    <x v="22"/>
    <x v="6"/>
    <x v="1"/>
    <x v="0"/>
    <x v="1"/>
    <x v="1"/>
    <n v="0.04"/>
    <x v="1"/>
    <n v="7.5800000000000006E-2"/>
    <n v="0.56999999999999995"/>
    <n v="0.1045"/>
    <n v="0"/>
    <n v="1"/>
    <n v="1"/>
  </r>
  <r>
    <n v="509"/>
    <x v="22"/>
    <x v="7"/>
    <x v="1"/>
    <x v="0"/>
    <x v="1"/>
    <x v="0"/>
    <n v="0.08"/>
    <x v="1"/>
    <n v="0.1061"/>
    <n v="0.57999999999999996"/>
    <n v="0.16420000000000001"/>
    <n v="1"/>
    <n v="1"/>
    <n v="2"/>
  </r>
  <r>
    <n v="510"/>
    <x v="22"/>
    <x v="8"/>
    <x v="1"/>
    <x v="0"/>
    <x v="1"/>
    <x v="0"/>
    <n v="0.06"/>
    <x v="1"/>
    <n v="7.5800000000000006E-2"/>
    <n v="0.62"/>
    <n v="0.16420000000000001"/>
    <n v="2"/>
    <n v="17"/>
    <n v="19"/>
  </r>
  <r>
    <n v="511"/>
    <x v="22"/>
    <x v="9"/>
    <x v="1"/>
    <x v="0"/>
    <x v="1"/>
    <x v="0"/>
    <n v="0.1"/>
    <x v="1"/>
    <n v="7.5800000000000006E-2"/>
    <n v="0.54"/>
    <n v="0.35820000000000002"/>
    <n v="3"/>
    <n v="25"/>
    <n v="28"/>
  </r>
  <r>
    <n v="512"/>
    <x v="22"/>
    <x v="10"/>
    <x v="1"/>
    <x v="0"/>
    <x v="1"/>
    <x v="0"/>
    <n v="0.14000000000000001"/>
    <x v="1"/>
    <n v="0.1061"/>
    <n v="0.46"/>
    <n v="0.3881"/>
    <n v="7"/>
    <n v="51"/>
    <n v="58"/>
  </r>
  <r>
    <n v="513"/>
    <x v="22"/>
    <x v="11"/>
    <x v="1"/>
    <x v="0"/>
    <x v="1"/>
    <x v="0"/>
    <n v="0.14000000000000001"/>
    <x v="1"/>
    <n v="0.13639999999999999"/>
    <n v="0.43"/>
    <n v="0.22389999999999999"/>
    <n v="22"/>
    <n v="77"/>
    <n v="99"/>
  </r>
  <r>
    <n v="514"/>
    <x v="22"/>
    <x v="12"/>
    <x v="2"/>
    <x v="0"/>
    <x v="1"/>
    <x v="0"/>
    <n v="0.16"/>
    <x v="1"/>
    <n v="0.1212"/>
    <n v="0.37"/>
    <n v="0.4627"/>
    <n v="24"/>
    <n v="92"/>
    <n v="116"/>
  </r>
  <r>
    <n v="515"/>
    <x v="22"/>
    <x v="13"/>
    <x v="2"/>
    <x v="0"/>
    <x v="1"/>
    <x v="0"/>
    <n v="0.14000000000000001"/>
    <x v="1"/>
    <n v="0.1061"/>
    <n v="0.33"/>
    <n v="0.3881"/>
    <n v="12"/>
    <n v="75"/>
    <n v="87"/>
  </r>
  <r>
    <n v="516"/>
    <x v="22"/>
    <x v="14"/>
    <x v="2"/>
    <x v="0"/>
    <x v="1"/>
    <x v="0"/>
    <n v="0.16"/>
    <x v="1"/>
    <n v="0.13639999999999999"/>
    <n v="0.28000000000000003"/>
    <n v="0.35820000000000002"/>
    <n v="17"/>
    <n v="93"/>
    <n v="110"/>
  </r>
  <r>
    <n v="517"/>
    <x v="22"/>
    <x v="15"/>
    <x v="2"/>
    <x v="0"/>
    <x v="1"/>
    <x v="0"/>
    <n v="0.16"/>
    <x v="1"/>
    <n v="0.13639999999999999"/>
    <n v="0.28000000000000003"/>
    <n v="0.35820000000000002"/>
    <n v="13"/>
    <n v="64"/>
    <n v="77"/>
  </r>
  <r>
    <n v="518"/>
    <x v="22"/>
    <x v="16"/>
    <x v="2"/>
    <x v="0"/>
    <x v="1"/>
    <x v="0"/>
    <n v="0.16"/>
    <x v="1"/>
    <n v="0.13639999999999999"/>
    <n v="0.26"/>
    <n v="0.32840000000000003"/>
    <n v="9"/>
    <n v="56"/>
    <n v="65"/>
  </r>
  <r>
    <n v="519"/>
    <x v="22"/>
    <x v="17"/>
    <x v="3"/>
    <x v="0"/>
    <x v="1"/>
    <x v="0"/>
    <n v="0.14000000000000001"/>
    <x v="1"/>
    <n v="0.1061"/>
    <n v="0.26"/>
    <n v="0.3881"/>
    <n v="5"/>
    <n v="50"/>
    <n v="55"/>
  </r>
  <r>
    <n v="520"/>
    <x v="22"/>
    <x v="18"/>
    <x v="3"/>
    <x v="0"/>
    <x v="1"/>
    <x v="0"/>
    <n v="0.12"/>
    <x v="1"/>
    <n v="0.1212"/>
    <n v="0.3"/>
    <n v="0.25369999999999998"/>
    <n v="5"/>
    <n v="44"/>
    <n v="49"/>
  </r>
  <r>
    <n v="521"/>
    <x v="22"/>
    <x v="19"/>
    <x v="3"/>
    <x v="0"/>
    <x v="1"/>
    <x v="0"/>
    <n v="0.12"/>
    <x v="1"/>
    <n v="0.1212"/>
    <n v="0.3"/>
    <n v="0.28360000000000002"/>
    <n v="5"/>
    <n v="45"/>
    <n v="50"/>
  </r>
  <r>
    <n v="522"/>
    <x v="22"/>
    <x v="20"/>
    <x v="3"/>
    <x v="0"/>
    <x v="1"/>
    <x v="0"/>
    <n v="0.1"/>
    <x v="1"/>
    <n v="0.1061"/>
    <n v="0.36"/>
    <n v="0.25369999999999998"/>
    <n v="4"/>
    <n v="31"/>
    <n v="35"/>
  </r>
  <r>
    <n v="523"/>
    <x v="22"/>
    <x v="21"/>
    <x v="0"/>
    <x v="0"/>
    <x v="1"/>
    <x v="0"/>
    <n v="0.1"/>
    <x v="1"/>
    <n v="0.1061"/>
    <n v="0.36"/>
    <n v="0.19400000000000001"/>
    <n v="5"/>
    <n v="20"/>
    <n v="25"/>
  </r>
  <r>
    <n v="524"/>
    <x v="22"/>
    <x v="22"/>
    <x v="0"/>
    <x v="0"/>
    <x v="1"/>
    <x v="0"/>
    <n v="0.08"/>
    <x v="1"/>
    <n v="9.0899999999999995E-2"/>
    <n v="0.38"/>
    <n v="0.19400000000000001"/>
    <n v="5"/>
    <n v="23"/>
    <n v="28"/>
  </r>
  <r>
    <n v="525"/>
    <x v="22"/>
    <x v="23"/>
    <x v="0"/>
    <x v="0"/>
    <x v="1"/>
    <x v="0"/>
    <n v="0.06"/>
    <x v="1"/>
    <n v="6.0600000000000001E-2"/>
    <n v="0.41"/>
    <n v="0.22389999999999999"/>
    <n v="4"/>
    <n v="17"/>
    <n v="21"/>
  </r>
  <r>
    <n v="526"/>
    <x v="23"/>
    <x v="0"/>
    <x v="0"/>
    <x v="0"/>
    <x v="2"/>
    <x v="0"/>
    <n v="0.06"/>
    <x v="1"/>
    <n v="6.0600000000000001E-2"/>
    <n v="0.41"/>
    <n v="0.19400000000000001"/>
    <n v="0"/>
    <n v="7"/>
    <n v="7"/>
  </r>
  <r>
    <n v="527"/>
    <x v="23"/>
    <x v="1"/>
    <x v="0"/>
    <x v="0"/>
    <x v="2"/>
    <x v="0"/>
    <n v="0.04"/>
    <x v="1"/>
    <n v="4.5499999999999999E-2"/>
    <n v="0.45"/>
    <n v="0.19400000000000001"/>
    <n v="0"/>
    <n v="1"/>
    <n v="1"/>
  </r>
  <r>
    <n v="528"/>
    <x v="23"/>
    <x v="3"/>
    <x v="0"/>
    <x v="0"/>
    <x v="2"/>
    <x v="0"/>
    <n v="0.04"/>
    <x v="1"/>
    <n v="3.0300000000000001E-2"/>
    <n v="0.45"/>
    <n v="0.25369999999999998"/>
    <n v="0"/>
    <n v="1"/>
    <n v="1"/>
  </r>
  <r>
    <n v="529"/>
    <x v="23"/>
    <x v="4"/>
    <x v="0"/>
    <x v="0"/>
    <x v="2"/>
    <x v="0"/>
    <n v="0.02"/>
    <x v="1"/>
    <n v="6.0600000000000001E-2"/>
    <n v="0.48"/>
    <n v="0.1343"/>
    <n v="0"/>
    <n v="1"/>
    <n v="1"/>
  </r>
  <r>
    <n v="530"/>
    <x v="23"/>
    <x v="5"/>
    <x v="1"/>
    <x v="0"/>
    <x v="2"/>
    <x v="0"/>
    <n v="0.02"/>
    <x v="1"/>
    <n v="6.0600000000000001E-2"/>
    <n v="0.48"/>
    <n v="0.1343"/>
    <n v="0"/>
    <n v="5"/>
    <n v="5"/>
  </r>
  <r>
    <n v="531"/>
    <x v="23"/>
    <x v="6"/>
    <x v="1"/>
    <x v="0"/>
    <x v="2"/>
    <x v="0"/>
    <n v="0.02"/>
    <x v="1"/>
    <n v="7.5800000000000006E-2"/>
    <n v="0.48"/>
    <n v="8.9599999999999999E-2"/>
    <n v="0"/>
    <n v="15"/>
    <n v="15"/>
  </r>
  <r>
    <n v="532"/>
    <x v="23"/>
    <x v="7"/>
    <x v="1"/>
    <x v="0"/>
    <x v="2"/>
    <x v="0"/>
    <n v="0.02"/>
    <x v="1"/>
    <n v="0.1212"/>
    <n v="0.48"/>
    <n v="0"/>
    <n v="5"/>
    <n v="79"/>
    <n v="84"/>
  </r>
  <r>
    <n v="533"/>
    <x v="23"/>
    <x v="8"/>
    <x v="1"/>
    <x v="0"/>
    <x v="2"/>
    <x v="0"/>
    <n v="0.04"/>
    <x v="1"/>
    <n v="0.13639999999999999"/>
    <n v="0.49"/>
    <n v="0"/>
    <n v="6"/>
    <n v="171"/>
    <n v="177"/>
  </r>
  <r>
    <n v="534"/>
    <x v="23"/>
    <x v="9"/>
    <x v="1"/>
    <x v="0"/>
    <x v="2"/>
    <x v="0"/>
    <n v="0.06"/>
    <x v="1"/>
    <n v="0.1515"/>
    <n v="0.41"/>
    <n v="0"/>
    <n v="4"/>
    <n v="98"/>
    <n v="102"/>
  </r>
  <r>
    <n v="535"/>
    <x v="23"/>
    <x v="10"/>
    <x v="1"/>
    <x v="0"/>
    <x v="2"/>
    <x v="0"/>
    <n v="0.1"/>
    <x v="1"/>
    <n v="0.13639999999999999"/>
    <n v="0.42"/>
    <n v="0"/>
    <n v="6"/>
    <n v="34"/>
    <n v="40"/>
  </r>
  <r>
    <n v="536"/>
    <x v="23"/>
    <x v="11"/>
    <x v="1"/>
    <x v="0"/>
    <x v="2"/>
    <x v="0"/>
    <n v="0.1"/>
    <x v="1"/>
    <n v="0.1212"/>
    <n v="0.46"/>
    <n v="0.1343"/>
    <n v="3"/>
    <n v="43"/>
    <n v="46"/>
  </r>
  <r>
    <n v="537"/>
    <x v="23"/>
    <x v="12"/>
    <x v="2"/>
    <x v="0"/>
    <x v="2"/>
    <x v="1"/>
    <n v="0.12"/>
    <x v="1"/>
    <n v="0.13639999999999999"/>
    <n v="0.42"/>
    <n v="0.19400000000000001"/>
    <n v="11"/>
    <n v="52"/>
    <n v="63"/>
  </r>
  <r>
    <n v="538"/>
    <x v="23"/>
    <x v="13"/>
    <x v="2"/>
    <x v="0"/>
    <x v="2"/>
    <x v="1"/>
    <n v="0.14000000000000001"/>
    <x v="1"/>
    <n v="0.13639999999999999"/>
    <n v="0.43"/>
    <n v="0.22389999999999999"/>
    <n v="6"/>
    <n v="54"/>
    <n v="60"/>
  </r>
  <r>
    <n v="539"/>
    <x v="23"/>
    <x v="14"/>
    <x v="2"/>
    <x v="0"/>
    <x v="2"/>
    <x v="1"/>
    <n v="0.14000000000000001"/>
    <x v="1"/>
    <n v="0.13639999999999999"/>
    <n v="0.46"/>
    <n v="0.22389999999999999"/>
    <n v="2"/>
    <n v="43"/>
    <n v="45"/>
  </r>
  <r>
    <n v="540"/>
    <x v="23"/>
    <x v="15"/>
    <x v="2"/>
    <x v="0"/>
    <x v="2"/>
    <x v="0"/>
    <n v="0.16"/>
    <x v="1"/>
    <n v="0.16669999999999999"/>
    <n v="0.4"/>
    <n v="0.16420000000000001"/>
    <n v="7"/>
    <n v="50"/>
    <n v="57"/>
  </r>
  <r>
    <n v="541"/>
    <x v="23"/>
    <x v="16"/>
    <x v="2"/>
    <x v="0"/>
    <x v="2"/>
    <x v="0"/>
    <n v="0.16"/>
    <x v="1"/>
    <n v="0.1515"/>
    <n v="0.47"/>
    <n v="0.25369999999999998"/>
    <n v="4"/>
    <n v="66"/>
    <n v="70"/>
  </r>
  <r>
    <n v="542"/>
    <x v="23"/>
    <x v="17"/>
    <x v="3"/>
    <x v="0"/>
    <x v="2"/>
    <x v="0"/>
    <n v="0.14000000000000001"/>
    <x v="1"/>
    <n v="0.1212"/>
    <n v="0.5"/>
    <n v="0.25369999999999998"/>
    <n v="6"/>
    <n v="178"/>
    <n v="184"/>
  </r>
  <r>
    <n v="543"/>
    <x v="23"/>
    <x v="18"/>
    <x v="3"/>
    <x v="0"/>
    <x v="2"/>
    <x v="0"/>
    <n v="0.14000000000000001"/>
    <x v="1"/>
    <n v="0.13639999999999999"/>
    <n v="0.59"/>
    <n v="0.19400000000000001"/>
    <n v="8"/>
    <n v="145"/>
    <n v="153"/>
  </r>
  <r>
    <n v="544"/>
    <x v="23"/>
    <x v="19"/>
    <x v="3"/>
    <x v="0"/>
    <x v="2"/>
    <x v="0"/>
    <n v="0.14000000000000001"/>
    <x v="1"/>
    <n v="0.1515"/>
    <n v="0.54"/>
    <n v="0.16420000000000001"/>
    <n v="5"/>
    <n v="101"/>
    <n v="106"/>
  </r>
  <r>
    <n v="545"/>
    <x v="23"/>
    <x v="20"/>
    <x v="3"/>
    <x v="0"/>
    <x v="2"/>
    <x v="0"/>
    <n v="0.14000000000000001"/>
    <x v="1"/>
    <n v="0.13639999999999999"/>
    <n v="0.59"/>
    <n v="0.19400000000000001"/>
    <n v="1"/>
    <n v="80"/>
    <n v="81"/>
  </r>
  <r>
    <n v="546"/>
    <x v="23"/>
    <x v="21"/>
    <x v="0"/>
    <x v="0"/>
    <x v="2"/>
    <x v="0"/>
    <n v="0.14000000000000001"/>
    <x v="1"/>
    <n v="0.1515"/>
    <n v="0.63"/>
    <n v="0.16420000000000001"/>
    <n v="6"/>
    <n v="53"/>
    <n v="59"/>
  </r>
  <r>
    <n v="547"/>
    <x v="23"/>
    <x v="22"/>
    <x v="0"/>
    <x v="0"/>
    <x v="2"/>
    <x v="1"/>
    <n v="0.14000000000000001"/>
    <x v="1"/>
    <n v="0.13639999999999999"/>
    <n v="0.63"/>
    <n v="0.22389999999999999"/>
    <n v="3"/>
    <n v="32"/>
    <n v="35"/>
  </r>
  <r>
    <n v="548"/>
    <x v="23"/>
    <x v="23"/>
    <x v="0"/>
    <x v="0"/>
    <x v="2"/>
    <x v="1"/>
    <n v="0.16"/>
    <x v="1"/>
    <n v="0.1515"/>
    <n v="0.64"/>
    <n v="0.25369999999999998"/>
    <n v="3"/>
    <n v="21"/>
    <n v="24"/>
  </r>
  <r>
    <n v="549"/>
    <x v="24"/>
    <x v="0"/>
    <x v="0"/>
    <x v="0"/>
    <x v="3"/>
    <x v="1"/>
    <n v="0.16"/>
    <x v="1"/>
    <n v="0.13639999999999999"/>
    <n v="0.69"/>
    <n v="0.28360000000000002"/>
    <n v="3"/>
    <n v="6"/>
    <n v="9"/>
  </r>
  <r>
    <n v="550"/>
    <x v="24"/>
    <x v="1"/>
    <x v="0"/>
    <x v="0"/>
    <x v="3"/>
    <x v="1"/>
    <n v="0.16"/>
    <x v="1"/>
    <n v="0.16669999999999999"/>
    <n v="0.69"/>
    <n v="0.16420000000000001"/>
    <n v="0"/>
    <n v="5"/>
    <n v="5"/>
  </r>
  <r>
    <n v="551"/>
    <x v="24"/>
    <x v="2"/>
    <x v="0"/>
    <x v="0"/>
    <x v="3"/>
    <x v="0"/>
    <n v="0.16"/>
    <x v="1"/>
    <n v="0.1515"/>
    <n v="0.69"/>
    <n v="0.22389999999999999"/>
    <n v="0"/>
    <n v="2"/>
    <n v="2"/>
  </r>
  <r>
    <n v="552"/>
    <x v="24"/>
    <x v="4"/>
    <x v="0"/>
    <x v="0"/>
    <x v="3"/>
    <x v="0"/>
    <n v="0.14000000000000001"/>
    <x v="1"/>
    <n v="0.16669999999999999"/>
    <n v="0.74"/>
    <n v="0.1045"/>
    <n v="0"/>
    <n v="1"/>
    <n v="1"/>
  </r>
  <r>
    <n v="553"/>
    <x v="24"/>
    <x v="5"/>
    <x v="1"/>
    <x v="0"/>
    <x v="3"/>
    <x v="0"/>
    <n v="0.14000000000000001"/>
    <x v="1"/>
    <n v="0.13639999999999999"/>
    <n v="0.74"/>
    <n v="0.22389999999999999"/>
    <n v="0"/>
    <n v="9"/>
    <n v="9"/>
  </r>
  <r>
    <n v="554"/>
    <x v="24"/>
    <x v="6"/>
    <x v="1"/>
    <x v="0"/>
    <x v="3"/>
    <x v="0"/>
    <n v="0.16"/>
    <x v="1"/>
    <n v="0.18179999999999999"/>
    <n v="0.74"/>
    <n v="0.1045"/>
    <n v="1"/>
    <n v="35"/>
    <n v="36"/>
  </r>
  <r>
    <n v="555"/>
    <x v="24"/>
    <x v="7"/>
    <x v="1"/>
    <x v="0"/>
    <x v="3"/>
    <x v="0"/>
    <n v="0.16"/>
    <x v="1"/>
    <n v="0.1515"/>
    <n v="0.74"/>
    <n v="0.22389999999999999"/>
    <n v="5"/>
    <n v="103"/>
    <n v="108"/>
  </r>
  <r>
    <n v="556"/>
    <x v="24"/>
    <x v="8"/>
    <x v="1"/>
    <x v="0"/>
    <x v="3"/>
    <x v="1"/>
    <n v="0.16"/>
    <x v="1"/>
    <n v="0.18179999999999999"/>
    <n v="0.74"/>
    <n v="0.1343"/>
    <n v="5"/>
    <n v="233"/>
    <n v="238"/>
  </r>
  <r>
    <n v="557"/>
    <x v="24"/>
    <x v="9"/>
    <x v="1"/>
    <x v="0"/>
    <x v="3"/>
    <x v="1"/>
    <n v="0.2"/>
    <x v="1"/>
    <n v="0.2273"/>
    <n v="0.64"/>
    <n v="8.9599999999999999E-2"/>
    <n v="10"/>
    <n v="134"/>
    <n v="144"/>
  </r>
  <r>
    <n v="558"/>
    <x v="24"/>
    <x v="10"/>
    <x v="1"/>
    <x v="0"/>
    <x v="3"/>
    <x v="1"/>
    <n v="0.22"/>
    <x v="0"/>
    <n v="0.2424"/>
    <n v="0.6"/>
    <n v="0.1045"/>
    <n v="6"/>
    <n v="49"/>
    <n v="55"/>
  </r>
  <r>
    <n v="559"/>
    <x v="24"/>
    <x v="11"/>
    <x v="1"/>
    <x v="0"/>
    <x v="3"/>
    <x v="1"/>
    <n v="0.24"/>
    <x v="0"/>
    <n v="0.2424"/>
    <n v="0.6"/>
    <n v="0.1343"/>
    <n v="6"/>
    <n v="55"/>
    <n v="61"/>
  </r>
  <r>
    <n v="560"/>
    <x v="24"/>
    <x v="12"/>
    <x v="2"/>
    <x v="0"/>
    <x v="3"/>
    <x v="1"/>
    <n v="0.26"/>
    <x v="0"/>
    <n v="0.28789999999999999"/>
    <n v="0.56000000000000005"/>
    <n v="8.9599999999999999E-2"/>
    <n v="21"/>
    <n v="85"/>
    <n v="106"/>
  </r>
  <r>
    <n v="561"/>
    <x v="24"/>
    <x v="13"/>
    <x v="2"/>
    <x v="0"/>
    <x v="3"/>
    <x v="1"/>
    <n v="0.26"/>
    <x v="0"/>
    <n v="0.2727"/>
    <n v="0.56000000000000005"/>
    <n v="0.1343"/>
    <n v="21"/>
    <n v="72"/>
    <n v="93"/>
  </r>
  <r>
    <n v="562"/>
    <x v="24"/>
    <x v="14"/>
    <x v="2"/>
    <x v="0"/>
    <x v="3"/>
    <x v="1"/>
    <n v="0.3"/>
    <x v="0"/>
    <n v="0.33329999999999999"/>
    <n v="0.45"/>
    <n v="0"/>
    <n v="11"/>
    <n v="57"/>
    <n v="68"/>
  </r>
  <r>
    <n v="563"/>
    <x v="24"/>
    <x v="15"/>
    <x v="2"/>
    <x v="0"/>
    <x v="3"/>
    <x v="1"/>
    <n v="0.32"/>
    <x v="0"/>
    <n v="0.34849999999999998"/>
    <n v="0.42"/>
    <n v="0"/>
    <n v="21"/>
    <n v="63"/>
    <n v="84"/>
  </r>
  <r>
    <n v="564"/>
    <x v="24"/>
    <x v="16"/>
    <x v="2"/>
    <x v="0"/>
    <x v="3"/>
    <x v="1"/>
    <n v="0.32"/>
    <x v="0"/>
    <n v="0.34849999999999998"/>
    <n v="0.42"/>
    <n v="0"/>
    <n v="14"/>
    <n v="102"/>
    <n v="116"/>
  </r>
  <r>
    <n v="565"/>
    <x v="24"/>
    <x v="17"/>
    <x v="3"/>
    <x v="0"/>
    <x v="3"/>
    <x v="0"/>
    <n v="0.3"/>
    <x v="0"/>
    <n v="0.33329999999999999"/>
    <n v="0.45"/>
    <n v="0"/>
    <n v="14"/>
    <n v="208"/>
    <n v="222"/>
  </r>
  <r>
    <n v="566"/>
    <x v="24"/>
    <x v="18"/>
    <x v="3"/>
    <x v="0"/>
    <x v="3"/>
    <x v="1"/>
    <n v="0.3"/>
    <x v="0"/>
    <n v="0.31819999999999998"/>
    <n v="0.49"/>
    <n v="8.9599999999999999E-2"/>
    <n v="7"/>
    <n v="218"/>
    <n v="225"/>
  </r>
  <r>
    <n v="567"/>
    <x v="24"/>
    <x v="19"/>
    <x v="3"/>
    <x v="0"/>
    <x v="3"/>
    <x v="1"/>
    <n v="0.26"/>
    <x v="0"/>
    <n v="0.2576"/>
    <n v="0.65"/>
    <n v="0.16420000000000001"/>
    <n v="13"/>
    <n v="133"/>
    <n v="146"/>
  </r>
  <r>
    <n v="568"/>
    <x v="24"/>
    <x v="20"/>
    <x v="3"/>
    <x v="0"/>
    <x v="3"/>
    <x v="0"/>
    <n v="0.24"/>
    <x v="0"/>
    <n v="0.2273"/>
    <n v="0.65"/>
    <n v="0.19400000000000001"/>
    <n v="16"/>
    <n v="103"/>
    <n v="119"/>
  </r>
  <r>
    <n v="569"/>
    <x v="24"/>
    <x v="21"/>
    <x v="0"/>
    <x v="0"/>
    <x v="3"/>
    <x v="0"/>
    <n v="0.24"/>
    <x v="0"/>
    <n v="0.2273"/>
    <n v="0.65"/>
    <n v="0.19400000000000001"/>
    <n v="5"/>
    <n v="40"/>
    <n v="45"/>
  </r>
  <r>
    <n v="570"/>
    <x v="24"/>
    <x v="22"/>
    <x v="0"/>
    <x v="0"/>
    <x v="3"/>
    <x v="0"/>
    <n v="0.22"/>
    <x v="0"/>
    <n v="0.2273"/>
    <n v="0.64"/>
    <n v="0.16420000000000001"/>
    <n v="4"/>
    <n v="49"/>
    <n v="53"/>
  </r>
  <r>
    <n v="571"/>
    <x v="24"/>
    <x v="23"/>
    <x v="0"/>
    <x v="0"/>
    <x v="3"/>
    <x v="1"/>
    <n v="0.22"/>
    <x v="0"/>
    <n v="0.2273"/>
    <n v="0.64"/>
    <n v="0.16420000000000001"/>
    <n v="3"/>
    <n v="37"/>
    <n v="40"/>
  </r>
  <r>
    <n v="572"/>
    <x v="25"/>
    <x v="0"/>
    <x v="0"/>
    <x v="0"/>
    <x v="4"/>
    <x v="1"/>
    <n v="0.22"/>
    <x v="0"/>
    <n v="0.2273"/>
    <n v="0.69"/>
    <n v="0.1343"/>
    <n v="3"/>
    <n v="14"/>
    <n v="17"/>
  </r>
  <r>
    <n v="573"/>
    <x v="25"/>
    <x v="1"/>
    <x v="0"/>
    <x v="0"/>
    <x v="4"/>
    <x v="1"/>
    <n v="0.24"/>
    <x v="0"/>
    <n v="0.2424"/>
    <n v="0.65"/>
    <n v="0.1343"/>
    <n v="0"/>
    <n v="5"/>
    <n v="5"/>
  </r>
  <r>
    <n v="574"/>
    <x v="25"/>
    <x v="2"/>
    <x v="0"/>
    <x v="0"/>
    <x v="4"/>
    <x v="2"/>
    <n v="0.22"/>
    <x v="0"/>
    <n v="0.2273"/>
    <n v="0.69"/>
    <n v="0.19400000000000001"/>
    <n v="3"/>
    <n v="7"/>
    <n v="10"/>
  </r>
  <r>
    <n v="575"/>
    <x v="25"/>
    <x v="5"/>
    <x v="1"/>
    <x v="0"/>
    <x v="4"/>
    <x v="2"/>
    <n v="0.2"/>
    <x v="1"/>
    <n v="0.18179999999999999"/>
    <n v="0.86"/>
    <n v="0.28360000000000002"/>
    <n v="0"/>
    <n v="1"/>
    <n v="1"/>
  </r>
  <r>
    <n v="576"/>
    <x v="25"/>
    <x v="6"/>
    <x v="1"/>
    <x v="0"/>
    <x v="4"/>
    <x v="2"/>
    <n v="0.2"/>
    <x v="1"/>
    <n v="0.18179999999999999"/>
    <n v="0.86"/>
    <n v="0.28360000000000002"/>
    <n v="0"/>
    <n v="8"/>
    <n v="8"/>
  </r>
  <r>
    <n v="577"/>
    <x v="25"/>
    <x v="7"/>
    <x v="1"/>
    <x v="0"/>
    <x v="4"/>
    <x v="2"/>
    <n v="0.22"/>
    <x v="0"/>
    <n v="0.21210000000000001"/>
    <n v="0.87"/>
    <n v="0.29849999999999999"/>
    <n v="1"/>
    <n v="29"/>
    <n v="30"/>
  </r>
  <r>
    <n v="578"/>
    <x v="25"/>
    <x v="8"/>
    <x v="1"/>
    <x v="0"/>
    <x v="4"/>
    <x v="2"/>
    <n v="0.22"/>
    <x v="0"/>
    <n v="0.21210000000000001"/>
    <n v="0.87"/>
    <n v="0.29849999999999999"/>
    <n v="3"/>
    <n v="69"/>
    <n v="72"/>
  </r>
  <r>
    <n v="579"/>
    <x v="25"/>
    <x v="9"/>
    <x v="1"/>
    <x v="0"/>
    <x v="4"/>
    <x v="2"/>
    <n v="0.22"/>
    <x v="0"/>
    <n v="0.21210000000000001"/>
    <n v="0.87"/>
    <n v="0.29849999999999999"/>
    <n v="3"/>
    <n v="55"/>
    <n v="58"/>
  </r>
  <r>
    <n v="580"/>
    <x v="25"/>
    <x v="10"/>
    <x v="1"/>
    <x v="0"/>
    <x v="4"/>
    <x v="2"/>
    <n v="0.22"/>
    <x v="0"/>
    <n v="0.21210000000000001"/>
    <n v="0.93"/>
    <n v="0.28360000000000002"/>
    <n v="2"/>
    <n v="26"/>
    <n v="28"/>
  </r>
  <r>
    <n v="581"/>
    <x v="25"/>
    <x v="11"/>
    <x v="1"/>
    <x v="0"/>
    <x v="4"/>
    <x v="2"/>
    <n v="0.22"/>
    <x v="0"/>
    <n v="0.19700000000000001"/>
    <n v="0.93"/>
    <n v="0.32840000000000003"/>
    <n v="6"/>
    <n v="35"/>
    <n v="41"/>
  </r>
  <r>
    <n v="582"/>
    <x v="25"/>
    <x v="12"/>
    <x v="2"/>
    <x v="0"/>
    <x v="4"/>
    <x v="2"/>
    <n v="0.22"/>
    <x v="0"/>
    <n v="0.19700000000000001"/>
    <n v="0.93"/>
    <n v="0.32840000000000003"/>
    <n v="7"/>
    <n v="41"/>
    <n v="48"/>
  </r>
  <r>
    <n v="583"/>
    <x v="25"/>
    <x v="13"/>
    <x v="2"/>
    <x v="0"/>
    <x v="4"/>
    <x v="2"/>
    <n v="0.22"/>
    <x v="0"/>
    <n v="0.19700000000000001"/>
    <n v="0.93"/>
    <n v="0.32840000000000003"/>
    <n v="4"/>
    <n v="43"/>
    <n v="47"/>
  </r>
  <r>
    <n v="584"/>
    <x v="25"/>
    <x v="14"/>
    <x v="2"/>
    <x v="0"/>
    <x v="4"/>
    <x v="2"/>
    <n v="0.22"/>
    <x v="0"/>
    <n v="0.19700000000000001"/>
    <n v="0.93"/>
    <n v="0.35820000000000002"/>
    <n v="0"/>
    <n v="36"/>
    <n v="36"/>
  </r>
  <r>
    <n v="585"/>
    <x v="25"/>
    <x v="15"/>
    <x v="2"/>
    <x v="0"/>
    <x v="4"/>
    <x v="2"/>
    <n v="0.22"/>
    <x v="0"/>
    <n v="0.18179999999999999"/>
    <n v="0.93"/>
    <n v="0.4627"/>
    <n v="1"/>
    <n v="42"/>
    <n v="43"/>
  </r>
  <r>
    <n v="586"/>
    <x v="25"/>
    <x v="16"/>
    <x v="2"/>
    <x v="0"/>
    <x v="4"/>
    <x v="3"/>
    <n v="0.22"/>
    <x v="0"/>
    <n v="0.19700000000000001"/>
    <n v="0.93"/>
    <n v="0.32840000000000003"/>
    <n v="1"/>
    <n v="35"/>
    <n v="36"/>
  </r>
  <r>
    <n v="587"/>
    <x v="25"/>
    <x v="17"/>
    <x v="3"/>
    <x v="0"/>
    <x v="4"/>
    <x v="2"/>
    <n v="0.2"/>
    <x v="1"/>
    <n v="0.18179999999999999"/>
    <n v="0.93"/>
    <n v="0.35820000000000002"/>
    <n v="0"/>
    <n v="26"/>
    <n v="26"/>
  </r>
  <r>
    <n v="588"/>
    <x v="26"/>
    <x v="16"/>
    <x v="2"/>
    <x v="0"/>
    <x v="5"/>
    <x v="0"/>
    <n v="0.22"/>
    <x v="0"/>
    <n v="0.2273"/>
    <n v="0.55000000000000004"/>
    <n v="0.19400000000000001"/>
    <n v="1"/>
    <n v="23"/>
    <n v="24"/>
  </r>
  <r>
    <n v="589"/>
    <x v="26"/>
    <x v="17"/>
    <x v="3"/>
    <x v="0"/>
    <x v="5"/>
    <x v="0"/>
    <n v="0.22"/>
    <x v="0"/>
    <n v="0.2424"/>
    <n v="0.55000000000000004"/>
    <n v="0.1045"/>
    <n v="2"/>
    <n v="82"/>
    <n v="84"/>
  </r>
  <r>
    <n v="590"/>
    <x v="26"/>
    <x v="18"/>
    <x v="3"/>
    <x v="0"/>
    <x v="5"/>
    <x v="0"/>
    <n v="0.2"/>
    <x v="1"/>
    <n v="0.2273"/>
    <n v="0.69"/>
    <n v="8.9599999999999999E-2"/>
    <n v="3"/>
    <n v="101"/>
    <n v="104"/>
  </r>
  <r>
    <n v="591"/>
    <x v="26"/>
    <x v="19"/>
    <x v="3"/>
    <x v="0"/>
    <x v="5"/>
    <x v="0"/>
    <n v="0.2"/>
    <x v="1"/>
    <n v="0.2273"/>
    <n v="0.69"/>
    <n v="8.9599999999999999E-2"/>
    <n v="3"/>
    <n v="76"/>
    <n v="79"/>
  </r>
  <r>
    <n v="592"/>
    <x v="26"/>
    <x v="20"/>
    <x v="3"/>
    <x v="0"/>
    <x v="5"/>
    <x v="0"/>
    <n v="0.18"/>
    <x v="1"/>
    <n v="0.21210000000000001"/>
    <n v="0.74"/>
    <n v="8.9599999999999999E-2"/>
    <n v="4"/>
    <n v="55"/>
    <n v="59"/>
  </r>
  <r>
    <n v="593"/>
    <x v="26"/>
    <x v="21"/>
    <x v="0"/>
    <x v="0"/>
    <x v="5"/>
    <x v="0"/>
    <n v="0.18"/>
    <x v="1"/>
    <n v="0.21210000000000001"/>
    <n v="0.74"/>
    <n v="8.9599999999999999E-2"/>
    <n v="2"/>
    <n v="36"/>
    <n v="38"/>
  </r>
  <r>
    <n v="594"/>
    <x v="26"/>
    <x v="22"/>
    <x v="0"/>
    <x v="0"/>
    <x v="5"/>
    <x v="0"/>
    <n v="0.18"/>
    <x v="1"/>
    <n v="0.21210000000000001"/>
    <n v="0.74"/>
    <n v="8.9599999999999999E-2"/>
    <n v="0"/>
    <n v="27"/>
    <n v="27"/>
  </r>
  <r>
    <n v="595"/>
    <x v="26"/>
    <x v="23"/>
    <x v="0"/>
    <x v="0"/>
    <x v="5"/>
    <x v="0"/>
    <n v="0.18"/>
    <x v="1"/>
    <n v="0.19700000000000001"/>
    <n v="0.8"/>
    <n v="0.16420000000000001"/>
    <n v="0"/>
    <n v="16"/>
    <n v="16"/>
  </r>
  <r>
    <n v="596"/>
    <x v="27"/>
    <x v="0"/>
    <x v="0"/>
    <x v="0"/>
    <x v="6"/>
    <x v="1"/>
    <n v="0.2"/>
    <x v="1"/>
    <n v="0.21210000000000001"/>
    <n v="0.75"/>
    <n v="0.1343"/>
    <n v="0"/>
    <n v="9"/>
    <n v="9"/>
  </r>
  <r>
    <n v="597"/>
    <x v="27"/>
    <x v="1"/>
    <x v="0"/>
    <x v="0"/>
    <x v="6"/>
    <x v="1"/>
    <n v="0.2"/>
    <x v="1"/>
    <n v="0.21210000000000001"/>
    <n v="0.75"/>
    <n v="0.1343"/>
    <n v="1"/>
    <n v="2"/>
    <n v="3"/>
  </r>
  <r>
    <n v="598"/>
    <x v="27"/>
    <x v="2"/>
    <x v="0"/>
    <x v="0"/>
    <x v="6"/>
    <x v="1"/>
    <n v="0.2"/>
    <x v="1"/>
    <n v="0.21210000000000001"/>
    <n v="0.75"/>
    <n v="0.16420000000000001"/>
    <n v="0"/>
    <n v="2"/>
    <n v="2"/>
  </r>
  <r>
    <n v="599"/>
    <x v="27"/>
    <x v="3"/>
    <x v="0"/>
    <x v="0"/>
    <x v="6"/>
    <x v="1"/>
    <n v="0.2"/>
    <x v="1"/>
    <n v="0.2273"/>
    <n v="0.75"/>
    <n v="0.1045"/>
    <n v="1"/>
    <n v="0"/>
    <n v="1"/>
  </r>
  <r>
    <n v="600"/>
    <x v="27"/>
    <x v="5"/>
    <x v="1"/>
    <x v="0"/>
    <x v="6"/>
    <x v="1"/>
    <n v="0.18"/>
    <x v="1"/>
    <n v="0.21210000000000001"/>
    <n v="0.8"/>
    <n v="0.1045"/>
    <n v="0"/>
    <n v="4"/>
    <n v="4"/>
  </r>
  <r>
    <n v="601"/>
    <x v="27"/>
    <x v="6"/>
    <x v="1"/>
    <x v="0"/>
    <x v="6"/>
    <x v="1"/>
    <n v="0.18"/>
    <x v="1"/>
    <n v="0.19700000000000001"/>
    <n v="0.8"/>
    <n v="0.1343"/>
    <n v="0"/>
    <n v="16"/>
    <n v="16"/>
  </r>
  <r>
    <n v="602"/>
    <x v="27"/>
    <x v="7"/>
    <x v="1"/>
    <x v="0"/>
    <x v="6"/>
    <x v="1"/>
    <n v="0.16"/>
    <x v="1"/>
    <n v="0.19700000000000001"/>
    <n v="0.86"/>
    <n v="8.9599999999999999E-2"/>
    <n v="2"/>
    <n v="58"/>
    <n v="60"/>
  </r>
  <r>
    <n v="603"/>
    <x v="27"/>
    <x v="8"/>
    <x v="1"/>
    <x v="0"/>
    <x v="6"/>
    <x v="1"/>
    <n v="0.16"/>
    <x v="1"/>
    <n v="0.19700000000000001"/>
    <n v="0.86"/>
    <n v="8.9599999999999999E-2"/>
    <n v="2"/>
    <n v="155"/>
    <n v="157"/>
  </r>
  <r>
    <n v="604"/>
    <x v="27"/>
    <x v="9"/>
    <x v="1"/>
    <x v="0"/>
    <x v="6"/>
    <x v="2"/>
    <n v="0.18"/>
    <x v="1"/>
    <n v="0.21210000000000001"/>
    <n v="0.86"/>
    <n v="8.9599999999999999E-2"/>
    <n v="6"/>
    <n v="95"/>
    <n v="101"/>
  </r>
  <r>
    <n v="605"/>
    <x v="27"/>
    <x v="10"/>
    <x v="1"/>
    <x v="0"/>
    <x v="6"/>
    <x v="2"/>
    <n v="0.18"/>
    <x v="1"/>
    <n v="0.21210000000000001"/>
    <n v="0.86"/>
    <n v="0.1045"/>
    <n v="0"/>
    <n v="49"/>
    <n v="49"/>
  </r>
  <r>
    <n v="606"/>
    <x v="27"/>
    <x v="11"/>
    <x v="1"/>
    <x v="0"/>
    <x v="6"/>
    <x v="2"/>
    <n v="0.18"/>
    <x v="1"/>
    <n v="0.21210000000000001"/>
    <n v="0.93"/>
    <n v="0.1045"/>
    <n v="0"/>
    <n v="30"/>
    <n v="30"/>
  </r>
  <r>
    <n v="607"/>
    <x v="27"/>
    <x v="12"/>
    <x v="2"/>
    <x v="0"/>
    <x v="6"/>
    <x v="2"/>
    <n v="0.18"/>
    <x v="1"/>
    <n v="0.21210000000000001"/>
    <n v="0.93"/>
    <n v="0.1045"/>
    <n v="1"/>
    <n v="28"/>
    <n v="29"/>
  </r>
  <r>
    <n v="608"/>
    <x v="27"/>
    <x v="13"/>
    <x v="2"/>
    <x v="0"/>
    <x v="6"/>
    <x v="2"/>
    <n v="0.18"/>
    <x v="1"/>
    <n v="0.21210000000000001"/>
    <n v="0.93"/>
    <n v="0.1045"/>
    <n v="0"/>
    <n v="31"/>
    <n v="31"/>
  </r>
  <r>
    <n v="609"/>
    <x v="27"/>
    <x v="14"/>
    <x v="2"/>
    <x v="0"/>
    <x v="6"/>
    <x v="2"/>
    <n v="0.22"/>
    <x v="0"/>
    <n v="0.2727"/>
    <n v="0.8"/>
    <n v="0"/>
    <n v="2"/>
    <n v="36"/>
    <n v="38"/>
  </r>
  <r>
    <n v="610"/>
    <x v="27"/>
    <x v="15"/>
    <x v="2"/>
    <x v="0"/>
    <x v="6"/>
    <x v="1"/>
    <n v="0.2"/>
    <x v="1"/>
    <n v="0.2576"/>
    <n v="0.86"/>
    <n v="0"/>
    <n v="1"/>
    <n v="40"/>
    <n v="41"/>
  </r>
  <r>
    <n v="611"/>
    <x v="27"/>
    <x v="16"/>
    <x v="2"/>
    <x v="0"/>
    <x v="6"/>
    <x v="0"/>
    <n v="0.22"/>
    <x v="0"/>
    <n v="0.2727"/>
    <n v="0.8"/>
    <n v="0"/>
    <n v="10"/>
    <n v="70"/>
    <n v="80"/>
  </r>
  <r>
    <n v="612"/>
    <x v="27"/>
    <x v="17"/>
    <x v="3"/>
    <x v="0"/>
    <x v="6"/>
    <x v="0"/>
    <n v="0.24"/>
    <x v="0"/>
    <n v="0.2424"/>
    <n v="0.75"/>
    <n v="0.1343"/>
    <n v="2"/>
    <n v="147"/>
    <n v="149"/>
  </r>
  <r>
    <n v="613"/>
    <x v="27"/>
    <x v="18"/>
    <x v="3"/>
    <x v="0"/>
    <x v="6"/>
    <x v="0"/>
    <n v="0.24"/>
    <x v="0"/>
    <n v="0.2273"/>
    <n v="0.75"/>
    <n v="0.19400000000000001"/>
    <n v="2"/>
    <n v="107"/>
    <n v="109"/>
  </r>
  <r>
    <n v="614"/>
    <x v="27"/>
    <x v="19"/>
    <x v="3"/>
    <x v="0"/>
    <x v="6"/>
    <x v="1"/>
    <n v="0.24"/>
    <x v="0"/>
    <n v="0.2424"/>
    <n v="0.75"/>
    <n v="0.1343"/>
    <n v="5"/>
    <n v="84"/>
    <n v="89"/>
  </r>
  <r>
    <n v="615"/>
    <x v="27"/>
    <x v="20"/>
    <x v="3"/>
    <x v="0"/>
    <x v="6"/>
    <x v="1"/>
    <n v="0.24"/>
    <x v="0"/>
    <n v="0.2273"/>
    <n v="0.7"/>
    <n v="0.19400000000000001"/>
    <n v="1"/>
    <n v="61"/>
    <n v="62"/>
  </r>
  <r>
    <n v="616"/>
    <x v="27"/>
    <x v="21"/>
    <x v="0"/>
    <x v="0"/>
    <x v="6"/>
    <x v="1"/>
    <n v="0.22"/>
    <x v="0"/>
    <n v="0.2273"/>
    <n v="0.75"/>
    <n v="0.1343"/>
    <n v="1"/>
    <n v="57"/>
    <n v="58"/>
  </r>
  <r>
    <n v="617"/>
    <x v="27"/>
    <x v="22"/>
    <x v="0"/>
    <x v="0"/>
    <x v="6"/>
    <x v="0"/>
    <n v="0.24"/>
    <x v="0"/>
    <n v="0.21210000000000001"/>
    <n v="0.65"/>
    <n v="0.35820000000000002"/>
    <n v="0"/>
    <n v="26"/>
    <n v="26"/>
  </r>
  <r>
    <n v="618"/>
    <x v="27"/>
    <x v="23"/>
    <x v="0"/>
    <x v="0"/>
    <x v="6"/>
    <x v="0"/>
    <n v="0.24"/>
    <x v="0"/>
    <n v="0.2273"/>
    <n v="0.6"/>
    <n v="0.22389999999999999"/>
    <n v="1"/>
    <n v="22"/>
    <n v="23"/>
  </r>
  <r>
    <n v="619"/>
    <x v="28"/>
    <x v="0"/>
    <x v="0"/>
    <x v="0"/>
    <x v="0"/>
    <x v="0"/>
    <n v="0.22"/>
    <x v="0"/>
    <n v="0.19700000000000001"/>
    <n v="0.64"/>
    <n v="0.35820000000000002"/>
    <n v="2"/>
    <n v="26"/>
    <n v="28"/>
  </r>
  <r>
    <n v="620"/>
    <x v="28"/>
    <x v="1"/>
    <x v="0"/>
    <x v="0"/>
    <x v="0"/>
    <x v="0"/>
    <n v="0.22"/>
    <x v="0"/>
    <n v="0.2273"/>
    <n v="0.64"/>
    <n v="0.19400000000000001"/>
    <n v="0"/>
    <n v="20"/>
    <n v="20"/>
  </r>
  <r>
    <n v="621"/>
    <x v="28"/>
    <x v="2"/>
    <x v="0"/>
    <x v="0"/>
    <x v="0"/>
    <x v="0"/>
    <n v="0.22"/>
    <x v="0"/>
    <n v="0.2273"/>
    <n v="0.64"/>
    <n v="0.16420000000000001"/>
    <n v="0"/>
    <n v="15"/>
    <n v="15"/>
  </r>
  <r>
    <n v="622"/>
    <x v="28"/>
    <x v="3"/>
    <x v="0"/>
    <x v="0"/>
    <x v="0"/>
    <x v="0"/>
    <n v="0.2"/>
    <x v="1"/>
    <n v="0.21210000000000001"/>
    <n v="0.64"/>
    <n v="0.1343"/>
    <n v="3"/>
    <n v="5"/>
    <n v="8"/>
  </r>
  <r>
    <n v="623"/>
    <x v="28"/>
    <x v="4"/>
    <x v="0"/>
    <x v="0"/>
    <x v="0"/>
    <x v="0"/>
    <n v="0.16"/>
    <x v="1"/>
    <n v="0.18179999999999999"/>
    <n v="0.69"/>
    <n v="0.1045"/>
    <n v="1"/>
    <n v="2"/>
    <n v="3"/>
  </r>
  <r>
    <n v="624"/>
    <x v="28"/>
    <x v="6"/>
    <x v="1"/>
    <x v="0"/>
    <x v="0"/>
    <x v="0"/>
    <n v="0.16"/>
    <x v="1"/>
    <n v="0.18179999999999999"/>
    <n v="0.64"/>
    <n v="0.1343"/>
    <n v="0"/>
    <n v="2"/>
    <n v="2"/>
  </r>
  <r>
    <n v="625"/>
    <x v="28"/>
    <x v="7"/>
    <x v="1"/>
    <x v="0"/>
    <x v="0"/>
    <x v="0"/>
    <n v="0.16"/>
    <x v="1"/>
    <n v="0.18179999999999999"/>
    <n v="0.59"/>
    <n v="0.1045"/>
    <n v="1"/>
    <n v="4"/>
    <n v="5"/>
  </r>
  <r>
    <n v="626"/>
    <x v="28"/>
    <x v="8"/>
    <x v="1"/>
    <x v="0"/>
    <x v="0"/>
    <x v="0"/>
    <n v="0.18"/>
    <x v="1"/>
    <n v="0.19700000000000001"/>
    <n v="0.55000000000000004"/>
    <n v="0.16420000000000001"/>
    <n v="3"/>
    <n v="31"/>
    <n v="34"/>
  </r>
  <r>
    <n v="627"/>
    <x v="28"/>
    <x v="9"/>
    <x v="1"/>
    <x v="0"/>
    <x v="0"/>
    <x v="0"/>
    <n v="0.18"/>
    <x v="1"/>
    <n v="0.21210000000000001"/>
    <n v="0.59"/>
    <n v="8.9599999999999999E-2"/>
    <n v="0"/>
    <n v="34"/>
    <n v="34"/>
  </r>
  <r>
    <n v="628"/>
    <x v="28"/>
    <x v="10"/>
    <x v="1"/>
    <x v="0"/>
    <x v="0"/>
    <x v="1"/>
    <n v="0.18"/>
    <x v="1"/>
    <n v="0.21210000000000001"/>
    <n v="0.64"/>
    <n v="0.1045"/>
    <n v="4"/>
    <n v="51"/>
    <n v="55"/>
  </r>
  <r>
    <n v="629"/>
    <x v="28"/>
    <x v="11"/>
    <x v="1"/>
    <x v="0"/>
    <x v="0"/>
    <x v="1"/>
    <n v="0.18"/>
    <x v="1"/>
    <n v="0.19700000000000001"/>
    <n v="0.64"/>
    <n v="0.1343"/>
    <n v="4"/>
    <n v="60"/>
    <n v="64"/>
  </r>
  <r>
    <n v="630"/>
    <x v="28"/>
    <x v="12"/>
    <x v="2"/>
    <x v="0"/>
    <x v="0"/>
    <x v="1"/>
    <n v="0.2"/>
    <x v="1"/>
    <n v="0.19700000000000001"/>
    <n v="0.59"/>
    <n v="0.19400000000000001"/>
    <n v="12"/>
    <n v="66"/>
    <n v="78"/>
  </r>
  <r>
    <n v="631"/>
    <x v="28"/>
    <x v="13"/>
    <x v="2"/>
    <x v="0"/>
    <x v="0"/>
    <x v="1"/>
    <n v="0.22"/>
    <x v="0"/>
    <n v="0.2273"/>
    <n v="0.55000000000000004"/>
    <n v="0.16420000000000001"/>
    <n v="9"/>
    <n v="56"/>
    <n v="65"/>
  </r>
  <r>
    <n v="632"/>
    <x v="28"/>
    <x v="14"/>
    <x v="2"/>
    <x v="0"/>
    <x v="0"/>
    <x v="1"/>
    <n v="0.22"/>
    <x v="0"/>
    <n v="0.2273"/>
    <n v="0.6"/>
    <n v="0.1343"/>
    <n v="10"/>
    <n v="89"/>
    <n v="99"/>
  </r>
  <r>
    <n v="633"/>
    <x v="28"/>
    <x v="15"/>
    <x v="2"/>
    <x v="0"/>
    <x v="0"/>
    <x v="0"/>
    <n v="0.22"/>
    <x v="0"/>
    <n v="0.21210000000000001"/>
    <n v="0.69"/>
    <n v="0.25369999999999998"/>
    <n v="22"/>
    <n v="98"/>
    <n v="120"/>
  </r>
  <r>
    <n v="634"/>
    <x v="28"/>
    <x v="16"/>
    <x v="2"/>
    <x v="0"/>
    <x v="0"/>
    <x v="0"/>
    <n v="0.24"/>
    <x v="0"/>
    <n v="0.2424"/>
    <n v="0.6"/>
    <n v="0.16420000000000001"/>
    <n v="19"/>
    <n v="88"/>
    <n v="107"/>
  </r>
  <r>
    <n v="635"/>
    <x v="28"/>
    <x v="17"/>
    <x v="3"/>
    <x v="0"/>
    <x v="0"/>
    <x v="0"/>
    <n v="0.24"/>
    <x v="0"/>
    <n v="0.28789999999999999"/>
    <n v="0.6"/>
    <n v="0"/>
    <n v="9"/>
    <n v="82"/>
    <n v="91"/>
  </r>
  <r>
    <n v="636"/>
    <x v="28"/>
    <x v="18"/>
    <x v="3"/>
    <x v="0"/>
    <x v="0"/>
    <x v="0"/>
    <n v="0.22"/>
    <x v="0"/>
    <n v="0.2273"/>
    <n v="0.69"/>
    <n v="0.1343"/>
    <n v="9"/>
    <n v="59"/>
    <n v="68"/>
  </r>
  <r>
    <n v="637"/>
    <x v="28"/>
    <x v="19"/>
    <x v="3"/>
    <x v="0"/>
    <x v="0"/>
    <x v="1"/>
    <n v="0.22"/>
    <x v="0"/>
    <n v="0.21210000000000001"/>
    <n v="0.69"/>
    <n v="0.25369999999999998"/>
    <n v="6"/>
    <n v="52"/>
    <n v="58"/>
  </r>
  <r>
    <n v="638"/>
    <x v="28"/>
    <x v="20"/>
    <x v="3"/>
    <x v="0"/>
    <x v="0"/>
    <x v="0"/>
    <n v="0.18"/>
    <x v="1"/>
    <n v="0.21210000000000001"/>
    <n v="0.74"/>
    <n v="8.9599999999999999E-2"/>
    <n v="1"/>
    <n v="42"/>
    <n v="43"/>
  </r>
  <r>
    <n v="639"/>
    <x v="28"/>
    <x v="21"/>
    <x v="0"/>
    <x v="0"/>
    <x v="0"/>
    <x v="0"/>
    <n v="0.18"/>
    <x v="1"/>
    <n v="0.21210000000000001"/>
    <n v="0.74"/>
    <n v="8.9599999999999999E-2"/>
    <n v="1"/>
    <n v="35"/>
    <n v="36"/>
  </r>
  <r>
    <n v="640"/>
    <x v="28"/>
    <x v="22"/>
    <x v="0"/>
    <x v="0"/>
    <x v="0"/>
    <x v="0"/>
    <n v="0.16"/>
    <x v="1"/>
    <n v="0.19700000000000001"/>
    <n v="0.8"/>
    <n v="8.9599999999999999E-2"/>
    <n v="4"/>
    <n v="28"/>
    <n v="32"/>
  </r>
  <r>
    <n v="641"/>
    <x v="28"/>
    <x v="23"/>
    <x v="0"/>
    <x v="0"/>
    <x v="0"/>
    <x v="0"/>
    <n v="0.16"/>
    <x v="1"/>
    <n v="0.19700000000000001"/>
    <n v="0.8"/>
    <n v="8.9599999999999999E-2"/>
    <n v="3"/>
    <n v="30"/>
    <n v="33"/>
  </r>
  <r>
    <n v="642"/>
    <x v="29"/>
    <x v="0"/>
    <x v="0"/>
    <x v="0"/>
    <x v="1"/>
    <x v="0"/>
    <n v="0.16"/>
    <x v="1"/>
    <n v="0.18179999999999999"/>
    <n v="0.8"/>
    <n v="0.1045"/>
    <n v="0"/>
    <n v="33"/>
    <n v="33"/>
  </r>
  <r>
    <n v="643"/>
    <x v="29"/>
    <x v="1"/>
    <x v="0"/>
    <x v="0"/>
    <x v="1"/>
    <x v="0"/>
    <n v="0.14000000000000001"/>
    <x v="1"/>
    <n v="0.21210000000000001"/>
    <n v="0.8"/>
    <n v="0"/>
    <n v="7"/>
    <n v="22"/>
    <n v="29"/>
  </r>
  <r>
    <n v="644"/>
    <x v="29"/>
    <x v="2"/>
    <x v="0"/>
    <x v="0"/>
    <x v="1"/>
    <x v="0"/>
    <n v="0.16"/>
    <x v="1"/>
    <n v="0.2273"/>
    <n v="0.8"/>
    <n v="0"/>
    <n v="1"/>
    <n v="10"/>
    <n v="11"/>
  </r>
  <r>
    <n v="645"/>
    <x v="29"/>
    <x v="3"/>
    <x v="0"/>
    <x v="0"/>
    <x v="1"/>
    <x v="0"/>
    <n v="0.14000000000000001"/>
    <x v="1"/>
    <n v="0.21210000000000001"/>
    <n v="0.93"/>
    <n v="0"/>
    <n v="1"/>
    <n v="7"/>
    <n v="8"/>
  </r>
  <r>
    <n v="646"/>
    <x v="29"/>
    <x v="4"/>
    <x v="0"/>
    <x v="0"/>
    <x v="1"/>
    <x v="0"/>
    <n v="0.14000000000000001"/>
    <x v="1"/>
    <n v="0.21210000000000001"/>
    <n v="0.93"/>
    <n v="0"/>
    <n v="0"/>
    <n v="1"/>
    <n v="1"/>
  </r>
  <r>
    <n v="647"/>
    <x v="29"/>
    <x v="5"/>
    <x v="1"/>
    <x v="0"/>
    <x v="1"/>
    <x v="0"/>
    <n v="0.14000000000000001"/>
    <x v="1"/>
    <n v="0.21210000000000001"/>
    <n v="0.86"/>
    <n v="0"/>
    <n v="0"/>
    <n v="3"/>
    <n v="3"/>
  </r>
  <r>
    <n v="648"/>
    <x v="29"/>
    <x v="7"/>
    <x v="1"/>
    <x v="0"/>
    <x v="1"/>
    <x v="0"/>
    <n v="0.14000000000000001"/>
    <x v="1"/>
    <n v="0.21210000000000001"/>
    <n v="0.86"/>
    <n v="0"/>
    <n v="0"/>
    <n v="3"/>
    <n v="3"/>
  </r>
  <r>
    <n v="649"/>
    <x v="29"/>
    <x v="8"/>
    <x v="1"/>
    <x v="0"/>
    <x v="1"/>
    <x v="1"/>
    <n v="0.14000000000000001"/>
    <x v="1"/>
    <n v="0.21210000000000001"/>
    <n v="0.86"/>
    <n v="0"/>
    <n v="1"/>
    <n v="11"/>
    <n v="12"/>
  </r>
  <r>
    <n v="650"/>
    <x v="29"/>
    <x v="9"/>
    <x v="1"/>
    <x v="0"/>
    <x v="1"/>
    <x v="1"/>
    <n v="0.16"/>
    <x v="1"/>
    <n v="0.2273"/>
    <n v="0.8"/>
    <n v="0"/>
    <n v="4"/>
    <n v="34"/>
    <n v="38"/>
  </r>
  <r>
    <n v="651"/>
    <x v="29"/>
    <x v="10"/>
    <x v="1"/>
    <x v="0"/>
    <x v="1"/>
    <x v="1"/>
    <n v="0.18"/>
    <x v="1"/>
    <n v="0.2424"/>
    <n v="0.8"/>
    <n v="0"/>
    <n v="7"/>
    <n v="57"/>
    <n v="64"/>
  </r>
  <r>
    <n v="652"/>
    <x v="29"/>
    <x v="11"/>
    <x v="1"/>
    <x v="0"/>
    <x v="1"/>
    <x v="0"/>
    <n v="0.22"/>
    <x v="0"/>
    <n v="0.2727"/>
    <n v="0.75"/>
    <n v="0"/>
    <n v="9"/>
    <n v="50"/>
    <n v="59"/>
  </r>
  <r>
    <n v="653"/>
    <x v="29"/>
    <x v="12"/>
    <x v="2"/>
    <x v="0"/>
    <x v="1"/>
    <x v="0"/>
    <n v="0.3"/>
    <x v="0"/>
    <n v="0.31819999999999998"/>
    <n v="0.52"/>
    <n v="0.1045"/>
    <n v="10"/>
    <n v="87"/>
    <n v="97"/>
  </r>
  <r>
    <n v="654"/>
    <x v="29"/>
    <x v="13"/>
    <x v="2"/>
    <x v="0"/>
    <x v="1"/>
    <x v="0"/>
    <n v="0.28000000000000003"/>
    <x v="0"/>
    <n v="0.28789999999999999"/>
    <n v="0.61"/>
    <n v="0.1045"/>
    <n v="13"/>
    <n v="71"/>
    <n v="84"/>
  </r>
  <r>
    <n v="655"/>
    <x v="29"/>
    <x v="14"/>
    <x v="2"/>
    <x v="0"/>
    <x v="1"/>
    <x v="0"/>
    <n v="0.28000000000000003"/>
    <x v="0"/>
    <n v="0.30299999999999999"/>
    <n v="0.61"/>
    <n v="8.9599999999999999E-2"/>
    <n v="18"/>
    <n v="104"/>
    <n v="122"/>
  </r>
  <r>
    <n v="656"/>
    <x v="29"/>
    <x v="15"/>
    <x v="2"/>
    <x v="0"/>
    <x v="1"/>
    <x v="0"/>
    <n v="0.3"/>
    <x v="0"/>
    <n v="0.33329999999999999"/>
    <n v="0.56000000000000005"/>
    <n v="0"/>
    <n v="14"/>
    <n v="95"/>
    <n v="109"/>
  </r>
  <r>
    <n v="657"/>
    <x v="29"/>
    <x v="16"/>
    <x v="2"/>
    <x v="0"/>
    <x v="1"/>
    <x v="0"/>
    <n v="0.3"/>
    <x v="0"/>
    <n v="0.33329999999999999"/>
    <n v="0.56000000000000005"/>
    <n v="0"/>
    <n v="19"/>
    <n v="104"/>
    <n v="123"/>
  </r>
  <r>
    <n v="658"/>
    <x v="29"/>
    <x v="17"/>
    <x v="3"/>
    <x v="0"/>
    <x v="1"/>
    <x v="0"/>
    <n v="0.3"/>
    <x v="0"/>
    <n v="0.28789999999999999"/>
    <n v="0.56000000000000005"/>
    <n v="0.19400000000000001"/>
    <n v="6"/>
    <n v="71"/>
    <n v="77"/>
  </r>
  <r>
    <n v="659"/>
    <x v="29"/>
    <x v="18"/>
    <x v="3"/>
    <x v="0"/>
    <x v="1"/>
    <x v="0"/>
    <n v="0.26"/>
    <x v="0"/>
    <n v="0.2576"/>
    <n v="0.65"/>
    <n v="0.16420000000000001"/>
    <n v="8"/>
    <n v="57"/>
    <n v="65"/>
  </r>
  <r>
    <n v="660"/>
    <x v="29"/>
    <x v="19"/>
    <x v="3"/>
    <x v="0"/>
    <x v="1"/>
    <x v="0"/>
    <n v="0.26"/>
    <x v="0"/>
    <n v="0.2576"/>
    <n v="0.65"/>
    <n v="0.19400000000000001"/>
    <n v="9"/>
    <n v="46"/>
    <n v="55"/>
  </r>
  <r>
    <n v="661"/>
    <x v="29"/>
    <x v="20"/>
    <x v="3"/>
    <x v="0"/>
    <x v="1"/>
    <x v="1"/>
    <n v="0.26"/>
    <x v="0"/>
    <n v="0.2727"/>
    <n v="0.65"/>
    <n v="0.1045"/>
    <n v="3"/>
    <n v="30"/>
    <n v="33"/>
  </r>
  <r>
    <n v="662"/>
    <x v="29"/>
    <x v="21"/>
    <x v="0"/>
    <x v="0"/>
    <x v="1"/>
    <x v="1"/>
    <n v="0.24"/>
    <x v="0"/>
    <n v="0.2424"/>
    <n v="0.7"/>
    <n v="0.16420000000000001"/>
    <n v="3"/>
    <n v="25"/>
    <n v="28"/>
  </r>
  <r>
    <n v="663"/>
    <x v="29"/>
    <x v="22"/>
    <x v="0"/>
    <x v="0"/>
    <x v="1"/>
    <x v="1"/>
    <n v="0.24"/>
    <x v="0"/>
    <n v="0.2273"/>
    <n v="0.7"/>
    <n v="0.19400000000000001"/>
    <n v="2"/>
    <n v="19"/>
    <n v="21"/>
  </r>
  <r>
    <n v="664"/>
    <x v="29"/>
    <x v="23"/>
    <x v="0"/>
    <x v="0"/>
    <x v="1"/>
    <x v="1"/>
    <n v="0.24"/>
    <x v="0"/>
    <n v="0.21210000000000001"/>
    <n v="0.65"/>
    <n v="0.28360000000000002"/>
    <n v="5"/>
    <n v="16"/>
    <n v="21"/>
  </r>
  <r>
    <n v="665"/>
    <x v="30"/>
    <x v="0"/>
    <x v="0"/>
    <x v="0"/>
    <x v="2"/>
    <x v="1"/>
    <n v="0.24"/>
    <x v="0"/>
    <n v="0.2273"/>
    <n v="0.65"/>
    <n v="0.22389999999999999"/>
    <n v="1"/>
    <n v="6"/>
    <n v="7"/>
  </r>
  <r>
    <n v="666"/>
    <x v="30"/>
    <x v="1"/>
    <x v="0"/>
    <x v="0"/>
    <x v="2"/>
    <x v="0"/>
    <n v="0.22"/>
    <x v="0"/>
    <n v="0.21210000000000001"/>
    <n v="0.64"/>
    <n v="0.25369999999999998"/>
    <n v="2"/>
    <n v="5"/>
    <n v="7"/>
  </r>
  <r>
    <n v="667"/>
    <x v="30"/>
    <x v="2"/>
    <x v="0"/>
    <x v="0"/>
    <x v="2"/>
    <x v="0"/>
    <n v="0.22"/>
    <x v="0"/>
    <n v="0.2273"/>
    <n v="0.64"/>
    <n v="0.19400000000000001"/>
    <n v="0"/>
    <n v="1"/>
    <n v="1"/>
  </r>
  <r>
    <n v="668"/>
    <x v="30"/>
    <x v="3"/>
    <x v="0"/>
    <x v="0"/>
    <x v="2"/>
    <x v="0"/>
    <n v="0.22"/>
    <x v="0"/>
    <n v="0.2273"/>
    <n v="0.64"/>
    <n v="0.19400000000000001"/>
    <n v="0"/>
    <n v="2"/>
    <n v="2"/>
  </r>
  <r>
    <n v="669"/>
    <x v="30"/>
    <x v="4"/>
    <x v="0"/>
    <x v="0"/>
    <x v="2"/>
    <x v="0"/>
    <n v="0.2"/>
    <x v="1"/>
    <n v="0.19700000000000001"/>
    <n v="0.59"/>
    <n v="0.22389999999999999"/>
    <n v="0"/>
    <n v="2"/>
    <n v="2"/>
  </r>
  <r>
    <n v="670"/>
    <x v="30"/>
    <x v="5"/>
    <x v="1"/>
    <x v="0"/>
    <x v="2"/>
    <x v="0"/>
    <n v="0.18"/>
    <x v="1"/>
    <n v="0.16669999999999999"/>
    <n v="0.64"/>
    <n v="0.28360000000000002"/>
    <n v="0"/>
    <n v="8"/>
    <n v="8"/>
  </r>
  <r>
    <n v="671"/>
    <x v="30"/>
    <x v="6"/>
    <x v="1"/>
    <x v="0"/>
    <x v="2"/>
    <x v="0"/>
    <n v="0.16"/>
    <x v="1"/>
    <n v="0.13639999999999999"/>
    <n v="0.69"/>
    <n v="0.32840000000000003"/>
    <n v="0"/>
    <n v="37"/>
    <n v="37"/>
  </r>
  <r>
    <n v="672"/>
    <x v="30"/>
    <x v="7"/>
    <x v="1"/>
    <x v="0"/>
    <x v="2"/>
    <x v="1"/>
    <n v="0.16"/>
    <x v="1"/>
    <n v="0.13639999999999999"/>
    <n v="0.64"/>
    <n v="0.28360000000000002"/>
    <n v="1"/>
    <n v="71"/>
    <n v="72"/>
  </r>
  <r>
    <n v="673"/>
    <x v="30"/>
    <x v="8"/>
    <x v="1"/>
    <x v="0"/>
    <x v="2"/>
    <x v="1"/>
    <n v="0.16"/>
    <x v="1"/>
    <n v="0.13639999999999999"/>
    <n v="0.59"/>
    <n v="0.28360000000000002"/>
    <n v="3"/>
    <n v="182"/>
    <n v="185"/>
  </r>
  <r>
    <n v="674"/>
    <x v="30"/>
    <x v="9"/>
    <x v="1"/>
    <x v="0"/>
    <x v="2"/>
    <x v="1"/>
    <n v="0.16"/>
    <x v="1"/>
    <n v="0.13639999999999999"/>
    <n v="0.59"/>
    <n v="0.29849999999999999"/>
    <n v="0"/>
    <n v="112"/>
    <n v="112"/>
  </r>
  <r>
    <n v="675"/>
    <x v="30"/>
    <x v="10"/>
    <x v="1"/>
    <x v="0"/>
    <x v="2"/>
    <x v="1"/>
    <n v="0.16"/>
    <x v="1"/>
    <n v="0.1515"/>
    <n v="0.59"/>
    <n v="0.19400000000000001"/>
    <n v="1"/>
    <n v="68"/>
    <n v="69"/>
  </r>
  <r>
    <n v="676"/>
    <x v="30"/>
    <x v="11"/>
    <x v="1"/>
    <x v="0"/>
    <x v="2"/>
    <x v="1"/>
    <n v="0.16"/>
    <x v="1"/>
    <n v="0.1515"/>
    <n v="0.59"/>
    <n v="0.19400000000000001"/>
    <n v="2"/>
    <n v="46"/>
    <n v="48"/>
  </r>
  <r>
    <n v="677"/>
    <x v="30"/>
    <x v="12"/>
    <x v="2"/>
    <x v="0"/>
    <x v="2"/>
    <x v="1"/>
    <n v="0.18"/>
    <x v="1"/>
    <n v="0.21210000000000001"/>
    <n v="0.55000000000000004"/>
    <n v="0.1045"/>
    <n v="6"/>
    <n v="62"/>
    <n v="68"/>
  </r>
  <r>
    <n v="678"/>
    <x v="30"/>
    <x v="13"/>
    <x v="2"/>
    <x v="0"/>
    <x v="2"/>
    <x v="1"/>
    <n v="0.16"/>
    <x v="1"/>
    <n v="0.2273"/>
    <n v="0.59"/>
    <n v="0"/>
    <n v="2"/>
    <n v="52"/>
    <n v="54"/>
  </r>
  <r>
    <n v="679"/>
    <x v="30"/>
    <x v="14"/>
    <x v="2"/>
    <x v="0"/>
    <x v="2"/>
    <x v="1"/>
    <n v="0.18"/>
    <x v="1"/>
    <n v="0.19700000000000001"/>
    <n v="0.55000000000000004"/>
    <n v="0.1343"/>
    <n v="1"/>
    <n v="85"/>
    <n v="86"/>
  </r>
  <r>
    <n v="680"/>
    <x v="30"/>
    <x v="15"/>
    <x v="2"/>
    <x v="0"/>
    <x v="2"/>
    <x v="1"/>
    <n v="0.16"/>
    <x v="1"/>
    <n v="0.18179999999999999"/>
    <n v="0.59"/>
    <n v="0.1343"/>
    <n v="3"/>
    <n v="41"/>
    <n v="44"/>
  </r>
  <r>
    <n v="681"/>
    <x v="30"/>
    <x v="16"/>
    <x v="2"/>
    <x v="0"/>
    <x v="2"/>
    <x v="1"/>
    <n v="0.16"/>
    <x v="1"/>
    <n v="0.18179999999999999"/>
    <n v="0.56000000000000005"/>
    <n v="0.19400000000000001"/>
    <n v="3"/>
    <n v="83"/>
    <n v="86"/>
  </r>
  <r>
    <n v="682"/>
    <x v="30"/>
    <x v="17"/>
    <x v="3"/>
    <x v="0"/>
    <x v="2"/>
    <x v="1"/>
    <n v="0.16"/>
    <x v="1"/>
    <n v="0.1515"/>
    <n v="0.59"/>
    <n v="0.19400000000000001"/>
    <n v="6"/>
    <n v="155"/>
    <n v="161"/>
  </r>
  <r>
    <n v="683"/>
    <x v="30"/>
    <x v="18"/>
    <x v="3"/>
    <x v="0"/>
    <x v="2"/>
    <x v="1"/>
    <n v="0.16"/>
    <x v="1"/>
    <n v="0.1515"/>
    <n v="0.55000000000000004"/>
    <n v="0.22389999999999999"/>
    <n v="3"/>
    <n v="153"/>
    <n v="156"/>
  </r>
  <r>
    <n v="684"/>
    <x v="30"/>
    <x v="19"/>
    <x v="3"/>
    <x v="0"/>
    <x v="2"/>
    <x v="0"/>
    <n v="0.3"/>
    <x v="0"/>
    <n v="0.31819999999999998"/>
    <n v="0.61"/>
    <n v="0.1045"/>
    <n v="3"/>
    <n v="108"/>
    <n v="111"/>
  </r>
  <r>
    <n v="685"/>
    <x v="30"/>
    <x v="20"/>
    <x v="3"/>
    <x v="0"/>
    <x v="2"/>
    <x v="2"/>
    <n v="0.16"/>
    <x v="1"/>
    <n v="0.16669999999999999"/>
    <n v="0.59"/>
    <n v="0.16420000000000001"/>
    <n v="0"/>
    <n v="78"/>
    <n v="78"/>
  </r>
  <r>
    <n v="686"/>
    <x v="30"/>
    <x v="21"/>
    <x v="0"/>
    <x v="0"/>
    <x v="2"/>
    <x v="2"/>
    <n v="0.16"/>
    <x v="1"/>
    <n v="0.19700000000000001"/>
    <n v="0.59"/>
    <n v="8.9599999999999999E-2"/>
    <n v="3"/>
    <n v="53"/>
    <n v="56"/>
  </r>
  <r>
    <n v="687"/>
    <x v="30"/>
    <x v="22"/>
    <x v="0"/>
    <x v="0"/>
    <x v="2"/>
    <x v="1"/>
    <n v="0.16"/>
    <x v="1"/>
    <n v="0.18179999999999999"/>
    <n v="0.59"/>
    <n v="0.1045"/>
    <n v="0"/>
    <n v="34"/>
    <n v="34"/>
  </r>
  <r>
    <n v="688"/>
    <x v="30"/>
    <x v="23"/>
    <x v="0"/>
    <x v="0"/>
    <x v="2"/>
    <x v="1"/>
    <n v="0.16"/>
    <x v="1"/>
    <n v="0.19700000000000001"/>
    <n v="0.64"/>
    <n v="8.9599999999999999E-2"/>
    <n v="2"/>
    <n v="15"/>
    <n v="17"/>
  </r>
  <r>
    <n v="689"/>
    <x v="31"/>
    <x v="0"/>
    <x v="0"/>
    <x v="0"/>
    <x v="3"/>
    <x v="1"/>
    <n v="0.16"/>
    <x v="1"/>
    <n v="0.18179999999999999"/>
    <n v="0.64"/>
    <n v="0.1045"/>
    <n v="2"/>
    <n v="6"/>
    <n v="8"/>
  </r>
  <r>
    <n v="690"/>
    <x v="31"/>
    <x v="1"/>
    <x v="0"/>
    <x v="0"/>
    <x v="3"/>
    <x v="1"/>
    <n v="0.16"/>
    <x v="1"/>
    <n v="0.18179999999999999"/>
    <n v="0.69"/>
    <n v="0.1045"/>
    <n v="0"/>
    <n v="3"/>
    <n v="3"/>
  </r>
  <r>
    <n v="691"/>
    <x v="31"/>
    <x v="2"/>
    <x v="0"/>
    <x v="0"/>
    <x v="3"/>
    <x v="1"/>
    <n v="0.16"/>
    <x v="1"/>
    <n v="0.2273"/>
    <n v="0.69"/>
    <n v="0"/>
    <n v="0"/>
    <n v="2"/>
    <n v="2"/>
  </r>
  <r>
    <n v="692"/>
    <x v="31"/>
    <x v="3"/>
    <x v="0"/>
    <x v="0"/>
    <x v="3"/>
    <x v="1"/>
    <n v="0.16"/>
    <x v="1"/>
    <n v="0.2273"/>
    <n v="0.69"/>
    <n v="0"/>
    <n v="0"/>
    <n v="2"/>
    <n v="2"/>
  </r>
  <r>
    <n v="693"/>
    <x v="31"/>
    <x v="5"/>
    <x v="1"/>
    <x v="0"/>
    <x v="3"/>
    <x v="2"/>
    <n v="0.14000000000000001"/>
    <x v="1"/>
    <n v="0.21210000000000001"/>
    <n v="0.93"/>
    <n v="0"/>
    <n v="0"/>
    <n v="3"/>
    <n v="3"/>
  </r>
  <r>
    <n v="694"/>
    <x v="31"/>
    <x v="6"/>
    <x v="1"/>
    <x v="0"/>
    <x v="3"/>
    <x v="2"/>
    <n v="0.14000000000000001"/>
    <x v="1"/>
    <n v="0.21210000000000001"/>
    <n v="0.93"/>
    <n v="0"/>
    <n v="0"/>
    <n v="22"/>
    <n v="22"/>
  </r>
  <r>
    <n v="695"/>
    <x v="31"/>
    <x v="7"/>
    <x v="1"/>
    <x v="0"/>
    <x v="3"/>
    <x v="2"/>
    <n v="0.16"/>
    <x v="1"/>
    <n v="0.2273"/>
    <n v="0.93"/>
    <n v="0"/>
    <n v="0"/>
    <n v="52"/>
    <n v="52"/>
  </r>
  <r>
    <n v="696"/>
    <x v="31"/>
    <x v="8"/>
    <x v="1"/>
    <x v="0"/>
    <x v="3"/>
    <x v="2"/>
    <n v="0.16"/>
    <x v="1"/>
    <n v="0.2273"/>
    <n v="0.93"/>
    <n v="0"/>
    <n v="3"/>
    <n v="132"/>
    <n v="135"/>
  </r>
  <r>
    <n v="697"/>
    <x v="31"/>
    <x v="9"/>
    <x v="1"/>
    <x v="0"/>
    <x v="3"/>
    <x v="1"/>
    <n v="0.16"/>
    <x v="1"/>
    <n v="0.2273"/>
    <n v="0.93"/>
    <n v="0"/>
    <n v="2"/>
    <n v="114"/>
    <n v="116"/>
  </r>
  <r>
    <n v="698"/>
    <x v="31"/>
    <x v="10"/>
    <x v="1"/>
    <x v="0"/>
    <x v="3"/>
    <x v="1"/>
    <n v="0.16"/>
    <x v="1"/>
    <n v="0.2273"/>
    <n v="0.93"/>
    <n v="0"/>
    <n v="0"/>
    <n v="47"/>
    <n v="47"/>
  </r>
  <r>
    <n v="699"/>
    <x v="31"/>
    <x v="11"/>
    <x v="1"/>
    <x v="0"/>
    <x v="3"/>
    <x v="1"/>
    <n v="0.18"/>
    <x v="1"/>
    <n v="0.2424"/>
    <n v="0.86"/>
    <n v="0"/>
    <n v="2"/>
    <n v="49"/>
    <n v="51"/>
  </r>
  <r>
    <n v="700"/>
    <x v="31"/>
    <x v="12"/>
    <x v="2"/>
    <x v="0"/>
    <x v="3"/>
    <x v="1"/>
    <n v="0.2"/>
    <x v="1"/>
    <n v="0.2576"/>
    <n v="0.86"/>
    <n v="0"/>
    <n v="2"/>
    <n v="53"/>
    <n v="55"/>
  </r>
  <r>
    <n v="701"/>
    <x v="31"/>
    <x v="13"/>
    <x v="2"/>
    <x v="0"/>
    <x v="3"/>
    <x v="1"/>
    <n v="0.2"/>
    <x v="1"/>
    <n v="0.2576"/>
    <n v="0.86"/>
    <n v="0"/>
    <n v="3"/>
    <n v="49"/>
    <n v="52"/>
  </r>
  <r>
    <n v="702"/>
    <x v="31"/>
    <x v="14"/>
    <x v="2"/>
    <x v="0"/>
    <x v="3"/>
    <x v="1"/>
    <n v="0.22"/>
    <x v="0"/>
    <n v="0.2576"/>
    <n v="0.8"/>
    <n v="8.9599999999999999E-2"/>
    <n v="5"/>
    <n v="49"/>
    <n v="54"/>
  </r>
  <r>
    <n v="703"/>
    <x v="31"/>
    <x v="15"/>
    <x v="2"/>
    <x v="0"/>
    <x v="3"/>
    <x v="1"/>
    <n v="0.24"/>
    <x v="0"/>
    <n v="0.28789999999999999"/>
    <n v="0.75"/>
    <n v="0"/>
    <n v="7"/>
    <n v="45"/>
    <n v="52"/>
  </r>
  <r>
    <n v="704"/>
    <x v="31"/>
    <x v="16"/>
    <x v="2"/>
    <x v="0"/>
    <x v="3"/>
    <x v="1"/>
    <n v="0.24"/>
    <x v="0"/>
    <n v="0.2424"/>
    <n v="0.75"/>
    <n v="0.1343"/>
    <n v="3"/>
    <n v="61"/>
    <n v="64"/>
  </r>
  <r>
    <n v="705"/>
    <x v="31"/>
    <x v="17"/>
    <x v="3"/>
    <x v="0"/>
    <x v="3"/>
    <x v="1"/>
    <n v="0.24"/>
    <x v="0"/>
    <n v="0.28789999999999999"/>
    <n v="0.75"/>
    <n v="0"/>
    <n v="4"/>
    <n v="172"/>
    <n v="176"/>
  </r>
  <r>
    <n v="706"/>
    <x v="31"/>
    <x v="18"/>
    <x v="3"/>
    <x v="0"/>
    <x v="3"/>
    <x v="1"/>
    <n v="0.24"/>
    <x v="0"/>
    <n v="0.2576"/>
    <n v="0.81"/>
    <n v="0.1045"/>
    <n v="3"/>
    <n v="165"/>
    <n v="168"/>
  </r>
  <r>
    <n v="707"/>
    <x v="31"/>
    <x v="19"/>
    <x v="3"/>
    <x v="0"/>
    <x v="3"/>
    <x v="1"/>
    <n v="0.24"/>
    <x v="0"/>
    <n v="0.2424"/>
    <n v="0.81"/>
    <n v="0.1343"/>
    <n v="3"/>
    <n v="105"/>
    <n v="108"/>
  </r>
  <r>
    <n v="708"/>
    <x v="31"/>
    <x v="20"/>
    <x v="3"/>
    <x v="0"/>
    <x v="3"/>
    <x v="1"/>
    <n v="0.22"/>
    <x v="0"/>
    <n v="0.2273"/>
    <n v="0.87"/>
    <n v="0.1343"/>
    <n v="5"/>
    <n v="69"/>
    <n v="74"/>
  </r>
  <r>
    <n v="709"/>
    <x v="31"/>
    <x v="21"/>
    <x v="0"/>
    <x v="0"/>
    <x v="3"/>
    <x v="1"/>
    <n v="0.22"/>
    <x v="0"/>
    <n v="0.2273"/>
    <n v="0.87"/>
    <n v="0.1343"/>
    <n v="0"/>
    <n v="64"/>
    <n v="64"/>
  </r>
  <r>
    <n v="710"/>
    <x v="31"/>
    <x v="22"/>
    <x v="0"/>
    <x v="0"/>
    <x v="3"/>
    <x v="1"/>
    <n v="0.22"/>
    <x v="0"/>
    <n v="0.2576"/>
    <n v="0.87"/>
    <n v="8.9599999999999999E-2"/>
    <n v="2"/>
    <n v="34"/>
    <n v="36"/>
  </r>
  <r>
    <n v="711"/>
    <x v="31"/>
    <x v="23"/>
    <x v="0"/>
    <x v="0"/>
    <x v="3"/>
    <x v="2"/>
    <n v="0.2"/>
    <x v="1"/>
    <n v="0.19700000000000001"/>
    <n v="0.93"/>
    <n v="0.19400000000000001"/>
    <n v="1"/>
    <n v="15"/>
    <n v="16"/>
  </r>
  <r>
    <n v="712"/>
    <x v="32"/>
    <x v="0"/>
    <x v="0"/>
    <x v="0"/>
    <x v="4"/>
    <x v="2"/>
    <n v="0.22"/>
    <x v="0"/>
    <n v="0.2424"/>
    <n v="0.93"/>
    <n v="0.1045"/>
    <n v="0"/>
    <n v="2"/>
    <n v="2"/>
  </r>
  <r>
    <n v="713"/>
    <x v="32"/>
    <x v="1"/>
    <x v="0"/>
    <x v="0"/>
    <x v="4"/>
    <x v="2"/>
    <n v="0.22"/>
    <x v="0"/>
    <n v="0.2273"/>
    <n v="0.93"/>
    <n v="0.19400000000000001"/>
    <n v="0"/>
    <n v="3"/>
    <n v="3"/>
  </r>
  <r>
    <n v="714"/>
    <x v="32"/>
    <x v="2"/>
    <x v="0"/>
    <x v="0"/>
    <x v="4"/>
    <x v="2"/>
    <n v="0.22"/>
    <x v="0"/>
    <n v="0.2273"/>
    <n v="0.93"/>
    <n v="0.1343"/>
    <n v="4"/>
    <n v="0"/>
    <n v="4"/>
  </r>
  <r>
    <n v="715"/>
    <x v="32"/>
    <x v="3"/>
    <x v="0"/>
    <x v="0"/>
    <x v="4"/>
    <x v="2"/>
    <n v="0.22"/>
    <x v="0"/>
    <n v="0.2273"/>
    <n v="0.93"/>
    <n v="0.1343"/>
    <n v="0"/>
    <n v="1"/>
    <n v="1"/>
  </r>
  <r>
    <n v="716"/>
    <x v="32"/>
    <x v="4"/>
    <x v="0"/>
    <x v="0"/>
    <x v="4"/>
    <x v="2"/>
    <n v="0.22"/>
    <x v="0"/>
    <n v="0.21210000000000001"/>
    <n v="0.93"/>
    <n v="0.28360000000000002"/>
    <n v="0"/>
    <n v="1"/>
    <n v="1"/>
  </r>
  <r>
    <n v="717"/>
    <x v="32"/>
    <x v="5"/>
    <x v="1"/>
    <x v="0"/>
    <x v="4"/>
    <x v="2"/>
    <n v="0.22"/>
    <x v="0"/>
    <n v="0.2424"/>
    <n v="0.93"/>
    <n v="0.1045"/>
    <n v="0"/>
    <n v="3"/>
    <n v="3"/>
  </r>
  <r>
    <n v="718"/>
    <x v="32"/>
    <x v="6"/>
    <x v="1"/>
    <x v="0"/>
    <x v="4"/>
    <x v="2"/>
    <n v="0.22"/>
    <x v="0"/>
    <n v="0.2424"/>
    <n v="0.93"/>
    <n v="0.1045"/>
    <n v="1"/>
    <n v="17"/>
    <n v="18"/>
  </r>
  <r>
    <n v="719"/>
    <x v="32"/>
    <x v="7"/>
    <x v="1"/>
    <x v="0"/>
    <x v="4"/>
    <x v="2"/>
    <n v="0.22"/>
    <x v="0"/>
    <n v="0.21210000000000001"/>
    <n v="0.93"/>
    <n v="0.22389999999999999"/>
    <n v="1"/>
    <n v="48"/>
    <n v="49"/>
  </r>
  <r>
    <n v="720"/>
    <x v="32"/>
    <x v="8"/>
    <x v="1"/>
    <x v="0"/>
    <x v="4"/>
    <x v="2"/>
    <n v="0.22"/>
    <x v="0"/>
    <n v="0.21210000000000001"/>
    <n v="0.93"/>
    <n v="0.22389999999999999"/>
    <n v="1"/>
    <n v="154"/>
    <n v="155"/>
  </r>
  <r>
    <n v="721"/>
    <x v="32"/>
    <x v="9"/>
    <x v="1"/>
    <x v="0"/>
    <x v="4"/>
    <x v="1"/>
    <n v="0.24"/>
    <x v="0"/>
    <n v="0.2576"/>
    <n v="0.93"/>
    <n v="8.9599999999999999E-2"/>
    <n v="4"/>
    <n v="119"/>
    <n v="123"/>
  </r>
  <r>
    <n v="722"/>
    <x v="32"/>
    <x v="10"/>
    <x v="1"/>
    <x v="0"/>
    <x v="4"/>
    <x v="1"/>
    <n v="0.22"/>
    <x v="0"/>
    <n v="0.2727"/>
    <n v="1"/>
    <n v="0"/>
    <n v="2"/>
    <n v="59"/>
    <n v="61"/>
  </r>
  <r>
    <n v="723"/>
    <x v="32"/>
    <x v="11"/>
    <x v="1"/>
    <x v="0"/>
    <x v="4"/>
    <x v="1"/>
    <n v="0.24"/>
    <x v="0"/>
    <n v="0.2273"/>
    <n v="0.93"/>
    <n v="0.19400000000000001"/>
    <n v="5"/>
    <n v="47"/>
    <n v="52"/>
  </r>
  <r>
    <n v="724"/>
    <x v="32"/>
    <x v="12"/>
    <x v="2"/>
    <x v="0"/>
    <x v="4"/>
    <x v="1"/>
    <n v="0.24"/>
    <x v="0"/>
    <n v="0.2273"/>
    <n v="0.93"/>
    <n v="0.22389999999999999"/>
    <n v="3"/>
    <n v="61"/>
    <n v="64"/>
  </r>
  <r>
    <n v="725"/>
    <x v="32"/>
    <x v="13"/>
    <x v="2"/>
    <x v="0"/>
    <x v="4"/>
    <x v="0"/>
    <n v="0.34"/>
    <x v="0"/>
    <n v="0.33329999999999999"/>
    <n v="0.93"/>
    <n v="0.16420000000000001"/>
    <n v="1"/>
    <n v="74"/>
    <n v="75"/>
  </r>
  <r>
    <n v="726"/>
    <x v="32"/>
    <x v="14"/>
    <x v="2"/>
    <x v="0"/>
    <x v="4"/>
    <x v="0"/>
    <n v="0.38"/>
    <x v="0"/>
    <n v="0.39389999999999997"/>
    <n v="0.82"/>
    <n v="0.3881"/>
    <n v="2"/>
    <n v="61"/>
    <n v="63"/>
  </r>
  <r>
    <n v="727"/>
    <x v="32"/>
    <x v="15"/>
    <x v="2"/>
    <x v="0"/>
    <x v="4"/>
    <x v="0"/>
    <n v="0.38"/>
    <x v="0"/>
    <n v="0.39389999999999997"/>
    <n v="0.76"/>
    <n v="0.32840000000000003"/>
    <n v="10"/>
    <n v="66"/>
    <n v="76"/>
  </r>
  <r>
    <n v="728"/>
    <x v="32"/>
    <x v="16"/>
    <x v="2"/>
    <x v="0"/>
    <x v="4"/>
    <x v="0"/>
    <n v="0.36"/>
    <x v="0"/>
    <n v="0.33329999999999999"/>
    <n v="0.71"/>
    <n v="0.29849999999999999"/>
    <n v="8"/>
    <n v="95"/>
    <n v="103"/>
  </r>
  <r>
    <n v="729"/>
    <x v="32"/>
    <x v="17"/>
    <x v="3"/>
    <x v="0"/>
    <x v="4"/>
    <x v="0"/>
    <n v="0.36"/>
    <x v="0"/>
    <n v="0.31819999999999998"/>
    <n v="0.53"/>
    <n v="0.52239999999999998"/>
    <n v="7"/>
    <n v="183"/>
    <n v="190"/>
  </r>
  <r>
    <n v="730"/>
    <x v="32"/>
    <x v="18"/>
    <x v="3"/>
    <x v="0"/>
    <x v="4"/>
    <x v="0"/>
    <n v="0.34"/>
    <x v="0"/>
    <n v="0.28789999999999999"/>
    <n v="0.42"/>
    <n v="0.55220000000000002"/>
    <n v="7"/>
    <n v="175"/>
    <n v="182"/>
  </r>
  <r>
    <n v="731"/>
    <x v="32"/>
    <x v="19"/>
    <x v="3"/>
    <x v="0"/>
    <x v="4"/>
    <x v="0"/>
    <n v="0.28000000000000003"/>
    <x v="0"/>
    <n v="0.2424"/>
    <n v="0.45"/>
    <n v="0.49249999999999999"/>
    <n v="3"/>
    <n v="88"/>
    <n v="91"/>
  </r>
  <r>
    <n v="732"/>
    <x v="32"/>
    <x v="20"/>
    <x v="3"/>
    <x v="0"/>
    <x v="4"/>
    <x v="0"/>
    <n v="0.24"/>
    <x v="0"/>
    <n v="0.19700000000000001"/>
    <n v="0.48"/>
    <n v="0.55220000000000002"/>
    <n v="4"/>
    <n v="71"/>
    <n v="75"/>
  </r>
  <r>
    <n v="733"/>
    <x v="32"/>
    <x v="21"/>
    <x v="0"/>
    <x v="0"/>
    <x v="4"/>
    <x v="0"/>
    <n v="0.22"/>
    <x v="0"/>
    <n v="0.19700000000000001"/>
    <n v="0.47"/>
    <n v="0.32840000000000003"/>
    <n v="1"/>
    <n v="62"/>
    <n v="63"/>
  </r>
  <r>
    <n v="734"/>
    <x v="32"/>
    <x v="22"/>
    <x v="0"/>
    <x v="0"/>
    <x v="4"/>
    <x v="0"/>
    <n v="0.22"/>
    <x v="0"/>
    <n v="0.21210000000000001"/>
    <n v="0.44"/>
    <n v="0.25369999999999998"/>
    <n v="5"/>
    <n v="35"/>
    <n v="40"/>
  </r>
  <r>
    <n v="735"/>
    <x v="32"/>
    <x v="23"/>
    <x v="0"/>
    <x v="0"/>
    <x v="4"/>
    <x v="0"/>
    <n v="0.2"/>
    <x v="1"/>
    <n v="0.16669999999999999"/>
    <n v="0.44"/>
    <n v="0.44779999999999998"/>
    <n v="3"/>
    <n v="29"/>
    <n v="32"/>
  </r>
  <r>
    <n v="736"/>
    <x v="33"/>
    <x v="0"/>
    <x v="0"/>
    <x v="0"/>
    <x v="5"/>
    <x v="0"/>
    <n v="0.2"/>
    <x v="1"/>
    <n v="0.16669999999999999"/>
    <n v="0.4"/>
    <n v="0.44779999999999998"/>
    <n v="1"/>
    <n v="11"/>
    <n v="12"/>
  </r>
  <r>
    <n v="737"/>
    <x v="33"/>
    <x v="1"/>
    <x v="0"/>
    <x v="0"/>
    <x v="5"/>
    <x v="0"/>
    <n v="0.2"/>
    <x v="1"/>
    <n v="0.1515"/>
    <n v="0.44"/>
    <n v="0.52239999999999998"/>
    <n v="0"/>
    <n v="5"/>
    <n v="5"/>
  </r>
  <r>
    <n v="738"/>
    <x v="33"/>
    <x v="2"/>
    <x v="0"/>
    <x v="0"/>
    <x v="5"/>
    <x v="0"/>
    <n v="0.18"/>
    <x v="1"/>
    <n v="0.16669999999999999"/>
    <n v="0.43"/>
    <n v="0.25369999999999998"/>
    <n v="0"/>
    <n v="2"/>
    <n v="2"/>
  </r>
  <r>
    <n v="739"/>
    <x v="33"/>
    <x v="3"/>
    <x v="0"/>
    <x v="0"/>
    <x v="5"/>
    <x v="0"/>
    <n v="0.18"/>
    <x v="1"/>
    <n v="0.16669999999999999"/>
    <n v="0.43"/>
    <n v="0.25369999999999998"/>
    <n v="0"/>
    <n v="1"/>
    <n v="1"/>
  </r>
  <r>
    <n v="740"/>
    <x v="33"/>
    <x v="5"/>
    <x v="1"/>
    <x v="0"/>
    <x v="5"/>
    <x v="0"/>
    <n v="0.16"/>
    <x v="1"/>
    <n v="0.13639999999999999"/>
    <n v="0.5"/>
    <n v="0.29849999999999999"/>
    <n v="0"/>
    <n v="2"/>
    <n v="2"/>
  </r>
  <r>
    <n v="741"/>
    <x v="33"/>
    <x v="6"/>
    <x v="1"/>
    <x v="0"/>
    <x v="5"/>
    <x v="0"/>
    <n v="0.16"/>
    <x v="1"/>
    <n v="0.13639999999999999"/>
    <n v="0.43"/>
    <n v="0.35820000000000002"/>
    <n v="0"/>
    <n v="39"/>
    <n v="39"/>
  </r>
  <r>
    <n v="742"/>
    <x v="33"/>
    <x v="7"/>
    <x v="1"/>
    <x v="0"/>
    <x v="5"/>
    <x v="0"/>
    <n v="0.14000000000000001"/>
    <x v="1"/>
    <n v="0.1212"/>
    <n v="0.5"/>
    <n v="0.32840000000000003"/>
    <n v="1"/>
    <n v="86"/>
    <n v="87"/>
  </r>
  <r>
    <n v="743"/>
    <x v="33"/>
    <x v="8"/>
    <x v="1"/>
    <x v="0"/>
    <x v="5"/>
    <x v="0"/>
    <n v="0.14000000000000001"/>
    <x v="1"/>
    <n v="0.1212"/>
    <n v="0.5"/>
    <n v="0.35820000000000002"/>
    <n v="4"/>
    <n v="184"/>
    <n v="188"/>
  </r>
  <r>
    <n v="744"/>
    <x v="33"/>
    <x v="9"/>
    <x v="1"/>
    <x v="0"/>
    <x v="5"/>
    <x v="0"/>
    <n v="0.16"/>
    <x v="1"/>
    <n v="0.13639999999999999"/>
    <n v="0.47"/>
    <n v="0.29849999999999999"/>
    <n v="6"/>
    <n v="127"/>
    <n v="133"/>
  </r>
  <r>
    <n v="745"/>
    <x v="33"/>
    <x v="10"/>
    <x v="1"/>
    <x v="0"/>
    <x v="5"/>
    <x v="0"/>
    <n v="0.18"/>
    <x v="1"/>
    <n v="0.1515"/>
    <n v="0.43"/>
    <n v="0.32840000000000003"/>
    <n v="2"/>
    <n v="50"/>
    <n v="52"/>
  </r>
  <r>
    <n v="746"/>
    <x v="33"/>
    <x v="11"/>
    <x v="1"/>
    <x v="0"/>
    <x v="5"/>
    <x v="0"/>
    <n v="0.18"/>
    <x v="1"/>
    <n v="0.13639999999999999"/>
    <n v="0.43"/>
    <n v="0.44779999999999998"/>
    <n v="9"/>
    <n v="55"/>
    <n v="64"/>
  </r>
  <r>
    <n v="747"/>
    <x v="33"/>
    <x v="12"/>
    <x v="2"/>
    <x v="0"/>
    <x v="5"/>
    <x v="0"/>
    <n v="0.2"/>
    <x v="1"/>
    <n v="0.18179999999999999"/>
    <n v="0.4"/>
    <n v="0.35820000000000002"/>
    <n v="2"/>
    <n v="67"/>
    <n v="69"/>
  </r>
  <r>
    <n v="748"/>
    <x v="33"/>
    <x v="13"/>
    <x v="2"/>
    <x v="0"/>
    <x v="5"/>
    <x v="0"/>
    <n v="0.2"/>
    <x v="1"/>
    <n v="0.16669999999999999"/>
    <n v="0.4"/>
    <n v="0.41789999999999999"/>
    <n v="4"/>
    <n v="47"/>
    <n v="51"/>
  </r>
  <r>
    <n v="749"/>
    <x v="33"/>
    <x v="14"/>
    <x v="2"/>
    <x v="0"/>
    <x v="5"/>
    <x v="0"/>
    <n v="0.22"/>
    <x v="0"/>
    <n v="0.19700000000000001"/>
    <n v="0.37"/>
    <n v="0.3881"/>
    <n v="4"/>
    <n v="43"/>
    <n v="47"/>
  </r>
  <r>
    <n v="750"/>
    <x v="33"/>
    <x v="15"/>
    <x v="2"/>
    <x v="0"/>
    <x v="5"/>
    <x v="0"/>
    <n v="0.22"/>
    <x v="0"/>
    <n v="0.19700000000000001"/>
    <n v="0.37"/>
    <n v="0.32840000000000003"/>
    <n v="4"/>
    <n v="56"/>
    <n v="60"/>
  </r>
  <r>
    <n v="751"/>
    <x v="33"/>
    <x v="16"/>
    <x v="2"/>
    <x v="0"/>
    <x v="5"/>
    <x v="0"/>
    <n v="0.22"/>
    <x v="0"/>
    <n v="0.21210000000000001"/>
    <n v="0.37"/>
    <n v="0.25369999999999998"/>
    <n v="5"/>
    <n v="73"/>
    <n v="78"/>
  </r>
  <r>
    <n v="752"/>
    <x v="33"/>
    <x v="17"/>
    <x v="3"/>
    <x v="0"/>
    <x v="5"/>
    <x v="0"/>
    <n v="0.2"/>
    <x v="1"/>
    <n v="0.19700000000000001"/>
    <n v="0.4"/>
    <n v="0.19400000000000001"/>
    <n v="5"/>
    <n v="170"/>
    <n v="175"/>
  </r>
  <r>
    <n v="753"/>
    <x v="33"/>
    <x v="18"/>
    <x v="3"/>
    <x v="0"/>
    <x v="5"/>
    <x v="0"/>
    <n v="0.2"/>
    <x v="1"/>
    <n v="0.21210000000000001"/>
    <n v="0.4"/>
    <n v="0.16420000000000001"/>
    <n v="2"/>
    <n v="145"/>
    <n v="147"/>
  </r>
  <r>
    <n v="754"/>
    <x v="33"/>
    <x v="19"/>
    <x v="3"/>
    <x v="0"/>
    <x v="5"/>
    <x v="0"/>
    <n v="0.2"/>
    <x v="1"/>
    <n v="0.2576"/>
    <n v="0.4"/>
    <n v="0"/>
    <n v="4"/>
    <n v="92"/>
    <n v="96"/>
  </r>
  <r>
    <n v="755"/>
    <x v="33"/>
    <x v="20"/>
    <x v="3"/>
    <x v="0"/>
    <x v="5"/>
    <x v="0"/>
    <n v="0.2"/>
    <x v="1"/>
    <n v="0.2273"/>
    <n v="0.47"/>
    <n v="8.9599999999999999E-2"/>
    <n v="1"/>
    <n v="108"/>
    <n v="109"/>
  </r>
  <r>
    <n v="756"/>
    <x v="33"/>
    <x v="21"/>
    <x v="0"/>
    <x v="0"/>
    <x v="5"/>
    <x v="0"/>
    <n v="0.18"/>
    <x v="1"/>
    <n v="0.21210000000000001"/>
    <n v="0.55000000000000004"/>
    <n v="0.1045"/>
    <n v="1"/>
    <n v="53"/>
    <n v="54"/>
  </r>
  <r>
    <n v="757"/>
    <x v="33"/>
    <x v="22"/>
    <x v="0"/>
    <x v="0"/>
    <x v="5"/>
    <x v="0"/>
    <n v="0.18"/>
    <x v="1"/>
    <n v="0.21210000000000001"/>
    <n v="0.51"/>
    <n v="8.9599999999999999E-2"/>
    <n v="2"/>
    <n v="39"/>
    <n v="41"/>
  </r>
  <r>
    <n v="758"/>
    <x v="33"/>
    <x v="23"/>
    <x v="0"/>
    <x v="0"/>
    <x v="5"/>
    <x v="0"/>
    <n v="0.2"/>
    <x v="1"/>
    <n v="0.2273"/>
    <n v="0.47"/>
    <n v="0.1045"/>
    <n v="4"/>
    <n v="34"/>
    <n v="38"/>
  </r>
  <r>
    <n v="759"/>
    <x v="34"/>
    <x v="0"/>
    <x v="0"/>
    <x v="0"/>
    <x v="6"/>
    <x v="1"/>
    <n v="0.2"/>
    <x v="1"/>
    <n v="0.2576"/>
    <n v="0.44"/>
    <n v="0"/>
    <n v="3"/>
    <n v="10"/>
    <n v="13"/>
  </r>
  <r>
    <n v="760"/>
    <x v="34"/>
    <x v="1"/>
    <x v="0"/>
    <x v="0"/>
    <x v="6"/>
    <x v="1"/>
    <n v="0.16"/>
    <x v="1"/>
    <n v="0.2273"/>
    <n v="0.59"/>
    <n v="0"/>
    <n v="0"/>
    <n v="7"/>
    <n v="7"/>
  </r>
  <r>
    <n v="761"/>
    <x v="34"/>
    <x v="2"/>
    <x v="0"/>
    <x v="0"/>
    <x v="6"/>
    <x v="1"/>
    <n v="0.14000000000000001"/>
    <x v="1"/>
    <n v="0.16669999999999999"/>
    <n v="0.63"/>
    <n v="0.1045"/>
    <n v="0"/>
    <n v="1"/>
    <n v="1"/>
  </r>
  <r>
    <n v="762"/>
    <x v="34"/>
    <x v="3"/>
    <x v="0"/>
    <x v="0"/>
    <x v="6"/>
    <x v="1"/>
    <n v="0.14000000000000001"/>
    <x v="1"/>
    <n v="0.16669999999999999"/>
    <n v="0.63"/>
    <n v="0.1045"/>
    <n v="0"/>
    <n v="1"/>
    <n v="1"/>
  </r>
  <r>
    <n v="763"/>
    <x v="34"/>
    <x v="5"/>
    <x v="1"/>
    <x v="0"/>
    <x v="6"/>
    <x v="1"/>
    <n v="0.14000000000000001"/>
    <x v="1"/>
    <n v="0.1515"/>
    <n v="0.63"/>
    <n v="0.1343"/>
    <n v="0"/>
    <n v="7"/>
    <n v="7"/>
  </r>
  <r>
    <n v="764"/>
    <x v="34"/>
    <x v="6"/>
    <x v="1"/>
    <x v="0"/>
    <x v="6"/>
    <x v="1"/>
    <n v="0.16"/>
    <x v="1"/>
    <n v="0.2273"/>
    <n v="0.55000000000000004"/>
    <n v="0"/>
    <n v="2"/>
    <n v="26"/>
    <n v="28"/>
  </r>
  <r>
    <n v="765"/>
    <x v="34"/>
    <x v="7"/>
    <x v="1"/>
    <x v="0"/>
    <x v="6"/>
    <x v="0"/>
    <n v="0.14000000000000001"/>
    <x v="1"/>
    <n v="0.21210000000000001"/>
    <n v="0.59"/>
    <n v="0"/>
    <n v="0"/>
    <n v="87"/>
    <n v="87"/>
  </r>
  <r>
    <n v="766"/>
    <x v="34"/>
    <x v="8"/>
    <x v="1"/>
    <x v="0"/>
    <x v="6"/>
    <x v="0"/>
    <n v="0.14000000000000001"/>
    <x v="1"/>
    <n v="0.1515"/>
    <n v="0.74"/>
    <n v="0.1343"/>
    <n v="3"/>
    <n v="217"/>
    <n v="220"/>
  </r>
  <r>
    <n v="767"/>
    <x v="34"/>
    <x v="9"/>
    <x v="1"/>
    <x v="0"/>
    <x v="6"/>
    <x v="1"/>
    <n v="0.16"/>
    <x v="1"/>
    <n v="0.18179999999999999"/>
    <n v="0.8"/>
    <n v="0.1343"/>
    <n v="3"/>
    <n v="124"/>
    <n v="127"/>
  </r>
  <r>
    <n v="768"/>
    <x v="34"/>
    <x v="10"/>
    <x v="1"/>
    <x v="0"/>
    <x v="6"/>
    <x v="1"/>
    <n v="0.2"/>
    <x v="1"/>
    <n v="0.21210000000000001"/>
    <n v="0.51"/>
    <n v="0.1343"/>
    <n v="5"/>
    <n v="46"/>
    <n v="51"/>
  </r>
  <r>
    <n v="769"/>
    <x v="34"/>
    <x v="11"/>
    <x v="1"/>
    <x v="0"/>
    <x v="6"/>
    <x v="0"/>
    <n v="0.22"/>
    <x v="0"/>
    <n v="0.2273"/>
    <n v="0.51"/>
    <n v="0.16420000000000001"/>
    <n v="3"/>
    <n v="61"/>
    <n v="64"/>
  </r>
  <r>
    <n v="770"/>
    <x v="34"/>
    <x v="12"/>
    <x v="2"/>
    <x v="0"/>
    <x v="6"/>
    <x v="1"/>
    <n v="0.24"/>
    <x v="0"/>
    <n v="0.2424"/>
    <n v="0.48"/>
    <n v="0.16420000000000001"/>
    <n v="8"/>
    <n v="78"/>
    <n v="86"/>
  </r>
  <r>
    <n v="771"/>
    <x v="34"/>
    <x v="13"/>
    <x v="2"/>
    <x v="0"/>
    <x v="6"/>
    <x v="1"/>
    <n v="0.26"/>
    <x v="0"/>
    <n v="0.2576"/>
    <n v="0.5"/>
    <n v="0.22389999999999999"/>
    <n v="9"/>
    <n v="73"/>
    <n v="82"/>
  </r>
  <r>
    <n v="772"/>
    <x v="34"/>
    <x v="14"/>
    <x v="2"/>
    <x v="0"/>
    <x v="6"/>
    <x v="1"/>
    <n v="0.28000000000000003"/>
    <x v="0"/>
    <n v="0.2727"/>
    <n v="0.45"/>
    <n v="0.16420000000000001"/>
    <n v="15"/>
    <n v="76"/>
    <n v="91"/>
  </r>
  <r>
    <n v="773"/>
    <x v="34"/>
    <x v="15"/>
    <x v="2"/>
    <x v="0"/>
    <x v="6"/>
    <x v="1"/>
    <n v="0.28000000000000003"/>
    <x v="0"/>
    <n v="0.2727"/>
    <n v="0.48"/>
    <n v="0.25369999999999998"/>
    <n v="9"/>
    <n v="81"/>
    <n v="90"/>
  </r>
  <r>
    <n v="774"/>
    <x v="34"/>
    <x v="16"/>
    <x v="2"/>
    <x v="0"/>
    <x v="6"/>
    <x v="1"/>
    <n v="0.3"/>
    <x v="0"/>
    <n v="0.28789999999999999"/>
    <n v="0.42"/>
    <n v="0.22389999999999999"/>
    <n v="8"/>
    <n v="91"/>
    <n v="99"/>
  </r>
  <r>
    <n v="775"/>
    <x v="34"/>
    <x v="17"/>
    <x v="3"/>
    <x v="0"/>
    <x v="6"/>
    <x v="1"/>
    <n v="0.26"/>
    <x v="0"/>
    <n v="0.2727"/>
    <n v="0.56000000000000005"/>
    <n v="0.1343"/>
    <n v="10"/>
    <n v="195"/>
    <n v="205"/>
  </r>
  <r>
    <n v="776"/>
    <x v="34"/>
    <x v="18"/>
    <x v="3"/>
    <x v="0"/>
    <x v="6"/>
    <x v="1"/>
    <n v="0.24"/>
    <x v="0"/>
    <n v="0.2576"/>
    <n v="0.6"/>
    <n v="0.1045"/>
    <n v="3"/>
    <n v="152"/>
    <n v="155"/>
  </r>
  <r>
    <n v="777"/>
    <x v="34"/>
    <x v="19"/>
    <x v="3"/>
    <x v="0"/>
    <x v="6"/>
    <x v="1"/>
    <n v="0.24"/>
    <x v="0"/>
    <n v="0.2424"/>
    <n v="0.65"/>
    <n v="0.1343"/>
    <n v="1"/>
    <n v="102"/>
    <n v="103"/>
  </r>
  <r>
    <n v="778"/>
    <x v="34"/>
    <x v="20"/>
    <x v="3"/>
    <x v="0"/>
    <x v="6"/>
    <x v="1"/>
    <n v="0.24"/>
    <x v="0"/>
    <n v="0.2424"/>
    <n v="0.65"/>
    <n v="0.16420000000000001"/>
    <n v="2"/>
    <n v="69"/>
    <n v="71"/>
  </r>
  <r>
    <n v="779"/>
    <x v="34"/>
    <x v="21"/>
    <x v="0"/>
    <x v="0"/>
    <x v="6"/>
    <x v="1"/>
    <n v="0.24"/>
    <x v="0"/>
    <n v="0.2424"/>
    <n v="0.7"/>
    <n v="0.16420000000000001"/>
    <n v="2"/>
    <n v="41"/>
    <n v="43"/>
  </r>
  <r>
    <n v="780"/>
    <x v="34"/>
    <x v="22"/>
    <x v="0"/>
    <x v="0"/>
    <x v="6"/>
    <x v="1"/>
    <n v="0.24"/>
    <x v="0"/>
    <n v="0.2424"/>
    <n v="0.65"/>
    <n v="0.16420000000000001"/>
    <n v="1"/>
    <n v="45"/>
    <n v="46"/>
  </r>
  <r>
    <n v="781"/>
    <x v="34"/>
    <x v="23"/>
    <x v="0"/>
    <x v="0"/>
    <x v="6"/>
    <x v="1"/>
    <n v="0.24"/>
    <x v="0"/>
    <n v="0.2424"/>
    <n v="0.7"/>
    <n v="0.1343"/>
    <n v="1"/>
    <n v="30"/>
    <n v="31"/>
  </r>
  <r>
    <n v="782"/>
    <x v="35"/>
    <x v="0"/>
    <x v="0"/>
    <x v="0"/>
    <x v="0"/>
    <x v="1"/>
    <n v="0.24"/>
    <x v="0"/>
    <n v="0.2424"/>
    <n v="0.7"/>
    <n v="0.16420000000000001"/>
    <n v="3"/>
    <n v="36"/>
    <n v="39"/>
  </r>
  <r>
    <n v="783"/>
    <x v="35"/>
    <x v="1"/>
    <x v="0"/>
    <x v="0"/>
    <x v="0"/>
    <x v="1"/>
    <n v="0.24"/>
    <x v="0"/>
    <n v="0.2424"/>
    <n v="0.65"/>
    <n v="0.16420000000000001"/>
    <n v="1"/>
    <n v="17"/>
    <n v="18"/>
  </r>
  <r>
    <n v="784"/>
    <x v="35"/>
    <x v="2"/>
    <x v="0"/>
    <x v="0"/>
    <x v="0"/>
    <x v="1"/>
    <n v="0.24"/>
    <x v="0"/>
    <n v="0.2424"/>
    <n v="0.75"/>
    <n v="0.16420000000000001"/>
    <n v="5"/>
    <n v="12"/>
    <n v="17"/>
  </r>
  <r>
    <n v="785"/>
    <x v="35"/>
    <x v="3"/>
    <x v="0"/>
    <x v="0"/>
    <x v="0"/>
    <x v="1"/>
    <n v="0.24"/>
    <x v="0"/>
    <n v="0.2424"/>
    <n v="0.75"/>
    <n v="0.16420000000000001"/>
    <n v="1"/>
    <n v="10"/>
    <n v="11"/>
  </r>
  <r>
    <n v="786"/>
    <x v="35"/>
    <x v="4"/>
    <x v="0"/>
    <x v="0"/>
    <x v="0"/>
    <x v="2"/>
    <n v="0.22"/>
    <x v="0"/>
    <n v="0.2273"/>
    <n v="0.93"/>
    <n v="0.1343"/>
    <n v="0"/>
    <n v="8"/>
    <n v="8"/>
  </r>
  <r>
    <n v="787"/>
    <x v="35"/>
    <x v="5"/>
    <x v="1"/>
    <x v="0"/>
    <x v="0"/>
    <x v="2"/>
    <n v="0.2"/>
    <x v="1"/>
    <n v="0.2273"/>
    <n v="1"/>
    <n v="8.9599999999999999E-2"/>
    <n v="0"/>
    <n v="9"/>
    <n v="9"/>
  </r>
  <r>
    <n v="788"/>
    <x v="35"/>
    <x v="6"/>
    <x v="1"/>
    <x v="0"/>
    <x v="0"/>
    <x v="2"/>
    <n v="0.2"/>
    <x v="1"/>
    <n v="0.2576"/>
    <n v="1"/>
    <n v="0"/>
    <n v="0"/>
    <n v="4"/>
    <n v="4"/>
  </r>
  <r>
    <n v="789"/>
    <x v="35"/>
    <x v="7"/>
    <x v="1"/>
    <x v="0"/>
    <x v="0"/>
    <x v="2"/>
    <n v="0.22"/>
    <x v="0"/>
    <n v="0.2576"/>
    <n v="0.93"/>
    <n v="8.9599999999999999E-2"/>
    <n v="0"/>
    <n v="4"/>
    <n v="4"/>
  </r>
  <r>
    <n v="790"/>
    <x v="35"/>
    <x v="8"/>
    <x v="1"/>
    <x v="0"/>
    <x v="0"/>
    <x v="2"/>
    <n v="0.2"/>
    <x v="1"/>
    <n v="0.2273"/>
    <n v="1"/>
    <n v="8.9599999999999999E-2"/>
    <n v="0"/>
    <n v="10"/>
    <n v="10"/>
  </r>
  <r>
    <n v="791"/>
    <x v="35"/>
    <x v="9"/>
    <x v="1"/>
    <x v="0"/>
    <x v="0"/>
    <x v="2"/>
    <n v="0.2"/>
    <x v="1"/>
    <n v="0.2273"/>
    <n v="1"/>
    <n v="8.9599999999999999E-2"/>
    <n v="3"/>
    <n v="17"/>
    <n v="20"/>
  </r>
  <r>
    <n v="792"/>
    <x v="35"/>
    <x v="10"/>
    <x v="1"/>
    <x v="0"/>
    <x v="0"/>
    <x v="2"/>
    <n v="0.2"/>
    <x v="1"/>
    <n v="0.21210000000000001"/>
    <n v="1"/>
    <n v="0.1343"/>
    <n v="3"/>
    <n v="31"/>
    <n v="34"/>
  </r>
  <r>
    <n v="793"/>
    <x v="35"/>
    <x v="11"/>
    <x v="1"/>
    <x v="0"/>
    <x v="0"/>
    <x v="2"/>
    <n v="0.22"/>
    <x v="0"/>
    <n v="0.2273"/>
    <n v="1"/>
    <n v="0.1343"/>
    <n v="1"/>
    <n v="46"/>
    <n v="47"/>
  </r>
  <r>
    <n v="794"/>
    <x v="35"/>
    <x v="12"/>
    <x v="2"/>
    <x v="0"/>
    <x v="0"/>
    <x v="2"/>
    <n v="0.22"/>
    <x v="0"/>
    <n v="0.2273"/>
    <n v="1"/>
    <n v="0.16420000000000001"/>
    <n v="10"/>
    <n v="42"/>
    <n v="52"/>
  </r>
  <r>
    <n v="795"/>
    <x v="35"/>
    <x v="13"/>
    <x v="2"/>
    <x v="0"/>
    <x v="0"/>
    <x v="2"/>
    <n v="0.22"/>
    <x v="0"/>
    <n v="0.2273"/>
    <n v="1"/>
    <n v="0.16420000000000001"/>
    <n v="10"/>
    <n v="62"/>
    <n v="72"/>
  </r>
  <r>
    <n v="796"/>
    <x v="35"/>
    <x v="14"/>
    <x v="2"/>
    <x v="0"/>
    <x v="0"/>
    <x v="2"/>
    <n v="0.22"/>
    <x v="0"/>
    <n v="0.2727"/>
    <n v="1"/>
    <n v="0"/>
    <n v="5"/>
    <n v="50"/>
    <n v="55"/>
  </r>
  <r>
    <n v="797"/>
    <x v="35"/>
    <x v="15"/>
    <x v="2"/>
    <x v="0"/>
    <x v="0"/>
    <x v="2"/>
    <n v="0.22"/>
    <x v="0"/>
    <n v="0.2727"/>
    <n v="1"/>
    <n v="0"/>
    <n v="11"/>
    <n v="49"/>
    <n v="60"/>
  </r>
  <r>
    <n v="798"/>
    <x v="35"/>
    <x v="16"/>
    <x v="2"/>
    <x v="0"/>
    <x v="0"/>
    <x v="2"/>
    <n v="0.22"/>
    <x v="0"/>
    <n v="0.2273"/>
    <n v="1"/>
    <n v="0.1343"/>
    <n v="8"/>
    <n v="63"/>
    <n v="71"/>
  </r>
  <r>
    <n v="799"/>
    <x v="35"/>
    <x v="17"/>
    <x v="3"/>
    <x v="0"/>
    <x v="0"/>
    <x v="1"/>
    <n v="0.24"/>
    <x v="0"/>
    <n v="0.21210000000000001"/>
    <n v="1"/>
    <n v="0.28360000000000002"/>
    <n v="14"/>
    <n v="64"/>
    <n v="78"/>
  </r>
  <r>
    <n v="800"/>
    <x v="35"/>
    <x v="18"/>
    <x v="3"/>
    <x v="0"/>
    <x v="0"/>
    <x v="1"/>
    <n v="0.28000000000000003"/>
    <x v="0"/>
    <n v="0.2424"/>
    <n v="0.93"/>
    <n v="0.44779999999999998"/>
    <n v="2"/>
    <n v="81"/>
    <n v="83"/>
  </r>
  <r>
    <n v="801"/>
    <x v="35"/>
    <x v="19"/>
    <x v="3"/>
    <x v="0"/>
    <x v="0"/>
    <x v="1"/>
    <n v="0.28000000000000003"/>
    <x v="0"/>
    <n v="0.2424"/>
    <n v="0.93"/>
    <n v="0.44779999999999998"/>
    <n v="6"/>
    <n v="78"/>
    <n v="84"/>
  </r>
  <r>
    <n v="802"/>
    <x v="35"/>
    <x v="20"/>
    <x v="3"/>
    <x v="0"/>
    <x v="0"/>
    <x v="0"/>
    <n v="0.3"/>
    <x v="0"/>
    <n v="0.28789999999999999"/>
    <n v="0.87"/>
    <n v="0.25369999999999998"/>
    <n v="5"/>
    <n v="64"/>
    <n v="69"/>
  </r>
  <r>
    <n v="803"/>
    <x v="35"/>
    <x v="21"/>
    <x v="0"/>
    <x v="0"/>
    <x v="0"/>
    <x v="0"/>
    <n v="0.26"/>
    <x v="0"/>
    <n v="0.2576"/>
    <n v="1"/>
    <n v="0.19400000000000001"/>
    <n v="3"/>
    <n v="53"/>
    <n v="56"/>
  </r>
  <r>
    <n v="804"/>
    <x v="35"/>
    <x v="22"/>
    <x v="0"/>
    <x v="0"/>
    <x v="0"/>
    <x v="0"/>
    <n v="0.26"/>
    <x v="0"/>
    <n v="0.2727"/>
    <n v="0.93"/>
    <n v="0.1343"/>
    <n v="2"/>
    <n v="43"/>
    <n v="45"/>
  </r>
  <r>
    <n v="805"/>
    <x v="35"/>
    <x v="23"/>
    <x v="0"/>
    <x v="0"/>
    <x v="0"/>
    <x v="0"/>
    <n v="0.26"/>
    <x v="0"/>
    <n v="0.2576"/>
    <n v="0.93"/>
    <n v="0.22389999999999999"/>
    <n v="7"/>
    <n v="52"/>
    <n v="59"/>
  </r>
  <r>
    <n v="806"/>
    <x v="36"/>
    <x v="0"/>
    <x v="0"/>
    <x v="0"/>
    <x v="1"/>
    <x v="0"/>
    <n v="0.26"/>
    <x v="0"/>
    <n v="0.2576"/>
    <n v="0.7"/>
    <n v="0.19400000000000001"/>
    <n v="2"/>
    <n v="37"/>
    <n v="39"/>
  </r>
  <r>
    <n v="807"/>
    <x v="36"/>
    <x v="1"/>
    <x v="0"/>
    <x v="0"/>
    <x v="1"/>
    <x v="0"/>
    <n v="0.26"/>
    <x v="0"/>
    <n v="0.2273"/>
    <n v="0.65"/>
    <n v="0.41789999999999999"/>
    <n v="4"/>
    <n v="40"/>
    <n v="44"/>
  </r>
  <r>
    <n v="808"/>
    <x v="36"/>
    <x v="2"/>
    <x v="0"/>
    <x v="0"/>
    <x v="1"/>
    <x v="0"/>
    <n v="0.26"/>
    <x v="0"/>
    <n v="0.2273"/>
    <n v="0.6"/>
    <n v="0.32840000000000003"/>
    <n v="0"/>
    <n v="20"/>
    <n v="20"/>
  </r>
  <r>
    <n v="809"/>
    <x v="36"/>
    <x v="3"/>
    <x v="0"/>
    <x v="0"/>
    <x v="1"/>
    <x v="0"/>
    <n v="0.26"/>
    <x v="0"/>
    <n v="0.28789999999999999"/>
    <n v="0.6"/>
    <n v="8.9599999999999999E-2"/>
    <n v="3"/>
    <n v="10"/>
    <n v="13"/>
  </r>
  <r>
    <n v="810"/>
    <x v="36"/>
    <x v="4"/>
    <x v="0"/>
    <x v="0"/>
    <x v="1"/>
    <x v="0"/>
    <n v="0.26"/>
    <x v="0"/>
    <n v="0.2273"/>
    <n v="0.6"/>
    <n v="0.35820000000000002"/>
    <n v="0"/>
    <n v="2"/>
    <n v="2"/>
  </r>
  <r>
    <n v="811"/>
    <x v="36"/>
    <x v="5"/>
    <x v="1"/>
    <x v="0"/>
    <x v="1"/>
    <x v="0"/>
    <n v="0.26"/>
    <x v="0"/>
    <n v="0.2576"/>
    <n v="0.6"/>
    <n v="0.22389999999999999"/>
    <n v="0"/>
    <n v="1"/>
    <n v="1"/>
  </r>
  <r>
    <n v="812"/>
    <x v="36"/>
    <x v="6"/>
    <x v="1"/>
    <x v="0"/>
    <x v="1"/>
    <x v="0"/>
    <n v="0.26"/>
    <x v="0"/>
    <n v="0.2576"/>
    <n v="0.6"/>
    <n v="0.22389999999999999"/>
    <n v="0"/>
    <n v="1"/>
    <n v="1"/>
  </r>
  <r>
    <n v="813"/>
    <x v="36"/>
    <x v="7"/>
    <x v="1"/>
    <x v="0"/>
    <x v="1"/>
    <x v="0"/>
    <n v="0.24"/>
    <x v="0"/>
    <n v="0.2424"/>
    <n v="0.65"/>
    <n v="0.16420000000000001"/>
    <n v="0"/>
    <n v="8"/>
    <n v="8"/>
  </r>
  <r>
    <n v="814"/>
    <x v="36"/>
    <x v="8"/>
    <x v="1"/>
    <x v="0"/>
    <x v="1"/>
    <x v="0"/>
    <n v="0.24"/>
    <x v="0"/>
    <n v="0.2576"/>
    <n v="0.65"/>
    <n v="0.1045"/>
    <n v="2"/>
    <n v="21"/>
    <n v="23"/>
  </r>
  <r>
    <n v="815"/>
    <x v="36"/>
    <x v="9"/>
    <x v="1"/>
    <x v="0"/>
    <x v="1"/>
    <x v="0"/>
    <n v="0.28000000000000003"/>
    <x v="0"/>
    <n v="0.28789999999999999"/>
    <n v="0.56000000000000005"/>
    <n v="0.1045"/>
    <n v="7"/>
    <n v="38"/>
    <n v="45"/>
  </r>
  <r>
    <n v="816"/>
    <x v="36"/>
    <x v="10"/>
    <x v="1"/>
    <x v="0"/>
    <x v="1"/>
    <x v="0"/>
    <n v="0.3"/>
    <x v="0"/>
    <n v="0.28789999999999999"/>
    <n v="0.52"/>
    <n v="0.25369999999999998"/>
    <n v="15"/>
    <n v="74"/>
    <n v="89"/>
  </r>
  <r>
    <n v="817"/>
    <x v="36"/>
    <x v="11"/>
    <x v="1"/>
    <x v="0"/>
    <x v="1"/>
    <x v="0"/>
    <n v="0.32"/>
    <x v="0"/>
    <n v="0.30299999999999999"/>
    <n v="0.49"/>
    <n v="0.25369999999999998"/>
    <n v="28"/>
    <n v="89"/>
    <n v="117"/>
  </r>
  <r>
    <n v="818"/>
    <x v="36"/>
    <x v="12"/>
    <x v="2"/>
    <x v="0"/>
    <x v="1"/>
    <x v="0"/>
    <n v="0.34"/>
    <x v="0"/>
    <n v="0.33329999999999999"/>
    <n v="0.46"/>
    <n v="0"/>
    <n v="48"/>
    <n v="126"/>
    <n v="174"/>
  </r>
  <r>
    <n v="819"/>
    <x v="36"/>
    <x v="13"/>
    <x v="2"/>
    <x v="0"/>
    <x v="1"/>
    <x v="0"/>
    <n v="0.34"/>
    <x v="0"/>
    <n v="0.36359999999999998"/>
    <n v="0.46"/>
    <n v="0"/>
    <n v="47"/>
    <n v="135"/>
    <n v="182"/>
  </r>
  <r>
    <n v="820"/>
    <x v="36"/>
    <x v="14"/>
    <x v="2"/>
    <x v="0"/>
    <x v="1"/>
    <x v="0"/>
    <n v="0.34"/>
    <x v="0"/>
    <n v="0.34849999999999998"/>
    <n v="0.46"/>
    <n v="8.9599999999999999E-2"/>
    <n v="47"/>
    <n v="114"/>
    <n v="161"/>
  </r>
  <r>
    <n v="821"/>
    <x v="36"/>
    <x v="15"/>
    <x v="2"/>
    <x v="0"/>
    <x v="1"/>
    <x v="0"/>
    <n v="0.34"/>
    <x v="0"/>
    <n v="0.34849999999999998"/>
    <n v="0.46"/>
    <n v="8.9599999999999999E-2"/>
    <n v="52"/>
    <n v="130"/>
    <n v="182"/>
  </r>
  <r>
    <n v="822"/>
    <x v="36"/>
    <x v="16"/>
    <x v="2"/>
    <x v="0"/>
    <x v="1"/>
    <x v="0"/>
    <n v="0.34"/>
    <x v="0"/>
    <n v="0.34849999999999998"/>
    <n v="0.49"/>
    <n v="0.1045"/>
    <n v="42"/>
    <n v="115"/>
    <n v="157"/>
  </r>
  <r>
    <n v="823"/>
    <x v="36"/>
    <x v="17"/>
    <x v="3"/>
    <x v="0"/>
    <x v="1"/>
    <x v="0"/>
    <n v="0.34"/>
    <x v="0"/>
    <n v="0.36359999999999998"/>
    <n v="0.46"/>
    <n v="0"/>
    <n v="24"/>
    <n v="97"/>
    <n v="121"/>
  </r>
  <r>
    <n v="824"/>
    <x v="36"/>
    <x v="18"/>
    <x v="3"/>
    <x v="0"/>
    <x v="1"/>
    <x v="0"/>
    <n v="0.3"/>
    <x v="0"/>
    <n v="0.30299999999999999"/>
    <n v="0.56000000000000005"/>
    <n v="0.16420000000000001"/>
    <n v="13"/>
    <n v="65"/>
    <n v="78"/>
  </r>
  <r>
    <n v="825"/>
    <x v="36"/>
    <x v="19"/>
    <x v="3"/>
    <x v="0"/>
    <x v="1"/>
    <x v="0"/>
    <n v="0.28000000000000003"/>
    <x v="0"/>
    <n v="0.28789999999999999"/>
    <n v="0.61"/>
    <n v="0.1343"/>
    <n v="1"/>
    <n v="20"/>
    <n v="21"/>
  </r>
  <r>
    <n v="826"/>
    <x v="36"/>
    <x v="20"/>
    <x v="3"/>
    <x v="0"/>
    <x v="1"/>
    <x v="0"/>
    <n v="0.28000000000000003"/>
    <x v="0"/>
    <n v="0.28789999999999999"/>
    <n v="0.61"/>
    <n v="0.1045"/>
    <n v="5"/>
    <n v="21"/>
    <n v="26"/>
  </r>
  <r>
    <n v="827"/>
    <x v="36"/>
    <x v="21"/>
    <x v="0"/>
    <x v="0"/>
    <x v="1"/>
    <x v="0"/>
    <n v="0.26"/>
    <x v="0"/>
    <n v="0.30299999999999999"/>
    <n v="0.6"/>
    <n v="0"/>
    <n v="5"/>
    <n v="22"/>
    <n v="27"/>
  </r>
  <r>
    <n v="828"/>
    <x v="36"/>
    <x v="22"/>
    <x v="0"/>
    <x v="0"/>
    <x v="1"/>
    <x v="0"/>
    <n v="0.26"/>
    <x v="0"/>
    <n v="0.30299999999999999"/>
    <n v="0.6"/>
    <n v="0"/>
    <n v="5"/>
    <n v="57"/>
    <n v="62"/>
  </r>
  <r>
    <n v="829"/>
    <x v="36"/>
    <x v="23"/>
    <x v="0"/>
    <x v="0"/>
    <x v="1"/>
    <x v="0"/>
    <n v="0.24"/>
    <x v="0"/>
    <n v="0.28789999999999999"/>
    <n v="0.65"/>
    <n v="0"/>
    <n v="4"/>
    <n v="26"/>
    <n v="30"/>
  </r>
  <r>
    <n v="830"/>
    <x v="37"/>
    <x v="0"/>
    <x v="0"/>
    <x v="0"/>
    <x v="2"/>
    <x v="0"/>
    <n v="0.24"/>
    <x v="0"/>
    <n v="0.28789999999999999"/>
    <n v="0.65"/>
    <n v="0"/>
    <n v="1"/>
    <n v="14"/>
    <n v="15"/>
  </r>
  <r>
    <n v="831"/>
    <x v="37"/>
    <x v="1"/>
    <x v="0"/>
    <x v="0"/>
    <x v="2"/>
    <x v="0"/>
    <n v="0.22"/>
    <x v="0"/>
    <n v="0.2727"/>
    <n v="0.75"/>
    <n v="0"/>
    <n v="1"/>
    <n v="4"/>
    <n v="5"/>
  </r>
  <r>
    <n v="832"/>
    <x v="37"/>
    <x v="2"/>
    <x v="0"/>
    <x v="0"/>
    <x v="2"/>
    <x v="0"/>
    <n v="0.2"/>
    <x v="1"/>
    <n v="0.2576"/>
    <n v="0.8"/>
    <n v="0"/>
    <n v="0"/>
    <n v="3"/>
    <n v="3"/>
  </r>
  <r>
    <n v="833"/>
    <x v="37"/>
    <x v="3"/>
    <x v="0"/>
    <x v="0"/>
    <x v="2"/>
    <x v="0"/>
    <n v="0.2"/>
    <x v="1"/>
    <n v="0.2576"/>
    <n v="0.86"/>
    <n v="0"/>
    <n v="0"/>
    <n v="1"/>
    <n v="1"/>
  </r>
  <r>
    <n v="834"/>
    <x v="37"/>
    <x v="4"/>
    <x v="0"/>
    <x v="0"/>
    <x v="2"/>
    <x v="0"/>
    <n v="0.2"/>
    <x v="1"/>
    <n v="0.2576"/>
    <n v="0.86"/>
    <n v="0"/>
    <n v="1"/>
    <n v="1"/>
    <n v="2"/>
  </r>
  <r>
    <n v="835"/>
    <x v="37"/>
    <x v="5"/>
    <x v="1"/>
    <x v="0"/>
    <x v="2"/>
    <x v="0"/>
    <n v="0.2"/>
    <x v="1"/>
    <n v="0.2576"/>
    <n v="0.86"/>
    <n v="0"/>
    <n v="1"/>
    <n v="9"/>
    <n v="10"/>
  </r>
  <r>
    <n v="836"/>
    <x v="37"/>
    <x v="6"/>
    <x v="1"/>
    <x v="0"/>
    <x v="2"/>
    <x v="0"/>
    <n v="0.18"/>
    <x v="1"/>
    <n v="0.2424"/>
    <n v="0.93"/>
    <n v="0"/>
    <n v="1"/>
    <n v="29"/>
    <n v="30"/>
  </r>
  <r>
    <n v="837"/>
    <x v="37"/>
    <x v="7"/>
    <x v="1"/>
    <x v="0"/>
    <x v="2"/>
    <x v="0"/>
    <n v="0.18"/>
    <x v="1"/>
    <n v="0.2424"/>
    <n v="0.86"/>
    <n v="0"/>
    <n v="6"/>
    <n v="89"/>
    <n v="95"/>
  </r>
  <r>
    <n v="838"/>
    <x v="37"/>
    <x v="8"/>
    <x v="1"/>
    <x v="0"/>
    <x v="2"/>
    <x v="1"/>
    <n v="0.16"/>
    <x v="1"/>
    <n v="0.2273"/>
    <n v="1"/>
    <n v="0"/>
    <n v="7"/>
    <n v="223"/>
    <n v="230"/>
  </r>
  <r>
    <n v="839"/>
    <x v="37"/>
    <x v="9"/>
    <x v="1"/>
    <x v="0"/>
    <x v="2"/>
    <x v="0"/>
    <n v="0.22"/>
    <x v="0"/>
    <n v="0.2727"/>
    <n v="0.8"/>
    <n v="0"/>
    <n v="3"/>
    <n v="115"/>
    <n v="118"/>
  </r>
  <r>
    <n v="840"/>
    <x v="37"/>
    <x v="10"/>
    <x v="1"/>
    <x v="0"/>
    <x v="2"/>
    <x v="0"/>
    <n v="0.24"/>
    <x v="0"/>
    <n v="0.2576"/>
    <n v="0.75"/>
    <n v="0.1045"/>
    <n v="6"/>
    <n v="49"/>
    <n v="55"/>
  </r>
  <r>
    <n v="841"/>
    <x v="37"/>
    <x v="11"/>
    <x v="1"/>
    <x v="0"/>
    <x v="2"/>
    <x v="0"/>
    <n v="0.3"/>
    <x v="0"/>
    <n v="0.31819999999999998"/>
    <n v="0.65"/>
    <n v="8.9599999999999999E-2"/>
    <n v="11"/>
    <n v="36"/>
    <n v="47"/>
  </r>
  <r>
    <n v="842"/>
    <x v="37"/>
    <x v="12"/>
    <x v="2"/>
    <x v="0"/>
    <x v="2"/>
    <x v="1"/>
    <n v="0.32"/>
    <x v="0"/>
    <n v="0.34849999999999998"/>
    <n v="0.62"/>
    <n v="0"/>
    <n v="7"/>
    <n v="59"/>
    <n v="66"/>
  </r>
  <r>
    <n v="843"/>
    <x v="37"/>
    <x v="13"/>
    <x v="2"/>
    <x v="0"/>
    <x v="2"/>
    <x v="1"/>
    <n v="0.36"/>
    <x v="0"/>
    <n v="0.36359999999999998"/>
    <n v="0.56999999999999995"/>
    <n v="8.9599999999999999E-2"/>
    <n v="10"/>
    <n v="54"/>
    <n v="64"/>
  </r>
  <r>
    <n v="844"/>
    <x v="37"/>
    <x v="14"/>
    <x v="2"/>
    <x v="0"/>
    <x v="2"/>
    <x v="1"/>
    <n v="0.36"/>
    <x v="0"/>
    <n v="0.36359999999999998"/>
    <n v="0.56999999999999995"/>
    <n v="8.9599999999999999E-2"/>
    <n v="8"/>
    <n v="52"/>
    <n v="60"/>
  </r>
  <r>
    <n v="845"/>
    <x v="37"/>
    <x v="15"/>
    <x v="2"/>
    <x v="0"/>
    <x v="2"/>
    <x v="1"/>
    <n v="0.38"/>
    <x v="0"/>
    <n v="0.39389999999999997"/>
    <n v="0.54"/>
    <n v="8.9599999999999999E-2"/>
    <n v="4"/>
    <n v="46"/>
    <n v="50"/>
  </r>
  <r>
    <n v="846"/>
    <x v="37"/>
    <x v="16"/>
    <x v="2"/>
    <x v="0"/>
    <x v="2"/>
    <x v="1"/>
    <n v="0.36"/>
    <x v="0"/>
    <n v="0.34849999999999998"/>
    <n v="0.56999999999999995"/>
    <n v="0.1343"/>
    <n v="16"/>
    <n v="98"/>
    <n v="114"/>
  </r>
  <r>
    <n v="847"/>
    <x v="37"/>
    <x v="17"/>
    <x v="3"/>
    <x v="0"/>
    <x v="2"/>
    <x v="1"/>
    <n v="0.32"/>
    <x v="0"/>
    <n v="0.31819999999999998"/>
    <n v="0.7"/>
    <n v="0.16420000000000001"/>
    <n v="9"/>
    <n v="207"/>
    <n v="216"/>
  </r>
  <r>
    <n v="848"/>
    <x v="37"/>
    <x v="18"/>
    <x v="3"/>
    <x v="0"/>
    <x v="2"/>
    <x v="1"/>
    <n v="0.34"/>
    <x v="0"/>
    <n v="0.33329999999999999"/>
    <n v="0.66"/>
    <n v="0.1343"/>
    <n v="5"/>
    <n v="170"/>
    <n v="175"/>
  </r>
  <r>
    <n v="849"/>
    <x v="37"/>
    <x v="19"/>
    <x v="3"/>
    <x v="0"/>
    <x v="2"/>
    <x v="1"/>
    <n v="0.32"/>
    <x v="0"/>
    <n v="0.34849999999999998"/>
    <n v="0.7"/>
    <n v="0"/>
    <n v="5"/>
    <n v="123"/>
    <n v="128"/>
  </r>
  <r>
    <n v="850"/>
    <x v="37"/>
    <x v="20"/>
    <x v="3"/>
    <x v="0"/>
    <x v="2"/>
    <x v="1"/>
    <n v="0.32"/>
    <x v="0"/>
    <n v="0.33329999999999999"/>
    <n v="0.7"/>
    <n v="0.1045"/>
    <n v="6"/>
    <n v="82"/>
    <n v="88"/>
  </r>
  <r>
    <n v="851"/>
    <x v="37"/>
    <x v="21"/>
    <x v="0"/>
    <x v="0"/>
    <x v="2"/>
    <x v="0"/>
    <n v="0.32"/>
    <x v="0"/>
    <n v="0.34849999999999998"/>
    <n v="0.7"/>
    <n v="0"/>
    <n v="3"/>
    <n v="75"/>
    <n v="78"/>
  </r>
  <r>
    <n v="852"/>
    <x v="37"/>
    <x v="22"/>
    <x v="0"/>
    <x v="0"/>
    <x v="2"/>
    <x v="0"/>
    <n v="0.28000000000000003"/>
    <x v="0"/>
    <n v="0.30299999999999999"/>
    <n v="0.81"/>
    <n v="8.9599999999999999E-2"/>
    <n v="3"/>
    <n v="34"/>
    <n v="37"/>
  </r>
  <r>
    <n v="853"/>
    <x v="37"/>
    <x v="23"/>
    <x v="0"/>
    <x v="0"/>
    <x v="2"/>
    <x v="1"/>
    <n v="0.3"/>
    <x v="0"/>
    <n v="0.33329999999999999"/>
    <n v="0.81"/>
    <n v="0"/>
    <n v="6"/>
    <n v="19"/>
    <n v="25"/>
  </r>
  <r>
    <n v="854"/>
    <x v="38"/>
    <x v="0"/>
    <x v="0"/>
    <x v="0"/>
    <x v="3"/>
    <x v="1"/>
    <n v="0.28000000000000003"/>
    <x v="0"/>
    <n v="0.31819999999999998"/>
    <n v="0.87"/>
    <n v="0"/>
    <n v="4"/>
    <n v="6"/>
    <n v="10"/>
  </r>
  <r>
    <n v="855"/>
    <x v="38"/>
    <x v="1"/>
    <x v="0"/>
    <x v="0"/>
    <x v="3"/>
    <x v="1"/>
    <n v="0.28000000000000003"/>
    <x v="0"/>
    <n v="0.31819999999999998"/>
    <n v="0.87"/>
    <n v="0"/>
    <n v="0"/>
    <n v="4"/>
    <n v="4"/>
  </r>
  <r>
    <n v="856"/>
    <x v="38"/>
    <x v="2"/>
    <x v="0"/>
    <x v="0"/>
    <x v="3"/>
    <x v="1"/>
    <n v="0.26"/>
    <x v="0"/>
    <n v="0.2727"/>
    <n v="0.93"/>
    <n v="0.1045"/>
    <n v="1"/>
    <n v="1"/>
    <n v="2"/>
  </r>
  <r>
    <n v="857"/>
    <x v="38"/>
    <x v="3"/>
    <x v="0"/>
    <x v="0"/>
    <x v="3"/>
    <x v="2"/>
    <n v="0.28000000000000003"/>
    <x v="0"/>
    <n v="0.2727"/>
    <n v="0.93"/>
    <n v="0.16420000000000001"/>
    <n v="0"/>
    <n v="1"/>
    <n v="1"/>
  </r>
  <r>
    <n v="858"/>
    <x v="38"/>
    <x v="4"/>
    <x v="0"/>
    <x v="0"/>
    <x v="3"/>
    <x v="0"/>
    <n v="0.26"/>
    <x v="0"/>
    <n v="0.2576"/>
    <n v="0.93"/>
    <n v="0.16420000000000001"/>
    <n v="0"/>
    <n v="3"/>
    <n v="3"/>
  </r>
  <r>
    <n v="859"/>
    <x v="38"/>
    <x v="5"/>
    <x v="1"/>
    <x v="0"/>
    <x v="3"/>
    <x v="0"/>
    <n v="0.26"/>
    <x v="0"/>
    <n v="0.2273"/>
    <n v="0.81"/>
    <n v="0.32840000000000003"/>
    <n v="0"/>
    <n v="2"/>
    <n v="2"/>
  </r>
  <r>
    <n v="860"/>
    <x v="38"/>
    <x v="6"/>
    <x v="1"/>
    <x v="0"/>
    <x v="3"/>
    <x v="0"/>
    <n v="0.26"/>
    <x v="0"/>
    <n v="0.2273"/>
    <n v="0.7"/>
    <n v="0.32840000000000003"/>
    <n v="0"/>
    <n v="39"/>
    <n v="39"/>
  </r>
  <r>
    <n v="861"/>
    <x v="38"/>
    <x v="7"/>
    <x v="1"/>
    <x v="0"/>
    <x v="3"/>
    <x v="0"/>
    <n v="0.24"/>
    <x v="0"/>
    <n v="0.19700000000000001"/>
    <n v="0.65"/>
    <n v="0.41789999999999999"/>
    <n v="3"/>
    <n v="97"/>
    <n v="100"/>
  </r>
  <r>
    <n v="862"/>
    <x v="38"/>
    <x v="8"/>
    <x v="1"/>
    <x v="0"/>
    <x v="3"/>
    <x v="0"/>
    <n v="0.24"/>
    <x v="0"/>
    <n v="0.19700000000000001"/>
    <n v="0.56000000000000005"/>
    <n v="0.49249999999999999"/>
    <n v="7"/>
    <n v="236"/>
    <n v="243"/>
  </r>
  <r>
    <n v="863"/>
    <x v="38"/>
    <x v="9"/>
    <x v="1"/>
    <x v="0"/>
    <x v="3"/>
    <x v="0"/>
    <n v="0.24"/>
    <x v="0"/>
    <n v="0.19700000000000001"/>
    <n v="0.52"/>
    <n v="0.49249999999999999"/>
    <n v="7"/>
    <n v="128"/>
    <n v="135"/>
  </r>
  <r>
    <n v="864"/>
    <x v="38"/>
    <x v="10"/>
    <x v="1"/>
    <x v="0"/>
    <x v="3"/>
    <x v="0"/>
    <n v="0.22"/>
    <x v="0"/>
    <n v="0.18179999999999999"/>
    <n v="0.47"/>
    <n v="0.55220000000000002"/>
    <n v="4"/>
    <n v="44"/>
    <n v="48"/>
  </r>
  <r>
    <n v="865"/>
    <x v="38"/>
    <x v="11"/>
    <x v="1"/>
    <x v="0"/>
    <x v="3"/>
    <x v="0"/>
    <n v="0.22"/>
    <x v="0"/>
    <n v="0.18179999999999999"/>
    <n v="0.47"/>
    <n v="0.4627"/>
    <n v="1"/>
    <n v="49"/>
    <n v="50"/>
  </r>
  <r>
    <n v="866"/>
    <x v="38"/>
    <x v="12"/>
    <x v="2"/>
    <x v="0"/>
    <x v="3"/>
    <x v="0"/>
    <n v="0.24"/>
    <x v="0"/>
    <n v="0.19700000000000001"/>
    <n v="0.38"/>
    <n v="0.49249999999999999"/>
    <n v="2"/>
    <n v="63"/>
    <n v="65"/>
  </r>
  <r>
    <n v="867"/>
    <x v="38"/>
    <x v="13"/>
    <x v="2"/>
    <x v="0"/>
    <x v="3"/>
    <x v="1"/>
    <n v="0.24"/>
    <x v="0"/>
    <n v="0.19700000000000001"/>
    <n v="0.32"/>
    <n v="0.44779999999999998"/>
    <n v="2"/>
    <n v="48"/>
    <n v="50"/>
  </r>
  <r>
    <n v="868"/>
    <x v="38"/>
    <x v="14"/>
    <x v="2"/>
    <x v="0"/>
    <x v="3"/>
    <x v="0"/>
    <n v="0.22"/>
    <x v="0"/>
    <n v="0.19700000000000001"/>
    <n v="0.37"/>
    <n v="0.41789999999999999"/>
    <n v="3"/>
    <n v="61"/>
    <n v="64"/>
  </r>
  <r>
    <n v="869"/>
    <x v="38"/>
    <x v="15"/>
    <x v="2"/>
    <x v="0"/>
    <x v="3"/>
    <x v="0"/>
    <n v="0.22"/>
    <x v="0"/>
    <n v="0.19700000000000001"/>
    <n v="0.35"/>
    <n v="0.3881"/>
    <n v="6"/>
    <n v="45"/>
    <n v="51"/>
  </r>
  <r>
    <n v="870"/>
    <x v="38"/>
    <x v="16"/>
    <x v="2"/>
    <x v="0"/>
    <x v="3"/>
    <x v="0"/>
    <n v="0.22"/>
    <x v="0"/>
    <n v="0.18179999999999999"/>
    <n v="0.35"/>
    <n v="0.52239999999999998"/>
    <n v="4"/>
    <n v="79"/>
    <n v="83"/>
  </r>
  <r>
    <n v="871"/>
    <x v="38"/>
    <x v="17"/>
    <x v="3"/>
    <x v="0"/>
    <x v="3"/>
    <x v="0"/>
    <n v="0.22"/>
    <x v="0"/>
    <n v="0.18179999999999999"/>
    <n v="0.32"/>
    <n v="0.58209999999999995"/>
    <n v="4"/>
    <n v="172"/>
    <n v="176"/>
  </r>
  <r>
    <n v="872"/>
    <x v="38"/>
    <x v="18"/>
    <x v="3"/>
    <x v="0"/>
    <x v="3"/>
    <x v="0"/>
    <n v="0.2"/>
    <x v="1"/>
    <n v="0.18179999999999999"/>
    <n v="0.32"/>
    <n v="0.3881"/>
    <n v="1"/>
    <n v="151"/>
    <n v="152"/>
  </r>
  <r>
    <n v="873"/>
    <x v="38"/>
    <x v="19"/>
    <x v="3"/>
    <x v="0"/>
    <x v="3"/>
    <x v="0"/>
    <n v="0.16"/>
    <x v="1"/>
    <n v="0.1212"/>
    <n v="0.4"/>
    <n v="0.4627"/>
    <n v="1"/>
    <n v="100"/>
    <n v="101"/>
  </r>
  <r>
    <n v="874"/>
    <x v="38"/>
    <x v="20"/>
    <x v="3"/>
    <x v="0"/>
    <x v="3"/>
    <x v="0"/>
    <n v="0.16"/>
    <x v="1"/>
    <n v="0.13639999999999999"/>
    <n v="0.4"/>
    <n v="0.32840000000000003"/>
    <n v="3"/>
    <n v="53"/>
    <n v="56"/>
  </r>
  <r>
    <n v="875"/>
    <x v="38"/>
    <x v="21"/>
    <x v="0"/>
    <x v="0"/>
    <x v="3"/>
    <x v="0"/>
    <n v="0.14000000000000001"/>
    <x v="1"/>
    <n v="0.1061"/>
    <n v="0.33"/>
    <n v="0.4627"/>
    <n v="8"/>
    <n v="46"/>
    <n v="54"/>
  </r>
  <r>
    <n v="876"/>
    <x v="38"/>
    <x v="22"/>
    <x v="0"/>
    <x v="0"/>
    <x v="3"/>
    <x v="0"/>
    <n v="0.12"/>
    <x v="1"/>
    <n v="0.1061"/>
    <n v="0.33"/>
    <n v="0.35820000000000002"/>
    <n v="0"/>
    <n v="29"/>
    <n v="29"/>
  </r>
  <r>
    <n v="877"/>
    <x v="38"/>
    <x v="23"/>
    <x v="0"/>
    <x v="0"/>
    <x v="3"/>
    <x v="0"/>
    <n v="0.12"/>
    <x v="1"/>
    <n v="0.1061"/>
    <n v="0.33"/>
    <n v="0.32840000000000003"/>
    <n v="3"/>
    <n v="9"/>
    <n v="12"/>
  </r>
  <r>
    <n v="878"/>
    <x v="39"/>
    <x v="0"/>
    <x v="0"/>
    <x v="0"/>
    <x v="4"/>
    <x v="0"/>
    <n v="0.1"/>
    <x v="1"/>
    <n v="7.5800000000000006E-2"/>
    <n v="0.36"/>
    <n v="0.35820000000000002"/>
    <n v="0"/>
    <n v="17"/>
    <n v="17"/>
  </r>
  <r>
    <n v="879"/>
    <x v="39"/>
    <x v="1"/>
    <x v="0"/>
    <x v="0"/>
    <x v="4"/>
    <x v="0"/>
    <n v="0.1"/>
    <x v="1"/>
    <n v="0.1061"/>
    <n v="0.36"/>
    <n v="0.22389999999999999"/>
    <n v="0"/>
    <n v="7"/>
    <n v="7"/>
  </r>
  <r>
    <n v="880"/>
    <x v="39"/>
    <x v="2"/>
    <x v="0"/>
    <x v="0"/>
    <x v="4"/>
    <x v="0"/>
    <n v="0.08"/>
    <x v="1"/>
    <n v="7.5800000000000006E-2"/>
    <n v="0.38"/>
    <n v="0.28360000000000002"/>
    <n v="1"/>
    <n v="2"/>
    <n v="3"/>
  </r>
  <r>
    <n v="881"/>
    <x v="39"/>
    <x v="3"/>
    <x v="0"/>
    <x v="0"/>
    <x v="4"/>
    <x v="0"/>
    <n v="0.06"/>
    <x v="1"/>
    <n v="7.5800000000000006E-2"/>
    <n v="0.45"/>
    <n v="0.1343"/>
    <n v="0"/>
    <n v="2"/>
    <n v="2"/>
  </r>
  <r>
    <n v="882"/>
    <x v="39"/>
    <x v="5"/>
    <x v="1"/>
    <x v="0"/>
    <x v="4"/>
    <x v="0"/>
    <n v="0.06"/>
    <x v="1"/>
    <n v="0.1061"/>
    <n v="0.45"/>
    <n v="0.1045"/>
    <n v="0"/>
    <n v="7"/>
    <n v="7"/>
  </r>
  <r>
    <n v="883"/>
    <x v="39"/>
    <x v="6"/>
    <x v="1"/>
    <x v="0"/>
    <x v="4"/>
    <x v="0"/>
    <n v="0.06"/>
    <x v="1"/>
    <n v="0.1515"/>
    <n v="0.45"/>
    <n v="0"/>
    <n v="0"/>
    <n v="43"/>
    <n v="43"/>
  </r>
  <r>
    <n v="884"/>
    <x v="39"/>
    <x v="7"/>
    <x v="1"/>
    <x v="0"/>
    <x v="4"/>
    <x v="0"/>
    <n v="0.06"/>
    <x v="1"/>
    <n v="0.1061"/>
    <n v="0.49"/>
    <n v="0.1045"/>
    <n v="4"/>
    <n v="95"/>
    <n v="99"/>
  </r>
  <r>
    <n v="885"/>
    <x v="39"/>
    <x v="8"/>
    <x v="1"/>
    <x v="0"/>
    <x v="4"/>
    <x v="0"/>
    <n v="0.1"/>
    <x v="1"/>
    <n v="0.13639999999999999"/>
    <n v="0.42"/>
    <n v="0"/>
    <n v="1"/>
    <n v="198"/>
    <n v="199"/>
  </r>
  <r>
    <n v="886"/>
    <x v="39"/>
    <x v="9"/>
    <x v="1"/>
    <x v="0"/>
    <x v="4"/>
    <x v="0"/>
    <n v="0.12"/>
    <x v="1"/>
    <n v="0.13639999999999999"/>
    <n v="0.39"/>
    <n v="0.16420000000000001"/>
    <n v="4"/>
    <n v="119"/>
    <n v="123"/>
  </r>
  <r>
    <n v="887"/>
    <x v="39"/>
    <x v="10"/>
    <x v="1"/>
    <x v="0"/>
    <x v="4"/>
    <x v="0"/>
    <n v="0.14000000000000001"/>
    <x v="1"/>
    <n v="0.18179999999999999"/>
    <n v="0.36"/>
    <n v="0"/>
    <n v="8"/>
    <n v="51"/>
    <n v="59"/>
  </r>
  <r>
    <n v="888"/>
    <x v="39"/>
    <x v="11"/>
    <x v="1"/>
    <x v="0"/>
    <x v="4"/>
    <x v="1"/>
    <n v="0.14000000000000001"/>
    <x v="1"/>
    <n v="0.1515"/>
    <n v="0.43"/>
    <n v="0.16420000000000001"/>
    <n v="1"/>
    <n v="40"/>
    <n v="41"/>
  </r>
  <r>
    <n v="889"/>
    <x v="39"/>
    <x v="12"/>
    <x v="2"/>
    <x v="0"/>
    <x v="4"/>
    <x v="1"/>
    <n v="0.18"/>
    <x v="1"/>
    <n v="0.18179999999999999"/>
    <n v="0.4"/>
    <n v="0.22389999999999999"/>
    <n v="4"/>
    <n v="57"/>
    <n v="61"/>
  </r>
  <r>
    <n v="890"/>
    <x v="39"/>
    <x v="13"/>
    <x v="2"/>
    <x v="0"/>
    <x v="4"/>
    <x v="0"/>
    <n v="0.18"/>
    <x v="1"/>
    <n v="0.16669999999999999"/>
    <n v="0.4"/>
    <n v="0.25369999999999998"/>
    <n v="2"/>
    <n v="67"/>
    <n v="69"/>
  </r>
  <r>
    <n v="891"/>
    <x v="39"/>
    <x v="14"/>
    <x v="2"/>
    <x v="0"/>
    <x v="4"/>
    <x v="0"/>
    <n v="0.2"/>
    <x v="1"/>
    <n v="0.18179999999999999"/>
    <n v="0.34"/>
    <n v="0.29849999999999999"/>
    <n v="2"/>
    <n v="56"/>
    <n v="58"/>
  </r>
  <r>
    <n v="892"/>
    <x v="39"/>
    <x v="15"/>
    <x v="2"/>
    <x v="0"/>
    <x v="4"/>
    <x v="1"/>
    <n v="0.2"/>
    <x v="1"/>
    <n v="0.18179999999999999"/>
    <n v="0.34"/>
    <n v="0.28360000000000002"/>
    <n v="3"/>
    <n v="61"/>
    <n v="64"/>
  </r>
  <r>
    <n v="893"/>
    <x v="39"/>
    <x v="16"/>
    <x v="2"/>
    <x v="0"/>
    <x v="4"/>
    <x v="1"/>
    <n v="0.2"/>
    <x v="1"/>
    <n v="0.19700000000000001"/>
    <n v="0.37"/>
    <n v="0.25369999999999998"/>
    <n v="7"/>
    <n v="72"/>
    <n v="79"/>
  </r>
  <r>
    <n v="894"/>
    <x v="39"/>
    <x v="17"/>
    <x v="3"/>
    <x v="0"/>
    <x v="4"/>
    <x v="1"/>
    <n v="0.2"/>
    <x v="1"/>
    <n v="0.19700000000000001"/>
    <n v="0.34"/>
    <n v="0.25369999999999998"/>
    <n v="9"/>
    <n v="157"/>
    <n v="166"/>
  </r>
  <r>
    <n v="895"/>
    <x v="39"/>
    <x v="18"/>
    <x v="3"/>
    <x v="0"/>
    <x v="4"/>
    <x v="1"/>
    <n v="0.18"/>
    <x v="1"/>
    <n v="0.16669999999999999"/>
    <n v="0.47"/>
    <n v="0.29849999999999999"/>
    <n v="2"/>
    <n v="168"/>
    <n v="170"/>
  </r>
  <r>
    <n v="896"/>
    <x v="39"/>
    <x v="19"/>
    <x v="3"/>
    <x v="0"/>
    <x v="4"/>
    <x v="2"/>
    <n v="0.14000000000000001"/>
    <x v="1"/>
    <n v="0.1212"/>
    <n v="0.86"/>
    <n v="0.25369999999999998"/>
    <n v="1"/>
    <n v="87"/>
    <n v="88"/>
  </r>
  <r>
    <n v="897"/>
    <x v="39"/>
    <x v="20"/>
    <x v="3"/>
    <x v="0"/>
    <x v="4"/>
    <x v="2"/>
    <n v="0.14000000000000001"/>
    <x v="1"/>
    <n v="0.1515"/>
    <n v="0.86"/>
    <n v="0.16420000000000001"/>
    <n v="0"/>
    <n v="84"/>
    <n v="84"/>
  </r>
  <r>
    <n v="898"/>
    <x v="39"/>
    <x v="21"/>
    <x v="0"/>
    <x v="0"/>
    <x v="4"/>
    <x v="1"/>
    <n v="0.14000000000000001"/>
    <x v="1"/>
    <n v="0.1515"/>
    <n v="0.86"/>
    <n v="0.16420000000000001"/>
    <n v="0"/>
    <n v="83"/>
    <n v="83"/>
  </r>
  <r>
    <n v="899"/>
    <x v="39"/>
    <x v="22"/>
    <x v="0"/>
    <x v="0"/>
    <x v="4"/>
    <x v="2"/>
    <n v="0.16"/>
    <x v="1"/>
    <n v="0.16669999999999999"/>
    <n v="0.8"/>
    <n v="0.16420000000000001"/>
    <n v="4"/>
    <n v="42"/>
    <n v="46"/>
  </r>
  <r>
    <n v="900"/>
    <x v="39"/>
    <x v="23"/>
    <x v="0"/>
    <x v="0"/>
    <x v="4"/>
    <x v="2"/>
    <n v="0.16"/>
    <x v="1"/>
    <n v="0.1515"/>
    <n v="0.8"/>
    <n v="0.19400000000000001"/>
    <n v="0"/>
    <n v="37"/>
    <n v="37"/>
  </r>
  <r>
    <n v="901"/>
    <x v="40"/>
    <x v="0"/>
    <x v="0"/>
    <x v="0"/>
    <x v="5"/>
    <x v="2"/>
    <n v="0.14000000000000001"/>
    <x v="1"/>
    <n v="0.13639999999999999"/>
    <n v="0.86"/>
    <n v="0.19400000000000001"/>
    <n v="0"/>
    <n v="16"/>
    <n v="16"/>
  </r>
  <r>
    <n v="902"/>
    <x v="40"/>
    <x v="1"/>
    <x v="0"/>
    <x v="0"/>
    <x v="5"/>
    <x v="2"/>
    <n v="0.14000000000000001"/>
    <x v="1"/>
    <n v="0.1515"/>
    <n v="0.8"/>
    <n v="0.1343"/>
    <n v="0"/>
    <n v="7"/>
    <n v="7"/>
  </r>
  <r>
    <n v="903"/>
    <x v="40"/>
    <x v="2"/>
    <x v="0"/>
    <x v="0"/>
    <x v="5"/>
    <x v="2"/>
    <n v="0.14000000000000001"/>
    <x v="1"/>
    <n v="0.1515"/>
    <n v="0.8"/>
    <n v="0.1343"/>
    <n v="0"/>
    <n v="3"/>
    <n v="3"/>
  </r>
  <r>
    <n v="904"/>
    <x v="40"/>
    <x v="4"/>
    <x v="0"/>
    <x v="0"/>
    <x v="5"/>
    <x v="1"/>
    <n v="0.14000000000000001"/>
    <x v="1"/>
    <n v="0.13639999999999999"/>
    <n v="0.59"/>
    <n v="0.22389999999999999"/>
    <n v="0"/>
    <n v="1"/>
    <n v="1"/>
  </r>
  <r>
    <n v="905"/>
    <x v="40"/>
    <x v="5"/>
    <x v="1"/>
    <x v="0"/>
    <x v="5"/>
    <x v="1"/>
    <n v="0.12"/>
    <x v="1"/>
    <n v="0.1212"/>
    <n v="0.5"/>
    <n v="0.22389999999999999"/>
    <n v="0"/>
    <n v="6"/>
    <n v="6"/>
  </r>
  <r>
    <n v="906"/>
    <x v="40"/>
    <x v="6"/>
    <x v="1"/>
    <x v="0"/>
    <x v="5"/>
    <x v="1"/>
    <n v="0.12"/>
    <x v="1"/>
    <n v="0.1212"/>
    <n v="0.54"/>
    <n v="0.28360000000000002"/>
    <n v="0"/>
    <n v="26"/>
    <n v="26"/>
  </r>
  <r>
    <n v="907"/>
    <x v="40"/>
    <x v="7"/>
    <x v="1"/>
    <x v="0"/>
    <x v="5"/>
    <x v="0"/>
    <n v="0.1"/>
    <x v="1"/>
    <n v="7.5800000000000006E-2"/>
    <n v="0.5"/>
    <n v="0.41789999999999999"/>
    <n v="0"/>
    <n v="99"/>
    <n v="99"/>
  </r>
  <r>
    <n v="908"/>
    <x v="40"/>
    <x v="8"/>
    <x v="1"/>
    <x v="0"/>
    <x v="5"/>
    <x v="0"/>
    <n v="0.1"/>
    <x v="1"/>
    <n v="7.5800000000000006E-2"/>
    <n v="0.49"/>
    <n v="0.32840000000000003"/>
    <n v="5"/>
    <n v="173"/>
    <n v="178"/>
  </r>
  <r>
    <n v="909"/>
    <x v="40"/>
    <x v="9"/>
    <x v="1"/>
    <x v="0"/>
    <x v="5"/>
    <x v="0"/>
    <n v="0.12"/>
    <x v="1"/>
    <n v="0.1061"/>
    <n v="0.42"/>
    <n v="0.35820000000000002"/>
    <n v="1"/>
    <n v="121"/>
    <n v="122"/>
  </r>
  <r>
    <n v="910"/>
    <x v="40"/>
    <x v="10"/>
    <x v="1"/>
    <x v="0"/>
    <x v="5"/>
    <x v="0"/>
    <n v="0.12"/>
    <x v="1"/>
    <n v="0.1061"/>
    <n v="0.42"/>
    <n v="0.29849999999999999"/>
    <n v="1"/>
    <n v="34"/>
    <n v="35"/>
  </r>
  <r>
    <n v="911"/>
    <x v="40"/>
    <x v="11"/>
    <x v="1"/>
    <x v="0"/>
    <x v="5"/>
    <x v="0"/>
    <n v="0.14000000000000001"/>
    <x v="1"/>
    <n v="0.1212"/>
    <n v="0.39"/>
    <n v="0.35820000000000002"/>
    <n v="1"/>
    <n v="44"/>
    <n v="45"/>
  </r>
  <r>
    <n v="912"/>
    <x v="40"/>
    <x v="12"/>
    <x v="2"/>
    <x v="0"/>
    <x v="5"/>
    <x v="0"/>
    <n v="0.16"/>
    <x v="1"/>
    <n v="0.13639999999999999"/>
    <n v="0.34"/>
    <n v="0.3881"/>
    <n v="4"/>
    <n v="65"/>
    <n v="69"/>
  </r>
  <r>
    <n v="913"/>
    <x v="40"/>
    <x v="13"/>
    <x v="2"/>
    <x v="0"/>
    <x v="5"/>
    <x v="0"/>
    <n v="0.18"/>
    <x v="1"/>
    <n v="0.16669999999999999"/>
    <n v="0.28999999999999998"/>
    <n v="0.29849999999999999"/>
    <n v="3"/>
    <n v="59"/>
    <n v="62"/>
  </r>
  <r>
    <n v="914"/>
    <x v="40"/>
    <x v="14"/>
    <x v="2"/>
    <x v="0"/>
    <x v="5"/>
    <x v="0"/>
    <n v="0.2"/>
    <x v="1"/>
    <n v="0.18179999999999999"/>
    <n v="0.27"/>
    <n v="0.28360000000000002"/>
    <n v="6"/>
    <n v="42"/>
    <n v="48"/>
  </r>
  <r>
    <n v="915"/>
    <x v="40"/>
    <x v="15"/>
    <x v="2"/>
    <x v="0"/>
    <x v="5"/>
    <x v="0"/>
    <n v="0.2"/>
    <x v="1"/>
    <n v="0.19700000000000001"/>
    <n v="0.25"/>
    <n v="0.25369999999999998"/>
    <n v="0"/>
    <n v="50"/>
    <n v="50"/>
  </r>
  <r>
    <n v="916"/>
    <x v="40"/>
    <x v="16"/>
    <x v="2"/>
    <x v="0"/>
    <x v="5"/>
    <x v="0"/>
    <n v="0.2"/>
    <x v="1"/>
    <n v="0.18179999999999999"/>
    <n v="0.27"/>
    <n v="0.29849999999999999"/>
    <n v="4"/>
    <n v="76"/>
    <n v="80"/>
  </r>
  <r>
    <n v="917"/>
    <x v="40"/>
    <x v="17"/>
    <x v="3"/>
    <x v="0"/>
    <x v="5"/>
    <x v="0"/>
    <n v="0.18"/>
    <x v="1"/>
    <n v="0.18179999999999999"/>
    <n v="0.26"/>
    <n v="0.19400000000000001"/>
    <n v="6"/>
    <n v="159"/>
    <n v="165"/>
  </r>
  <r>
    <n v="918"/>
    <x v="40"/>
    <x v="18"/>
    <x v="3"/>
    <x v="0"/>
    <x v="5"/>
    <x v="0"/>
    <n v="0.16"/>
    <x v="1"/>
    <n v="0.18179999999999999"/>
    <n v="0.28000000000000003"/>
    <n v="0.1343"/>
    <n v="3"/>
    <n v="157"/>
    <n v="160"/>
  </r>
  <r>
    <n v="919"/>
    <x v="40"/>
    <x v="19"/>
    <x v="3"/>
    <x v="0"/>
    <x v="5"/>
    <x v="0"/>
    <n v="0.14000000000000001"/>
    <x v="1"/>
    <n v="0.16669999999999999"/>
    <n v="0.28000000000000003"/>
    <n v="0.1045"/>
    <n v="2"/>
    <n v="110"/>
    <n v="112"/>
  </r>
  <r>
    <n v="920"/>
    <x v="40"/>
    <x v="20"/>
    <x v="3"/>
    <x v="0"/>
    <x v="5"/>
    <x v="0"/>
    <n v="0.14000000000000001"/>
    <x v="1"/>
    <n v="0.18179999999999999"/>
    <n v="0.31"/>
    <n v="8.9599999999999999E-2"/>
    <n v="4"/>
    <n v="93"/>
    <n v="97"/>
  </r>
  <r>
    <n v="921"/>
    <x v="40"/>
    <x v="21"/>
    <x v="0"/>
    <x v="0"/>
    <x v="5"/>
    <x v="0"/>
    <n v="0.14000000000000001"/>
    <x v="1"/>
    <n v="0.21210000000000001"/>
    <n v="0.39"/>
    <n v="0"/>
    <n v="2"/>
    <n v="70"/>
    <n v="72"/>
  </r>
  <r>
    <n v="922"/>
    <x v="40"/>
    <x v="22"/>
    <x v="0"/>
    <x v="0"/>
    <x v="5"/>
    <x v="0"/>
    <n v="0.12"/>
    <x v="1"/>
    <n v="0.19700000000000001"/>
    <n v="0.39"/>
    <n v="0"/>
    <n v="4"/>
    <n v="47"/>
    <n v="51"/>
  </r>
  <r>
    <n v="923"/>
    <x v="40"/>
    <x v="23"/>
    <x v="0"/>
    <x v="0"/>
    <x v="5"/>
    <x v="0"/>
    <n v="0.12"/>
    <x v="1"/>
    <n v="0.1515"/>
    <n v="0.42"/>
    <n v="0.1045"/>
    <n v="1"/>
    <n v="33"/>
    <n v="34"/>
  </r>
  <r>
    <n v="924"/>
    <x v="41"/>
    <x v="0"/>
    <x v="0"/>
    <x v="0"/>
    <x v="6"/>
    <x v="0"/>
    <n v="0.1"/>
    <x v="1"/>
    <n v="0.13639999999999999"/>
    <n v="0.49"/>
    <n v="0.1045"/>
    <n v="2"/>
    <n v="12"/>
    <n v="14"/>
  </r>
  <r>
    <n v="925"/>
    <x v="41"/>
    <x v="1"/>
    <x v="0"/>
    <x v="0"/>
    <x v="6"/>
    <x v="0"/>
    <n v="0.1"/>
    <x v="1"/>
    <n v="0.13639999999999999"/>
    <n v="0.54"/>
    <n v="8.9599999999999999E-2"/>
    <n v="1"/>
    <n v="6"/>
    <n v="7"/>
  </r>
  <r>
    <n v="926"/>
    <x v="41"/>
    <x v="2"/>
    <x v="0"/>
    <x v="0"/>
    <x v="6"/>
    <x v="0"/>
    <n v="0.1"/>
    <x v="1"/>
    <n v="0.13639999999999999"/>
    <n v="0.54"/>
    <n v="8.9599999999999999E-2"/>
    <n v="0"/>
    <n v="3"/>
    <n v="3"/>
  </r>
  <r>
    <n v="927"/>
    <x v="41"/>
    <x v="5"/>
    <x v="1"/>
    <x v="0"/>
    <x v="6"/>
    <x v="0"/>
    <n v="0.08"/>
    <x v="1"/>
    <n v="0.1212"/>
    <n v="0.63"/>
    <n v="8.9599999999999999E-2"/>
    <n v="0"/>
    <n v="4"/>
    <n v="4"/>
  </r>
  <r>
    <n v="928"/>
    <x v="41"/>
    <x v="6"/>
    <x v="1"/>
    <x v="0"/>
    <x v="6"/>
    <x v="0"/>
    <n v="0.1"/>
    <x v="1"/>
    <n v="0.18179999999999999"/>
    <n v="0.68"/>
    <n v="0"/>
    <n v="1"/>
    <n v="23"/>
    <n v="24"/>
  </r>
  <r>
    <n v="929"/>
    <x v="41"/>
    <x v="7"/>
    <x v="1"/>
    <x v="0"/>
    <x v="6"/>
    <x v="0"/>
    <n v="0.08"/>
    <x v="1"/>
    <n v="0.16669999999999999"/>
    <n v="0.73"/>
    <n v="0"/>
    <n v="1"/>
    <n v="73"/>
    <n v="74"/>
  </r>
  <r>
    <n v="930"/>
    <x v="41"/>
    <x v="8"/>
    <x v="1"/>
    <x v="0"/>
    <x v="6"/>
    <x v="0"/>
    <n v="0.1"/>
    <x v="1"/>
    <n v="0.1212"/>
    <n v="0.74"/>
    <n v="0.16420000000000001"/>
    <n v="4"/>
    <n v="212"/>
    <n v="216"/>
  </r>
  <r>
    <n v="931"/>
    <x v="41"/>
    <x v="9"/>
    <x v="1"/>
    <x v="0"/>
    <x v="6"/>
    <x v="0"/>
    <n v="0.12"/>
    <x v="1"/>
    <n v="0.1212"/>
    <n v="0.74"/>
    <n v="0.22389999999999999"/>
    <n v="8"/>
    <n v="132"/>
    <n v="140"/>
  </r>
  <r>
    <n v="932"/>
    <x v="41"/>
    <x v="10"/>
    <x v="1"/>
    <x v="0"/>
    <x v="6"/>
    <x v="0"/>
    <n v="0.14000000000000001"/>
    <x v="1"/>
    <n v="0.13639999999999999"/>
    <n v="0.69"/>
    <n v="0.19400000000000001"/>
    <n v="5"/>
    <n v="39"/>
    <n v="44"/>
  </r>
  <r>
    <n v="933"/>
    <x v="41"/>
    <x v="11"/>
    <x v="1"/>
    <x v="0"/>
    <x v="6"/>
    <x v="0"/>
    <n v="0.22"/>
    <x v="0"/>
    <n v="0.2273"/>
    <n v="0.47"/>
    <n v="0.1343"/>
    <n v="12"/>
    <n v="52"/>
    <n v="64"/>
  </r>
  <r>
    <n v="934"/>
    <x v="41"/>
    <x v="12"/>
    <x v="2"/>
    <x v="0"/>
    <x v="6"/>
    <x v="0"/>
    <n v="0.22"/>
    <x v="0"/>
    <n v="0.2273"/>
    <n v="0.47"/>
    <n v="0.1343"/>
    <n v="7"/>
    <n v="64"/>
    <n v="71"/>
  </r>
  <r>
    <n v="935"/>
    <x v="41"/>
    <x v="13"/>
    <x v="2"/>
    <x v="0"/>
    <x v="6"/>
    <x v="0"/>
    <n v="0.24"/>
    <x v="0"/>
    <n v="0.2273"/>
    <n v="0.35"/>
    <n v="0.19400000000000001"/>
    <n v="21"/>
    <n v="89"/>
    <n v="110"/>
  </r>
  <r>
    <n v="936"/>
    <x v="41"/>
    <x v="14"/>
    <x v="2"/>
    <x v="0"/>
    <x v="6"/>
    <x v="0"/>
    <n v="0.3"/>
    <x v="0"/>
    <n v="0.28789999999999999"/>
    <n v="0.26"/>
    <n v="0.25369999999999998"/>
    <n v="17"/>
    <n v="67"/>
    <n v="84"/>
  </r>
  <r>
    <n v="937"/>
    <x v="41"/>
    <x v="15"/>
    <x v="2"/>
    <x v="0"/>
    <x v="6"/>
    <x v="0"/>
    <n v="0.32"/>
    <x v="0"/>
    <n v="0.31819999999999998"/>
    <n v="0.21"/>
    <n v="0.16420000000000001"/>
    <n v="12"/>
    <n v="62"/>
    <n v="74"/>
  </r>
  <r>
    <n v="938"/>
    <x v="41"/>
    <x v="16"/>
    <x v="2"/>
    <x v="0"/>
    <x v="6"/>
    <x v="0"/>
    <n v="0.3"/>
    <x v="0"/>
    <n v="0.28789999999999999"/>
    <n v="0.28000000000000003"/>
    <n v="0.19400000000000001"/>
    <n v="14"/>
    <n v="111"/>
    <n v="125"/>
  </r>
  <r>
    <n v="939"/>
    <x v="41"/>
    <x v="17"/>
    <x v="3"/>
    <x v="0"/>
    <x v="6"/>
    <x v="0"/>
    <n v="0.3"/>
    <x v="0"/>
    <n v="0.33329999999999999"/>
    <n v="0.24"/>
    <n v="0"/>
    <n v="18"/>
    <n v="193"/>
    <n v="211"/>
  </r>
  <r>
    <n v="940"/>
    <x v="41"/>
    <x v="18"/>
    <x v="3"/>
    <x v="0"/>
    <x v="6"/>
    <x v="0"/>
    <n v="0.28000000000000003"/>
    <x v="0"/>
    <n v="0.31819999999999998"/>
    <n v="0.28000000000000003"/>
    <n v="0"/>
    <n v="9"/>
    <n v="165"/>
    <n v="174"/>
  </r>
  <r>
    <n v="941"/>
    <x v="41"/>
    <x v="19"/>
    <x v="3"/>
    <x v="0"/>
    <x v="6"/>
    <x v="0"/>
    <n v="0.26"/>
    <x v="0"/>
    <n v="0.30299999999999999"/>
    <n v="0.33"/>
    <n v="0"/>
    <n v="7"/>
    <n v="94"/>
    <n v="101"/>
  </r>
  <r>
    <n v="942"/>
    <x v="41"/>
    <x v="20"/>
    <x v="3"/>
    <x v="0"/>
    <x v="6"/>
    <x v="0"/>
    <n v="0.22"/>
    <x v="0"/>
    <n v="0.2273"/>
    <n v="0.55000000000000004"/>
    <n v="0.1343"/>
    <n v="2"/>
    <n v="61"/>
    <n v="63"/>
  </r>
  <r>
    <n v="943"/>
    <x v="41"/>
    <x v="21"/>
    <x v="0"/>
    <x v="0"/>
    <x v="6"/>
    <x v="0"/>
    <n v="0.2"/>
    <x v="1"/>
    <n v="0.21210000000000001"/>
    <n v="0.59"/>
    <n v="0.1343"/>
    <n v="1"/>
    <n v="46"/>
    <n v="47"/>
  </r>
  <r>
    <n v="944"/>
    <x v="41"/>
    <x v="22"/>
    <x v="0"/>
    <x v="0"/>
    <x v="6"/>
    <x v="0"/>
    <n v="0.2"/>
    <x v="1"/>
    <n v="0.2273"/>
    <n v="0.64"/>
    <n v="8.9599999999999999E-2"/>
    <n v="2"/>
    <n v="41"/>
    <n v="43"/>
  </r>
  <r>
    <n v="945"/>
    <x v="41"/>
    <x v="23"/>
    <x v="0"/>
    <x v="0"/>
    <x v="6"/>
    <x v="0"/>
    <n v="0.18"/>
    <x v="1"/>
    <n v="0.2424"/>
    <n v="0.69"/>
    <n v="0"/>
    <n v="5"/>
    <n v="48"/>
    <n v="53"/>
  </r>
  <r>
    <n v="946"/>
    <x v="42"/>
    <x v="0"/>
    <x v="0"/>
    <x v="0"/>
    <x v="0"/>
    <x v="0"/>
    <n v="0.16"/>
    <x v="1"/>
    <n v="0.19700000000000001"/>
    <n v="0.69"/>
    <n v="8.9599999999999999E-2"/>
    <n v="3"/>
    <n v="27"/>
    <n v="30"/>
  </r>
  <r>
    <n v="947"/>
    <x v="42"/>
    <x v="1"/>
    <x v="0"/>
    <x v="0"/>
    <x v="0"/>
    <x v="0"/>
    <n v="0.14000000000000001"/>
    <x v="1"/>
    <n v="0.21210000000000001"/>
    <n v="0.86"/>
    <n v="0"/>
    <n v="2"/>
    <n v="22"/>
    <n v="24"/>
  </r>
  <r>
    <n v="948"/>
    <x v="42"/>
    <x v="2"/>
    <x v="0"/>
    <x v="0"/>
    <x v="0"/>
    <x v="0"/>
    <n v="0.14000000000000001"/>
    <x v="1"/>
    <n v="0.21210000000000001"/>
    <n v="0.8"/>
    <n v="0"/>
    <n v="2"/>
    <n v="13"/>
    <n v="15"/>
  </r>
  <r>
    <n v="949"/>
    <x v="42"/>
    <x v="3"/>
    <x v="0"/>
    <x v="0"/>
    <x v="0"/>
    <x v="0"/>
    <n v="0.12"/>
    <x v="1"/>
    <n v="0.19700000000000001"/>
    <n v="0.8"/>
    <n v="0"/>
    <n v="3"/>
    <n v="7"/>
    <n v="10"/>
  </r>
  <r>
    <n v="950"/>
    <x v="42"/>
    <x v="4"/>
    <x v="0"/>
    <x v="0"/>
    <x v="0"/>
    <x v="0"/>
    <n v="0.12"/>
    <x v="1"/>
    <n v="0.16669999999999999"/>
    <n v="0.74"/>
    <n v="8.9599999999999999E-2"/>
    <n v="0"/>
    <n v="4"/>
    <n v="4"/>
  </r>
  <r>
    <n v="951"/>
    <x v="42"/>
    <x v="5"/>
    <x v="1"/>
    <x v="0"/>
    <x v="0"/>
    <x v="0"/>
    <n v="0.12"/>
    <x v="1"/>
    <n v="0.16669999999999999"/>
    <n v="0.74"/>
    <n v="8.9599999999999999E-2"/>
    <n v="0"/>
    <n v="1"/>
    <n v="1"/>
  </r>
  <r>
    <n v="952"/>
    <x v="42"/>
    <x v="6"/>
    <x v="1"/>
    <x v="0"/>
    <x v="0"/>
    <x v="0"/>
    <n v="0.12"/>
    <x v="1"/>
    <n v="0.13639999999999999"/>
    <n v="0.93"/>
    <n v="0.19400000000000001"/>
    <n v="1"/>
    <n v="1"/>
    <n v="2"/>
  </r>
  <r>
    <n v="953"/>
    <x v="42"/>
    <x v="7"/>
    <x v="1"/>
    <x v="0"/>
    <x v="0"/>
    <x v="0"/>
    <n v="0.12"/>
    <x v="1"/>
    <n v="0.1515"/>
    <n v="0.8"/>
    <n v="0.1045"/>
    <n v="2"/>
    <n v="9"/>
    <n v="11"/>
  </r>
  <r>
    <n v="954"/>
    <x v="42"/>
    <x v="8"/>
    <x v="1"/>
    <x v="0"/>
    <x v="0"/>
    <x v="0"/>
    <n v="0.14000000000000001"/>
    <x v="1"/>
    <n v="0.1515"/>
    <n v="0.86"/>
    <n v="0.1343"/>
    <n v="2"/>
    <n v="28"/>
    <n v="30"/>
  </r>
  <r>
    <n v="955"/>
    <x v="42"/>
    <x v="9"/>
    <x v="1"/>
    <x v="0"/>
    <x v="0"/>
    <x v="0"/>
    <n v="0.16"/>
    <x v="1"/>
    <n v="0.18179999999999999"/>
    <n v="0.64"/>
    <n v="0.1343"/>
    <n v="5"/>
    <n v="38"/>
    <n v="43"/>
  </r>
  <r>
    <n v="956"/>
    <x v="42"/>
    <x v="10"/>
    <x v="1"/>
    <x v="0"/>
    <x v="0"/>
    <x v="0"/>
    <n v="0.22"/>
    <x v="0"/>
    <n v="0.21210000000000001"/>
    <n v="0.41"/>
    <n v="0.25369999999999998"/>
    <n v="13"/>
    <n v="71"/>
    <n v="84"/>
  </r>
  <r>
    <n v="957"/>
    <x v="42"/>
    <x v="11"/>
    <x v="1"/>
    <x v="0"/>
    <x v="0"/>
    <x v="0"/>
    <n v="0.3"/>
    <x v="0"/>
    <n v="0.2727"/>
    <n v="0.28000000000000003"/>
    <n v="0.32840000000000003"/>
    <n v="30"/>
    <n v="84"/>
    <n v="114"/>
  </r>
  <r>
    <n v="958"/>
    <x v="42"/>
    <x v="12"/>
    <x v="2"/>
    <x v="0"/>
    <x v="0"/>
    <x v="0"/>
    <n v="0.3"/>
    <x v="0"/>
    <n v="0.2727"/>
    <n v="0.39"/>
    <n v="0.4627"/>
    <n v="27"/>
    <n v="93"/>
    <n v="120"/>
  </r>
  <r>
    <n v="959"/>
    <x v="42"/>
    <x v="13"/>
    <x v="2"/>
    <x v="0"/>
    <x v="0"/>
    <x v="0"/>
    <n v="0.3"/>
    <x v="0"/>
    <n v="0.2727"/>
    <n v="0.39"/>
    <n v="0.41789999999999999"/>
    <n v="32"/>
    <n v="103"/>
    <n v="135"/>
  </r>
  <r>
    <n v="960"/>
    <x v="42"/>
    <x v="14"/>
    <x v="2"/>
    <x v="0"/>
    <x v="0"/>
    <x v="0"/>
    <n v="0.34"/>
    <x v="0"/>
    <n v="0.31819999999999998"/>
    <n v="0.31"/>
    <n v="0.28360000000000002"/>
    <n v="30"/>
    <n v="90"/>
    <n v="120"/>
  </r>
  <r>
    <n v="961"/>
    <x v="42"/>
    <x v="15"/>
    <x v="2"/>
    <x v="0"/>
    <x v="0"/>
    <x v="0"/>
    <n v="0.34"/>
    <x v="0"/>
    <n v="0.30299999999999999"/>
    <n v="0.28999999999999998"/>
    <n v="0.41789999999999999"/>
    <n v="47"/>
    <n v="127"/>
    <n v="174"/>
  </r>
  <r>
    <n v="962"/>
    <x v="42"/>
    <x v="16"/>
    <x v="2"/>
    <x v="0"/>
    <x v="0"/>
    <x v="0"/>
    <n v="0.34"/>
    <x v="0"/>
    <n v="0.30299999999999999"/>
    <n v="0.28999999999999998"/>
    <n v="0.41789999999999999"/>
    <n v="42"/>
    <n v="103"/>
    <n v="145"/>
  </r>
  <r>
    <n v="963"/>
    <x v="42"/>
    <x v="17"/>
    <x v="3"/>
    <x v="0"/>
    <x v="0"/>
    <x v="0"/>
    <n v="0.32"/>
    <x v="0"/>
    <n v="0.28789999999999999"/>
    <n v="0.31"/>
    <n v="0.52239999999999998"/>
    <n v="24"/>
    <n v="113"/>
    <n v="137"/>
  </r>
  <r>
    <n v="964"/>
    <x v="42"/>
    <x v="18"/>
    <x v="3"/>
    <x v="0"/>
    <x v="0"/>
    <x v="0"/>
    <n v="0.28000000000000003"/>
    <x v="0"/>
    <n v="0.2576"/>
    <n v="0.38"/>
    <n v="0.32840000000000003"/>
    <n v="4"/>
    <n v="60"/>
    <n v="64"/>
  </r>
  <r>
    <n v="965"/>
    <x v="42"/>
    <x v="19"/>
    <x v="3"/>
    <x v="0"/>
    <x v="0"/>
    <x v="0"/>
    <n v="0.28000000000000003"/>
    <x v="0"/>
    <n v="0.2727"/>
    <n v="0.38"/>
    <n v="0.16420000000000001"/>
    <n v="2"/>
    <n v="39"/>
    <n v="41"/>
  </r>
  <r>
    <n v="966"/>
    <x v="42"/>
    <x v="20"/>
    <x v="3"/>
    <x v="0"/>
    <x v="0"/>
    <x v="0"/>
    <n v="0.26"/>
    <x v="0"/>
    <n v="0.2576"/>
    <n v="0.41"/>
    <n v="0.22389999999999999"/>
    <n v="1"/>
    <n v="39"/>
    <n v="40"/>
  </r>
  <r>
    <n v="967"/>
    <x v="42"/>
    <x v="21"/>
    <x v="0"/>
    <x v="0"/>
    <x v="0"/>
    <x v="0"/>
    <n v="0.26"/>
    <x v="0"/>
    <n v="0.30299999999999999"/>
    <n v="0.41"/>
    <n v="0"/>
    <n v="9"/>
    <n v="42"/>
    <n v="51"/>
  </r>
  <r>
    <n v="968"/>
    <x v="42"/>
    <x v="22"/>
    <x v="0"/>
    <x v="0"/>
    <x v="0"/>
    <x v="0"/>
    <n v="0.24"/>
    <x v="0"/>
    <n v="0.2576"/>
    <n v="0.44"/>
    <n v="8.9599999999999999E-2"/>
    <n v="6"/>
    <n v="39"/>
    <n v="45"/>
  </r>
  <r>
    <n v="969"/>
    <x v="42"/>
    <x v="23"/>
    <x v="0"/>
    <x v="0"/>
    <x v="0"/>
    <x v="0"/>
    <n v="0.22"/>
    <x v="0"/>
    <n v="0.2273"/>
    <n v="0.51"/>
    <n v="0.1343"/>
    <n v="1"/>
    <n v="31"/>
    <n v="32"/>
  </r>
  <r>
    <n v="970"/>
    <x v="43"/>
    <x v="0"/>
    <x v="0"/>
    <x v="0"/>
    <x v="1"/>
    <x v="0"/>
    <n v="0.2"/>
    <x v="1"/>
    <n v="0.2273"/>
    <n v="0.64"/>
    <n v="0.1045"/>
    <n v="5"/>
    <n v="34"/>
    <n v="39"/>
  </r>
  <r>
    <n v="971"/>
    <x v="43"/>
    <x v="1"/>
    <x v="0"/>
    <x v="0"/>
    <x v="1"/>
    <x v="0"/>
    <n v="0.2"/>
    <x v="1"/>
    <n v="0.2273"/>
    <n v="0.59"/>
    <n v="8.9599999999999999E-2"/>
    <n v="1"/>
    <n v="23"/>
    <n v="24"/>
  </r>
  <r>
    <n v="972"/>
    <x v="43"/>
    <x v="2"/>
    <x v="0"/>
    <x v="0"/>
    <x v="1"/>
    <x v="1"/>
    <n v="0.2"/>
    <x v="1"/>
    <n v="0.2273"/>
    <n v="0.75"/>
    <n v="8.9599999999999999E-2"/>
    <n v="1"/>
    <n v="19"/>
    <n v="20"/>
  </r>
  <r>
    <n v="973"/>
    <x v="43"/>
    <x v="3"/>
    <x v="0"/>
    <x v="0"/>
    <x v="1"/>
    <x v="1"/>
    <n v="0.2"/>
    <x v="1"/>
    <n v="0.2273"/>
    <n v="0.69"/>
    <n v="0.1045"/>
    <n v="4"/>
    <n v="8"/>
    <n v="12"/>
  </r>
  <r>
    <n v="974"/>
    <x v="43"/>
    <x v="4"/>
    <x v="0"/>
    <x v="0"/>
    <x v="1"/>
    <x v="1"/>
    <n v="0.2"/>
    <x v="1"/>
    <n v="0.21210000000000001"/>
    <n v="0.69"/>
    <n v="0.16420000000000001"/>
    <n v="0"/>
    <n v="2"/>
    <n v="2"/>
  </r>
  <r>
    <n v="975"/>
    <x v="43"/>
    <x v="6"/>
    <x v="1"/>
    <x v="0"/>
    <x v="1"/>
    <x v="1"/>
    <n v="0.2"/>
    <x v="1"/>
    <n v="0.21210000000000001"/>
    <n v="0.69"/>
    <n v="0.1343"/>
    <n v="2"/>
    <n v="3"/>
    <n v="5"/>
  </r>
  <r>
    <n v="976"/>
    <x v="43"/>
    <x v="7"/>
    <x v="1"/>
    <x v="0"/>
    <x v="1"/>
    <x v="1"/>
    <n v="0.22"/>
    <x v="0"/>
    <n v="0.2727"/>
    <n v="0.55000000000000004"/>
    <n v="0"/>
    <n v="0"/>
    <n v="3"/>
    <n v="3"/>
  </r>
  <r>
    <n v="977"/>
    <x v="43"/>
    <x v="8"/>
    <x v="1"/>
    <x v="0"/>
    <x v="1"/>
    <x v="1"/>
    <n v="0.22"/>
    <x v="0"/>
    <n v="0.2273"/>
    <n v="0.64"/>
    <n v="0.19400000000000001"/>
    <n v="1"/>
    <n v="11"/>
    <n v="12"/>
  </r>
  <r>
    <n v="978"/>
    <x v="43"/>
    <x v="9"/>
    <x v="1"/>
    <x v="0"/>
    <x v="1"/>
    <x v="1"/>
    <n v="0.24"/>
    <x v="0"/>
    <n v="0.2273"/>
    <n v="0.6"/>
    <n v="0.22389999999999999"/>
    <n v="12"/>
    <n v="35"/>
    <n v="47"/>
  </r>
  <r>
    <n v="979"/>
    <x v="43"/>
    <x v="10"/>
    <x v="1"/>
    <x v="0"/>
    <x v="1"/>
    <x v="0"/>
    <n v="0.3"/>
    <x v="0"/>
    <n v="0.2727"/>
    <n v="0.45"/>
    <n v="0.32840000000000003"/>
    <n v="19"/>
    <n v="86"/>
    <n v="105"/>
  </r>
  <r>
    <n v="980"/>
    <x v="43"/>
    <x v="11"/>
    <x v="1"/>
    <x v="0"/>
    <x v="1"/>
    <x v="0"/>
    <n v="0.32"/>
    <x v="0"/>
    <n v="0.28789999999999999"/>
    <n v="0.39"/>
    <n v="0.44779999999999998"/>
    <n v="26"/>
    <n v="86"/>
    <n v="112"/>
  </r>
  <r>
    <n v="981"/>
    <x v="43"/>
    <x v="12"/>
    <x v="2"/>
    <x v="0"/>
    <x v="1"/>
    <x v="0"/>
    <n v="0.36"/>
    <x v="0"/>
    <n v="0.31819999999999998"/>
    <n v="0.32"/>
    <n v="0.4627"/>
    <n v="58"/>
    <n v="94"/>
    <n v="152"/>
  </r>
  <r>
    <n v="982"/>
    <x v="43"/>
    <x v="13"/>
    <x v="2"/>
    <x v="0"/>
    <x v="1"/>
    <x v="0"/>
    <n v="0.38"/>
    <x v="0"/>
    <n v="0.39389999999999997"/>
    <n v="0.28999999999999998"/>
    <n v="0.35820000000000002"/>
    <n v="62"/>
    <n v="92"/>
    <n v="154"/>
  </r>
  <r>
    <n v="983"/>
    <x v="43"/>
    <x v="14"/>
    <x v="2"/>
    <x v="0"/>
    <x v="1"/>
    <x v="1"/>
    <n v="0.4"/>
    <x v="0"/>
    <n v="0.40910000000000002"/>
    <n v="0.3"/>
    <n v="0.41789999999999999"/>
    <n v="51"/>
    <n v="110"/>
    <n v="161"/>
  </r>
  <r>
    <n v="984"/>
    <x v="43"/>
    <x v="15"/>
    <x v="2"/>
    <x v="0"/>
    <x v="1"/>
    <x v="1"/>
    <n v="0.4"/>
    <x v="0"/>
    <n v="0.40910000000000002"/>
    <n v="0.3"/>
    <n v="0.29849999999999999"/>
    <n v="40"/>
    <n v="122"/>
    <n v="162"/>
  </r>
  <r>
    <n v="985"/>
    <x v="43"/>
    <x v="16"/>
    <x v="2"/>
    <x v="0"/>
    <x v="1"/>
    <x v="1"/>
    <n v="0.42"/>
    <x v="2"/>
    <n v="0.42420000000000002"/>
    <n v="0.28000000000000003"/>
    <n v="0.32840000000000003"/>
    <n v="28"/>
    <n v="106"/>
    <n v="134"/>
  </r>
  <r>
    <n v="986"/>
    <x v="43"/>
    <x v="17"/>
    <x v="3"/>
    <x v="0"/>
    <x v="1"/>
    <x v="0"/>
    <n v="0.42"/>
    <x v="2"/>
    <n v="0.42420000000000002"/>
    <n v="0.28000000000000003"/>
    <n v="0.32840000000000003"/>
    <n v="30"/>
    <n v="95"/>
    <n v="125"/>
  </r>
  <r>
    <n v="987"/>
    <x v="43"/>
    <x v="18"/>
    <x v="3"/>
    <x v="0"/>
    <x v="1"/>
    <x v="0"/>
    <n v="0.4"/>
    <x v="0"/>
    <n v="0.40910000000000002"/>
    <n v="0.32"/>
    <n v="0.29849999999999999"/>
    <n v="17"/>
    <n v="78"/>
    <n v="95"/>
  </r>
  <r>
    <n v="988"/>
    <x v="43"/>
    <x v="19"/>
    <x v="3"/>
    <x v="0"/>
    <x v="1"/>
    <x v="0"/>
    <n v="0.4"/>
    <x v="0"/>
    <n v="0.40910000000000002"/>
    <n v="0.35"/>
    <n v="0.28360000000000002"/>
    <n v="11"/>
    <n v="50"/>
    <n v="61"/>
  </r>
  <r>
    <n v="989"/>
    <x v="43"/>
    <x v="20"/>
    <x v="3"/>
    <x v="0"/>
    <x v="1"/>
    <x v="0"/>
    <n v="0.4"/>
    <x v="0"/>
    <n v="0.40910000000000002"/>
    <n v="0.35"/>
    <n v="0.32840000000000003"/>
    <n v="15"/>
    <n v="32"/>
    <n v="47"/>
  </r>
  <r>
    <n v="990"/>
    <x v="43"/>
    <x v="21"/>
    <x v="0"/>
    <x v="0"/>
    <x v="1"/>
    <x v="0"/>
    <n v="0.4"/>
    <x v="0"/>
    <n v="0.40910000000000002"/>
    <n v="0.35"/>
    <n v="0.35820000000000002"/>
    <n v="6"/>
    <n v="45"/>
    <n v="51"/>
  </r>
  <r>
    <n v="991"/>
    <x v="43"/>
    <x v="22"/>
    <x v="0"/>
    <x v="0"/>
    <x v="1"/>
    <x v="0"/>
    <n v="0.4"/>
    <x v="0"/>
    <n v="0.40910000000000002"/>
    <n v="0.35"/>
    <n v="0.29849999999999999"/>
    <n v="5"/>
    <n v="31"/>
    <n v="36"/>
  </r>
  <r>
    <n v="992"/>
    <x v="43"/>
    <x v="23"/>
    <x v="0"/>
    <x v="0"/>
    <x v="1"/>
    <x v="0"/>
    <n v="0.4"/>
    <x v="0"/>
    <n v="0.40910000000000002"/>
    <n v="0.35"/>
    <n v="0.35820000000000002"/>
    <n v="3"/>
    <n v="27"/>
    <n v="30"/>
  </r>
  <r>
    <n v="993"/>
    <x v="44"/>
    <x v="0"/>
    <x v="0"/>
    <x v="0"/>
    <x v="2"/>
    <x v="0"/>
    <n v="0.38"/>
    <x v="0"/>
    <n v="0.39389999999999997"/>
    <n v="0.37"/>
    <n v="0.35820000000000002"/>
    <n v="3"/>
    <n v="8"/>
    <n v="11"/>
  </r>
  <r>
    <n v="994"/>
    <x v="44"/>
    <x v="1"/>
    <x v="0"/>
    <x v="0"/>
    <x v="2"/>
    <x v="0"/>
    <n v="0.38"/>
    <x v="0"/>
    <n v="0.39389999999999997"/>
    <n v="0.37"/>
    <n v="0.35820000000000002"/>
    <n v="1"/>
    <n v="6"/>
    <n v="7"/>
  </r>
  <r>
    <n v="995"/>
    <x v="44"/>
    <x v="2"/>
    <x v="0"/>
    <x v="0"/>
    <x v="2"/>
    <x v="0"/>
    <n v="0.36"/>
    <x v="0"/>
    <n v="0.33329999999999999"/>
    <n v="0.4"/>
    <n v="0.29849999999999999"/>
    <n v="0"/>
    <n v="2"/>
    <n v="2"/>
  </r>
  <r>
    <n v="996"/>
    <x v="44"/>
    <x v="3"/>
    <x v="0"/>
    <x v="0"/>
    <x v="2"/>
    <x v="0"/>
    <n v="0.34"/>
    <x v="0"/>
    <n v="0.31819999999999998"/>
    <n v="0.46"/>
    <n v="0.22389999999999999"/>
    <n v="1"/>
    <n v="1"/>
    <n v="2"/>
  </r>
  <r>
    <n v="997"/>
    <x v="44"/>
    <x v="4"/>
    <x v="0"/>
    <x v="0"/>
    <x v="2"/>
    <x v="0"/>
    <n v="0.32"/>
    <x v="0"/>
    <n v="0.30299999999999999"/>
    <n v="0.53"/>
    <n v="0.28360000000000002"/>
    <n v="0"/>
    <n v="2"/>
    <n v="2"/>
  </r>
  <r>
    <n v="998"/>
    <x v="44"/>
    <x v="5"/>
    <x v="1"/>
    <x v="0"/>
    <x v="2"/>
    <x v="0"/>
    <n v="0.32"/>
    <x v="0"/>
    <n v="0.30299999999999999"/>
    <n v="0.53"/>
    <n v="0.28360000000000002"/>
    <n v="0"/>
    <n v="3"/>
    <n v="3"/>
  </r>
  <r>
    <n v="999"/>
    <x v="44"/>
    <x v="6"/>
    <x v="1"/>
    <x v="0"/>
    <x v="2"/>
    <x v="0"/>
    <n v="0.34"/>
    <x v="0"/>
    <n v="0.30299999999999999"/>
    <n v="0.46"/>
    <n v="0.29849999999999999"/>
    <n v="1"/>
    <n v="25"/>
    <n v="26"/>
  </r>
  <r>
    <n v="1000"/>
    <x v="44"/>
    <x v="7"/>
    <x v="1"/>
    <x v="0"/>
    <x v="2"/>
    <x v="0"/>
    <n v="0.34"/>
    <x v="0"/>
    <n v="0.30299999999999999"/>
    <n v="0.46"/>
    <n v="0.29849999999999999"/>
    <n v="2"/>
    <n v="96"/>
    <n v="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4BE6E2-D63C-4D45-8A27-CF318178EA8D}" name="Registered &amp; Casual by Date" cacheId="0" applyNumberFormats="0" applyBorderFormats="0" applyFontFormats="0" applyPatternFormats="0" applyAlignmentFormats="0" applyWidthHeightFormats="1" dataCaption="Values" updatedVersion="6" minRefreshableVersion="3" useAutoFormatting="1" itemPrintTitles="1" createdVersion="7" indent="0" outline="1" outlineData="1" multipleFieldFilters="0" rowHeaderCaption="Date">
  <location ref="A3:D49" firstHeaderRow="0" firstDataRow="1" firstDataCol="1"/>
  <pivotFields count="15">
    <pivotField showAll="0"/>
    <pivotField axis="axisRow"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5">
        <item x="2"/>
        <item x="3"/>
        <item x="1"/>
        <item x="0"/>
        <item t="default"/>
      </items>
    </pivotField>
    <pivotField showAll="0">
      <items count="4">
        <item m="1" x="2"/>
        <item x="1"/>
        <item x="0"/>
        <item t="default"/>
      </items>
    </pivotField>
    <pivotField showAll="0">
      <items count="8">
        <item x="1"/>
        <item x="2"/>
        <item x="3"/>
        <item x="4"/>
        <item x="5"/>
        <item x="6"/>
        <item x="0"/>
        <item t="default"/>
      </items>
    </pivotField>
    <pivotField showAll="0">
      <items count="5">
        <item x="3"/>
        <item x="2"/>
        <item x="1"/>
        <item x="0"/>
        <item t="default"/>
      </items>
    </pivotField>
    <pivotField numFmtId="164" showAll="0"/>
    <pivotField showAll="0">
      <items count="4">
        <item x="1"/>
        <item x="2"/>
        <item x="0"/>
        <item t="default"/>
      </items>
    </pivotField>
    <pivotField numFmtId="164" showAll="0"/>
    <pivotField numFmtId="164" showAll="0"/>
    <pivotField numFmtId="164" showAll="0"/>
    <pivotField dataField="1" showAll="0"/>
    <pivotField dataField="1" showAll="0"/>
    <pivotField dataField="1" showAll="0"/>
  </pivotFields>
  <rowFields count="1">
    <field x="1"/>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Fields count="1">
    <field x="-2"/>
  </colFields>
  <colItems count="3">
    <i>
      <x/>
    </i>
    <i i="1">
      <x v="1"/>
    </i>
    <i i="2">
      <x v="2"/>
    </i>
  </colItems>
  <dataFields count="3">
    <dataField name="Total Registered" fld="13" baseField="1" baseItem="0"/>
    <dataField name="Total Casual" fld="12" baseField="1" baseItem="0"/>
    <dataField name="Total Rides" fld="14"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64E5BF-9948-426B-AB6C-EB41979E6EA9}" name="Peak Hour Kpi "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Hour">
  <location ref="A3:B28" firstHeaderRow="1" firstDataRow="1" firstDataCol="1"/>
  <pivotFields count="15">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5">
        <item x="2"/>
        <item x="3"/>
        <item x="1"/>
        <item x="0"/>
        <item t="default"/>
      </items>
    </pivotField>
    <pivotField showAll="0">
      <items count="4">
        <item m="1" x="2"/>
        <item x="1"/>
        <item x="0"/>
        <item t="default"/>
      </items>
    </pivotField>
    <pivotField showAll="0">
      <items count="8">
        <item x="1"/>
        <item x="2"/>
        <item x="3"/>
        <item x="4"/>
        <item x="5"/>
        <item x="6"/>
        <item x="0"/>
        <item t="default"/>
      </items>
    </pivotField>
    <pivotField showAll="0">
      <items count="5">
        <item x="3"/>
        <item x="2"/>
        <item x="1"/>
        <item x="0"/>
        <item t="default"/>
      </items>
    </pivotField>
    <pivotField numFmtId="164" showAll="0"/>
    <pivotField showAll="0">
      <items count="4">
        <item x="1"/>
        <item x="2"/>
        <item x="0"/>
        <item t="default"/>
      </items>
    </pivotField>
    <pivotField numFmtId="164" showAll="0"/>
    <pivotField numFmtId="164" showAll="0"/>
    <pivotField numFmtId="164" showAll="0"/>
    <pivotField showAll="0"/>
    <pivotField showAll="0"/>
    <pivotField dataField="1"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 Total Rides" fld="14"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3D00F0E-4713-47D5-AB50-A75123ACF0F0}" name="KPI"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4" firstHeaderRow="0" firstDataRow="1" firstDataCol="0"/>
  <pivotFields count="15">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5">
        <item x="2"/>
        <item x="3"/>
        <item x="1"/>
        <item x="0"/>
        <item t="default"/>
      </items>
    </pivotField>
    <pivotField showAll="0">
      <items count="4">
        <item m="1" x="2"/>
        <item x="1"/>
        <item x="0"/>
        <item t="default"/>
      </items>
    </pivotField>
    <pivotField showAll="0">
      <items count="8">
        <item x="1"/>
        <item x="2"/>
        <item x="3"/>
        <item x="4"/>
        <item x="5"/>
        <item x="6"/>
        <item x="0"/>
        <item t="default"/>
      </items>
    </pivotField>
    <pivotField showAll="0">
      <items count="5">
        <item x="3"/>
        <item x="2"/>
        <item x="1"/>
        <item x="0"/>
        <item t="default"/>
      </items>
    </pivotField>
    <pivotField dataField="1" numFmtId="164" showAll="0"/>
    <pivotField showAll="0">
      <items count="4">
        <item x="1"/>
        <item x="2"/>
        <item x="0"/>
        <item t="default"/>
      </items>
    </pivotField>
    <pivotField dataField="1" numFmtId="164" showAll="0"/>
    <pivotField dataField="1" numFmtId="164" showAll="0"/>
    <pivotField dataField="1" numFmtId="164" showAll="0"/>
    <pivotField showAll="0"/>
    <pivotField showAll="0"/>
    <pivotField showAll="0"/>
  </pivotFields>
  <rowItems count="1">
    <i/>
  </rowItems>
  <colFields count="1">
    <field x="-2"/>
  </colFields>
  <colItems count="4">
    <i>
      <x/>
    </i>
    <i i="1">
      <x v="1"/>
    </i>
    <i i="2">
      <x v="2"/>
    </i>
    <i i="3">
      <x v="3"/>
    </i>
  </colItems>
  <dataFields count="4">
    <dataField name="Max Temp" fld="7" subtotal="max" baseField="0" baseItem="1"/>
    <dataField name="Max of Assume Temp" fld="9" subtotal="max" baseField="0" baseItem="1"/>
    <dataField name="Average of Windspeed" fld="11" subtotal="average" baseField="0" baseItem="2"/>
    <dataField name="Average Humidity" fld="10" subtotal="average" baseField="0" baseItem="3"/>
  </dataFields>
  <formats count="1">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94D231-A834-4B4C-840D-DBAE3AC967D9}" name="Total Ride by Hour"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rowHeaderCaption="Hour">
  <location ref="A3:B28" firstHeaderRow="1" firstDataRow="1" firstDataCol="1"/>
  <pivotFields count="15">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5">
        <item x="2"/>
        <item x="3"/>
        <item x="1"/>
        <item x="0"/>
        <item t="default"/>
      </items>
    </pivotField>
    <pivotField showAll="0">
      <items count="4">
        <item m="1" x="2"/>
        <item x="1"/>
        <item x="0"/>
        <item t="default"/>
      </items>
    </pivotField>
    <pivotField showAll="0">
      <items count="8">
        <item x="1"/>
        <item x="2"/>
        <item x="3"/>
        <item x="4"/>
        <item x="5"/>
        <item x="6"/>
        <item x="0"/>
        <item t="default"/>
      </items>
    </pivotField>
    <pivotField showAll="0">
      <items count="5">
        <item x="3"/>
        <item x="2"/>
        <item x="1"/>
        <item x="0"/>
        <item t="default"/>
      </items>
    </pivotField>
    <pivotField numFmtId="164" showAll="0"/>
    <pivotField showAll="0">
      <items count="4">
        <item x="1"/>
        <item x="2"/>
        <item x="0"/>
        <item t="default"/>
      </items>
    </pivotField>
    <pivotField numFmtId="164" showAll="0"/>
    <pivotField numFmtId="164" showAll="0"/>
    <pivotField numFmtId="164" showAll="0"/>
    <pivotField showAll="0"/>
    <pivotField showAll="0"/>
    <pivotField dataField="1"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Total Rides" fld="14" baseField="2"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D9A414F-8D7A-4D4D-910B-8D75ECD302E9}" name="Total Ride by Dat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49" firstHeaderRow="1" firstDataRow="1" firstDataCol="1"/>
  <pivotFields count="15">
    <pivotField showAll="0"/>
    <pivotField axis="axisRow"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5">
        <item x="2"/>
        <item x="3"/>
        <item x="1"/>
        <item x="0"/>
        <item t="default"/>
      </items>
    </pivotField>
    <pivotField showAll="0">
      <items count="4">
        <item m="1" x="2"/>
        <item x="1"/>
        <item x="0"/>
        <item t="default"/>
      </items>
    </pivotField>
    <pivotField showAll="0">
      <items count="8">
        <item x="1"/>
        <item x="2"/>
        <item x="3"/>
        <item x="4"/>
        <item x="5"/>
        <item x="6"/>
        <item x="0"/>
        <item t="default"/>
      </items>
    </pivotField>
    <pivotField showAll="0">
      <items count="5">
        <item x="3"/>
        <item x="2"/>
        <item x="1"/>
        <item x="0"/>
        <item t="default"/>
      </items>
    </pivotField>
    <pivotField numFmtId="164" showAll="0"/>
    <pivotField showAll="0">
      <items count="4">
        <item x="1"/>
        <item x="2"/>
        <item x="0"/>
        <item t="default"/>
      </items>
    </pivotField>
    <pivotField numFmtId="164" showAll="0"/>
    <pivotField numFmtId="164" showAll="0"/>
    <pivotField numFmtId="164" showAll="0"/>
    <pivotField showAll="0"/>
    <pivotField showAll="0"/>
    <pivotField dataField="1" showAll="0"/>
  </pivotFields>
  <rowFields count="1">
    <field x="1"/>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Items count="1">
    <i/>
  </colItems>
  <dataFields count="1">
    <dataField name="Sum of Total Ride" fld="14" baseField="0" baseItem="0"/>
  </dataFields>
  <formats count="1">
    <format dxfId="22">
      <pivotArea dataOnly="0" labelOnly="1" fieldPosition="0">
        <references count="1">
          <reference field="1" count="0"/>
        </references>
      </pivotArea>
    </format>
  </format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9AA4901-5974-49CC-93F9-81593005E5AF}"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Hour">
  <location ref="A9:I35" firstHeaderRow="1" firstDataRow="2" firstDataCol="1"/>
  <pivotFields count="15">
    <pivotField showAll="0"/>
    <pivotField numFmtId="14"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5">
        <item x="2"/>
        <item x="3"/>
        <item x="1"/>
        <item x="0"/>
        <item t="default"/>
      </items>
    </pivotField>
    <pivotField showAll="0"/>
    <pivotField axis="axisCol" showAll="0">
      <items count="8">
        <item x="1"/>
        <item x="2"/>
        <item x="3"/>
        <item x="4"/>
        <item x="5"/>
        <item x="6"/>
        <item x="0"/>
        <item t="default"/>
      </items>
    </pivotField>
    <pivotField showAll="0">
      <items count="5">
        <item x="3"/>
        <item x="2"/>
        <item x="1"/>
        <item x="0"/>
        <item t="default"/>
      </items>
    </pivotField>
    <pivotField numFmtId="164" showAll="0"/>
    <pivotField showAll="0"/>
    <pivotField numFmtId="164" showAll="0"/>
    <pivotField numFmtId="164" showAll="0"/>
    <pivotField numFmtId="164" showAll="0"/>
    <pivotField showAll="0"/>
    <pivotField showAll="0"/>
    <pivotField dataField="1"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5"/>
  </colFields>
  <colItems count="8">
    <i>
      <x/>
    </i>
    <i>
      <x v="1"/>
    </i>
    <i>
      <x v="2"/>
    </i>
    <i>
      <x v="3"/>
    </i>
    <i>
      <x v="4"/>
    </i>
    <i>
      <x v="5"/>
    </i>
    <i>
      <x v="6"/>
    </i>
    <i t="grand">
      <x/>
    </i>
  </colItems>
  <dataFields count="1">
    <dataField name="Sum of Total Ride" fld="14" baseField="0" baseItem="0"/>
  </dataFields>
  <conditionalFormats count="1">
    <conditionalFormat priority="1">
      <pivotAreas count="1">
        <pivotArea type="data" collapsedLevelsAreSubtotals="1" fieldPosition="0">
          <references count="3">
            <reference field="4294967294" count="1" selected="0">
              <x v="0"/>
            </reference>
            <reference field="2" count="24">
              <x v="0"/>
              <x v="1"/>
              <x v="2"/>
              <x v="3"/>
              <x v="4"/>
              <x v="5"/>
              <x v="6"/>
              <x v="7"/>
              <x v="8"/>
              <x v="9"/>
              <x v="10"/>
              <x v="11"/>
              <x v="12"/>
              <x v="13"/>
              <x v="14"/>
              <x v="15"/>
              <x v="16"/>
              <x v="17"/>
              <x v="18"/>
              <x v="19"/>
              <x v="20"/>
              <x v="21"/>
              <x v="22"/>
              <x v="23"/>
            </reference>
            <reference field="5" count="7" selected="0">
              <x v="0"/>
              <x v="1"/>
              <x v="2"/>
              <x v="3"/>
              <x v="4"/>
              <x v="5"/>
              <x v="6"/>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56047E2-3207-412C-858E-67734F0113F9}" name="Casual &amp; Registered by Weather conditio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rowHeaderCaption="Weather Condition">
  <location ref="A3:C8" firstHeaderRow="0" firstDataRow="1" firstDataCol="1"/>
  <pivotFields count="15">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5">
        <item x="2"/>
        <item x="3"/>
        <item x="1"/>
        <item x="0"/>
        <item t="default"/>
      </items>
    </pivotField>
    <pivotField showAll="0">
      <items count="4">
        <item m="1" x="2"/>
        <item x="1"/>
        <item x="0"/>
        <item t="default"/>
      </items>
    </pivotField>
    <pivotField showAll="0">
      <items count="8">
        <item x="1"/>
        <item x="2"/>
        <item x="3"/>
        <item x="4"/>
        <item x="5"/>
        <item x="6"/>
        <item x="0"/>
        <item t="default"/>
      </items>
    </pivotField>
    <pivotField axis="axisRow" showAll="0">
      <items count="5">
        <item x="3"/>
        <item x="2"/>
        <item x="1"/>
        <item x="0"/>
        <item t="default"/>
      </items>
    </pivotField>
    <pivotField numFmtId="164" showAll="0"/>
    <pivotField showAll="0">
      <items count="4">
        <item x="1"/>
        <item x="2"/>
        <item x="0"/>
        <item t="default"/>
      </items>
    </pivotField>
    <pivotField numFmtId="164" showAll="0"/>
    <pivotField numFmtId="164" showAll="0"/>
    <pivotField numFmtId="164" showAll="0"/>
    <pivotField dataField="1" showAll="0"/>
    <pivotField dataField="1" showAll="0"/>
    <pivotField showAll="0"/>
  </pivotFields>
  <rowFields count="1">
    <field x="6"/>
  </rowFields>
  <rowItems count="5">
    <i>
      <x/>
    </i>
    <i>
      <x v="1"/>
    </i>
    <i>
      <x v="2"/>
    </i>
    <i>
      <x v="3"/>
    </i>
    <i t="grand">
      <x/>
    </i>
  </rowItems>
  <colFields count="1">
    <field x="-2"/>
  </colFields>
  <colItems count="2">
    <i>
      <x/>
    </i>
    <i i="1">
      <x v="1"/>
    </i>
  </colItems>
  <dataFields count="2">
    <dataField name="Total Casual" fld="12" baseField="10" baseItem="0"/>
    <dataField name="Total  Registered" fld="13" baseField="10" baseItem="0"/>
  </dataFields>
  <chartFormats count="8">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1"/>
          </reference>
        </references>
      </pivotArea>
    </chartFormat>
    <chartFormat chart="14" format="10" series="1">
      <pivotArea type="data" outline="0" fieldPosition="0">
        <references count="1">
          <reference field="4294967294" count="1" selected="0">
            <x v="0"/>
          </reference>
        </references>
      </pivotArea>
    </chartFormat>
    <chartFormat chart="14" format="11" series="1">
      <pivotArea type="data" outline="0" fieldPosition="0">
        <references count="1">
          <reference field="4294967294" count="1" selected="0">
            <x v="1"/>
          </reference>
        </references>
      </pivotArea>
    </chartFormat>
    <chartFormat chart="15" format="12" series="1">
      <pivotArea type="data" outline="0" fieldPosition="0">
        <references count="1">
          <reference field="4294967294" count="1" selected="0">
            <x v="0"/>
          </reference>
        </references>
      </pivotArea>
    </chartFormat>
    <chartFormat chart="15"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B05EC78-8C95-421B-BE48-6BCA3C056408}" name="Casual &amp; Registered by Day Nam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rowHeaderCaption="Day Type">
  <location ref="A3:C6" firstHeaderRow="0" firstDataRow="1" firstDataCol="1"/>
  <pivotFields count="15">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5">
        <item x="2"/>
        <item x="3"/>
        <item x="1"/>
        <item x="0"/>
        <item t="default"/>
      </items>
    </pivotField>
    <pivotField axis="axisRow" showAll="0">
      <items count="4">
        <item m="1" x="2"/>
        <item x="1"/>
        <item x="0"/>
        <item t="default"/>
      </items>
    </pivotField>
    <pivotField showAll="0">
      <items count="8">
        <item x="1"/>
        <item x="2"/>
        <item x="3"/>
        <item x="4"/>
        <item x="5"/>
        <item x="6"/>
        <item x="0"/>
        <item t="default"/>
      </items>
    </pivotField>
    <pivotField showAll="0">
      <items count="5">
        <item x="3"/>
        <item x="2"/>
        <item x="1"/>
        <item x="0"/>
        <item t="default"/>
      </items>
    </pivotField>
    <pivotField numFmtId="164" showAll="0"/>
    <pivotField showAll="0">
      <items count="4">
        <item x="1"/>
        <item x="2"/>
        <item x="0"/>
        <item t="default"/>
      </items>
    </pivotField>
    <pivotField numFmtId="164" showAll="0"/>
    <pivotField numFmtId="164" showAll="0"/>
    <pivotField numFmtId="164" showAll="0"/>
    <pivotField dataField="1" showAll="0"/>
    <pivotField dataField="1" showAll="0"/>
    <pivotField showAll="0"/>
  </pivotFields>
  <rowFields count="1">
    <field x="4"/>
  </rowFields>
  <rowItems count="3">
    <i>
      <x v="1"/>
    </i>
    <i>
      <x v="2"/>
    </i>
    <i t="grand">
      <x/>
    </i>
  </rowItems>
  <colFields count="1">
    <field x="-2"/>
  </colFields>
  <colItems count="2">
    <i>
      <x/>
    </i>
    <i i="1">
      <x v="1"/>
    </i>
  </colItems>
  <dataFields count="2">
    <dataField name="Total Casual" fld="12" baseField="4" baseItem="1"/>
    <dataField name="Total Registered" fld="13" baseField="4" baseItem="1"/>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4" count="1" selected="0">
            <x v="2"/>
          </reference>
        </references>
      </pivotArea>
    </chartFormat>
    <chartFormat chart="0" format="3">
      <pivotArea type="data" outline="0" fieldPosition="0">
        <references count="2">
          <reference field="4294967294" count="1" selected="0">
            <x v="1"/>
          </reference>
          <reference field="4" count="1" selected="0">
            <x v="2"/>
          </reference>
        </references>
      </pivotArea>
    </chartFormat>
    <chartFormat chart="0" format="4">
      <pivotArea type="data" outline="0" fieldPosition="0">
        <references count="2">
          <reference field="4294967294" count="1" selected="0">
            <x v="0"/>
          </reference>
          <reference field="4" count="1" selected="0">
            <x v="1"/>
          </reference>
        </references>
      </pivotArea>
    </chartFormat>
    <chartFormat chart="0" format="5">
      <pivotArea type="data" outline="0" fieldPosition="0">
        <references count="2">
          <reference field="4294967294" count="1" selected="0">
            <x v="1"/>
          </reference>
          <reference field="4" count="1" selected="0">
            <x v="1"/>
          </reference>
        </references>
      </pivotArea>
    </chartFormat>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4" count="1" selected="0">
            <x v="1"/>
          </reference>
        </references>
      </pivotArea>
    </chartFormat>
    <chartFormat chart="3" format="14">
      <pivotArea type="data" outline="0" fieldPosition="0">
        <references count="2">
          <reference field="4294967294" count="1" selected="0">
            <x v="0"/>
          </reference>
          <reference field="4" count="1" selected="0">
            <x v="2"/>
          </reference>
        </references>
      </pivotArea>
    </chartFormat>
    <chartFormat chart="3" format="15" series="1">
      <pivotArea type="data" outline="0" fieldPosition="0">
        <references count="1">
          <reference field="4294967294" count="1" selected="0">
            <x v="1"/>
          </reference>
        </references>
      </pivotArea>
    </chartFormat>
    <chartFormat chart="3" format="16">
      <pivotArea type="data" outline="0" fieldPosition="0">
        <references count="2">
          <reference field="4294967294" count="1" selected="0">
            <x v="1"/>
          </reference>
          <reference field="4" count="1" selected="0">
            <x v="1"/>
          </reference>
        </references>
      </pivotArea>
    </chartFormat>
    <chartFormat chart="3" format="17">
      <pivotArea type="data" outline="0" fieldPosition="0">
        <references count="2">
          <reference field="4294967294" count="1" selected="0">
            <x v="1"/>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42A3B85-2AE0-47C3-A54E-3F5D9C268BEE}" name="Total Ride by Day Nam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B11" firstHeaderRow="1" firstDataRow="1" firstDataCol="1"/>
  <pivotFields count="15">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items count="5">
        <item x="2"/>
        <item x="3"/>
        <item x="1"/>
        <item x="0"/>
        <item t="default"/>
      </items>
    </pivotField>
    <pivotField showAll="0">
      <items count="4">
        <item m="1" x="2"/>
        <item x="1"/>
        <item x="0"/>
        <item t="default"/>
      </items>
    </pivotField>
    <pivotField axis="axisRow" showAll="0">
      <items count="8">
        <item x="1"/>
        <item x="2"/>
        <item x="3"/>
        <item x="4"/>
        <item x="5"/>
        <item x="6"/>
        <item x="0"/>
        <item t="default"/>
      </items>
    </pivotField>
    <pivotField showAll="0">
      <items count="5">
        <item x="3"/>
        <item x="2"/>
        <item x="1"/>
        <item x="0"/>
        <item t="default"/>
      </items>
    </pivotField>
    <pivotField numFmtId="164" showAll="0"/>
    <pivotField showAll="0">
      <items count="4">
        <item x="1"/>
        <item x="2"/>
        <item x="0"/>
        <item t="default"/>
      </items>
    </pivotField>
    <pivotField numFmtId="164" showAll="0"/>
    <pivotField numFmtId="164" showAll="0"/>
    <pivotField numFmtId="164" showAll="0"/>
    <pivotField showAll="0"/>
    <pivotField showAll="0"/>
    <pivotField dataField="1" showAll="0"/>
  </pivotFields>
  <rowFields count="1">
    <field x="5"/>
  </rowFields>
  <rowItems count="8">
    <i>
      <x/>
    </i>
    <i>
      <x v="1"/>
    </i>
    <i>
      <x v="2"/>
    </i>
    <i>
      <x v="3"/>
    </i>
    <i>
      <x v="4"/>
    </i>
    <i>
      <x v="5"/>
    </i>
    <i>
      <x v="6"/>
    </i>
    <i t="grand">
      <x/>
    </i>
  </rowItems>
  <colItems count="1">
    <i/>
  </colItems>
  <dataFields count="1">
    <dataField name="Sum of Total Ride" fld="14"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6"/>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4162806-0A09-418B-955D-EEFC651C2CB9}" name="User Id by Category of Day"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rowHeaderCaption="Category of Day">
  <location ref="A3:B8" firstHeaderRow="1" firstDataRow="1" firstDataCol="1"/>
  <pivotFields count="15">
    <pivotField dataField="1"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axis="axisRow" showAll="0">
      <items count="5">
        <item x="1"/>
        <item x="2"/>
        <item x="3"/>
        <item x="0"/>
        <item t="default"/>
      </items>
    </pivotField>
    <pivotField showAll="0">
      <items count="4">
        <item m="1" x="2"/>
        <item x="1"/>
        <item x="0"/>
        <item t="default"/>
      </items>
    </pivotField>
    <pivotField showAll="0">
      <items count="8">
        <item x="1"/>
        <item x="2"/>
        <item x="3"/>
        <item x="4"/>
        <item x="5"/>
        <item x="6"/>
        <item x="0"/>
        <item t="default"/>
      </items>
    </pivotField>
    <pivotField showAll="0">
      <items count="5">
        <item x="3"/>
        <item x="2"/>
        <item x="1"/>
        <item x="0"/>
        <item t="default"/>
      </items>
    </pivotField>
    <pivotField numFmtId="164" showAll="0"/>
    <pivotField showAll="0">
      <items count="4">
        <item x="1"/>
        <item x="2"/>
        <item x="0"/>
        <item t="default"/>
      </items>
    </pivotField>
    <pivotField numFmtId="164" showAll="0"/>
    <pivotField numFmtId="164" showAll="0"/>
    <pivotField numFmtId="164" showAll="0"/>
    <pivotField showAll="0"/>
    <pivotField showAll="0"/>
    <pivotField showAll="0"/>
  </pivotFields>
  <rowFields count="1">
    <field x="3"/>
  </rowFields>
  <rowItems count="5">
    <i>
      <x/>
    </i>
    <i>
      <x v="1"/>
    </i>
    <i>
      <x v="2"/>
    </i>
    <i>
      <x v="3"/>
    </i>
    <i t="grand">
      <x/>
    </i>
  </rowItems>
  <colItems count="1">
    <i/>
  </colItems>
  <dataFields count="1">
    <dataField name="Count User Id" fld="0" subtotal="count" baseField="3" baseItem="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2">
          <reference field="4294967294" count="1" selected="0">
            <x v="0"/>
          </reference>
          <reference field="3" count="1" selected="0">
            <x v="1"/>
          </reference>
        </references>
      </pivotArea>
    </chartFormat>
    <chartFormat chart="0" format="4">
      <pivotArea type="data" outline="0" fieldPosition="0">
        <references count="2">
          <reference field="4294967294" count="1" selected="0">
            <x v="0"/>
          </reference>
          <reference field="3" count="1" selected="0">
            <x v="2"/>
          </reference>
        </references>
      </pivotArea>
    </chartFormat>
    <chartFormat chart="6" format="10" series="1">
      <pivotArea type="data" outline="0" fieldPosition="0">
        <references count="1">
          <reference field="4294967294" count="1" selected="0">
            <x v="0"/>
          </reference>
        </references>
      </pivotArea>
    </chartFormat>
    <chartFormat chart="6" format="11">
      <pivotArea type="data" outline="0" fieldPosition="0">
        <references count="2">
          <reference field="4294967294" count="1" selected="0">
            <x v="0"/>
          </reference>
          <reference field="3" count="1" selected="0">
            <x v="0"/>
          </reference>
        </references>
      </pivotArea>
    </chartFormat>
    <chartFormat chart="6" format="12">
      <pivotArea type="data" outline="0" fieldPosition="0">
        <references count="2">
          <reference field="4294967294" count="1" selected="0">
            <x v="0"/>
          </reference>
          <reference field="3" count="1" selected="0">
            <x v="1"/>
          </reference>
        </references>
      </pivotArea>
    </chartFormat>
    <chartFormat chart="6" format="13">
      <pivotArea type="data" outline="0" fieldPosition="0">
        <references count="2">
          <reference field="4294967294" count="1" selected="0">
            <x v="0"/>
          </reference>
          <reference field="3" count="1" selected="0">
            <x v="2"/>
          </reference>
        </references>
      </pivotArea>
    </chartFormat>
    <chartFormat chart="6" format="14">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CB6946A-9699-4CC8-85E1-D09F53AC5BA9}" name="Max Temp by Category of Day"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Category of Day">
  <location ref="A3:B8" firstHeaderRow="1" firstDataRow="1" firstDataCol="1"/>
  <pivotFields count="15">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axis="axisRow" showAll="0">
      <items count="5">
        <item x="1"/>
        <item x="2"/>
        <item x="3"/>
        <item x="0"/>
        <item t="default"/>
      </items>
    </pivotField>
    <pivotField showAll="0">
      <items count="4">
        <item m="1" x="2"/>
        <item x="1"/>
        <item x="0"/>
        <item t="default"/>
      </items>
    </pivotField>
    <pivotField showAll="0">
      <items count="8">
        <item x="1"/>
        <item x="2"/>
        <item x="3"/>
        <item x="4"/>
        <item x="5"/>
        <item x="6"/>
        <item x="0"/>
        <item t="default"/>
      </items>
    </pivotField>
    <pivotField showAll="0">
      <items count="5">
        <item x="3"/>
        <item x="2"/>
        <item x="1"/>
        <item x="0"/>
        <item t="default"/>
      </items>
    </pivotField>
    <pivotField dataField="1" numFmtId="164" showAll="0"/>
    <pivotField showAll="0">
      <items count="4">
        <item x="1"/>
        <item x="2"/>
        <item x="0"/>
        <item t="default"/>
      </items>
    </pivotField>
    <pivotField numFmtId="164" showAll="0"/>
    <pivotField numFmtId="164" showAll="0"/>
    <pivotField numFmtId="164" showAll="0"/>
    <pivotField showAll="0"/>
    <pivotField showAll="0"/>
    <pivotField showAll="0"/>
  </pivotFields>
  <rowFields count="1">
    <field x="3"/>
  </rowFields>
  <rowItems count="5">
    <i>
      <x/>
    </i>
    <i>
      <x v="1"/>
    </i>
    <i>
      <x v="2"/>
    </i>
    <i>
      <x v="3"/>
    </i>
    <i t="grand">
      <x/>
    </i>
  </rowItems>
  <colItems count="1">
    <i/>
  </colItems>
  <dataFields count="1">
    <dataField name="Max Temp" fld="7" subtotal="max" baseField="3"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3" xr16:uid="{FCEA8E40-7394-47B4-B8C5-D631829E7FE8}" autoFormatId="16" applyNumberFormats="0" applyBorderFormats="0" applyFontFormats="0" applyPatternFormats="0" applyAlignmentFormats="0" applyWidthHeightFormats="0">
  <queryTableRefresh nextId="18">
    <queryTableFields count="15">
      <queryTableField id="1" name="User Id" tableColumnId="1"/>
      <queryTableField id="2" name="Date" tableColumnId="2"/>
      <queryTableField id="3" name="Hour" tableColumnId="3"/>
      <queryTableField id="14" name="Category of Day" tableColumnId="14"/>
      <queryTableField id="4" name="Day Type" tableColumnId="4"/>
      <queryTableField id="5" name="Day Name" tableColumnId="5"/>
      <queryTableField id="6" name="Weathercondition" tableColumnId="6"/>
      <queryTableField id="7" name="Temp" tableColumnId="7"/>
      <queryTableField id="15" name="Temp Category" tableColumnId="15"/>
      <queryTableField id="8" name="Assume Temp" tableColumnId="8"/>
      <queryTableField id="9" name="Humidity" tableColumnId="9"/>
      <queryTableField id="10" name="Windspeed" tableColumnId="10"/>
      <queryTableField id="11" name="Casual" tableColumnId="11"/>
      <queryTableField id="12" name="Registered" tableColumnId="12"/>
      <queryTableField id="13" name="Total Ride"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D901C5B5-B52F-4C8F-B1FA-1D343D924B94}" autoFormatId="16" applyNumberFormats="0" applyBorderFormats="0" applyFontFormats="0" applyPatternFormats="0" applyAlignmentFormats="0" applyWidthHeightFormats="0">
  <queryTableRefresh nextId="15">
    <queryTableFields count="14">
      <queryTableField id="1" name="instant" tableColumnId="1"/>
      <queryTableField id="2" name="dteday" tableColumnId="2"/>
      <queryTableField id="3" name="mnth" tableColumnId="3"/>
      <queryTableField id="4" name="hr" tableColumnId="4"/>
      <queryTableField id="5" name="holiday" tableColumnId="5"/>
      <queryTableField id="6" name="weekday" tableColumnId="6"/>
      <queryTableField id="7" name="weathersit" tableColumnId="7"/>
      <queryTableField id="8" name="temp" tableColumnId="8"/>
      <queryTableField id="9" name="atemp" tableColumnId="9"/>
      <queryTableField id="10" name="hum" tableColumnId="10"/>
      <queryTableField id="11" name="windspeed" tableColumnId="11"/>
      <queryTableField id="12" name="casual" tableColumnId="12"/>
      <queryTableField id="13" name="registered" tableColumnId="13"/>
      <queryTableField id="14" name="cnt"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CC3FF20F-D39E-4360-9AC6-DA09797C74AE}" autoFormatId="16" applyNumberFormats="0" applyBorderFormats="0" applyFontFormats="0" applyPatternFormats="0" applyAlignmentFormats="0" applyWidthHeightFormats="0">
  <queryTableRefresh nextId="15">
    <queryTableFields count="14">
      <queryTableField id="1" name="instant" tableColumnId="1"/>
      <queryTableField id="2" name="dteday" tableColumnId="2"/>
      <queryTableField id="3" name="mnth" tableColumnId="3"/>
      <queryTableField id="4" name="hr" tableColumnId="4"/>
      <queryTableField id="5" name="holiday" tableColumnId="5"/>
      <queryTableField id="6" name="weekday" tableColumnId="6"/>
      <queryTableField id="7" name="weathersit" tableColumnId="7"/>
      <queryTableField id="8" name="temp" tableColumnId="8"/>
      <queryTableField id="9" name="atemp" tableColumnId="9"/>
      <queryTableField id="10" name="hum" tableColumnId="10"/>
      <queryTableField id="11" name="windspeed" tableColumnId="11"/>
      <queryTableField id="12" name="casual" tableColumnId="12"/>
      <queryTableField id="13" name="registered" tableColumnId="13"/>
      <queryTableField id="14" name="cnt"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_of_Day" xr10:uid="{A18D275C-5E2F-4A09-8C22-851E7AA43C07}" sourceName="Category of Day">
  <pivotTables>
    <pivotTable tabId="6" name="Registered &amp; Casual by Date"/>
    <pivotTable tabId="10" name="Peak Hour Kpi "/>
    <pivotTable tabId="19" name="Casual &amp; Registered by Day Name"/>
    <pivotTable tabId="18" name="Casual &amp; Registered by Weather condition"/>
    <pivotTable tabId="12" name="KPI"/>
    <pivotTable tabId="14" name="Total Ride by Date"/>
    <pivotTable tabId="20" name="Total Ride by Day Name"/>
    <pivotTable tabId="13" name="Total Ride by Hour"/>
    <pivotTable tabId="15" name="PivotTable5"/>
    <pivotTable tabId="23" name="User Id by Category of Day"/>
    <pivotTable tabId="24" name="Max Temp by Category of Day"/>
  </pivotTables>
  <data>
    <tabular pivotCacheId="243528889">
      <items count="4">
        <i x="2" s="1"/>
        <i x="3"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Name" xr10:uid="{84F3B7DF-558E-45CB-BE9D-C74C3B8E596A}" sourceName="Day Name">
  <pivotTables>
    <pivotTable tabId="6" name="Registered &amp; Casual by Date"/>
    <pivotTable tabId="10" name="Peak Hour Kpi "/>
    <pivotTable tabId="12" name="KPI"/>
    <pivotTable tabId="19" name="Casual &amp; Registered by Day Name"/>
    <pivotTable tabId="18" name="Casual &amp; Registered by Weather condition"/>
    <pivotTable tabId="24" name="Max Temp by Category of Day"/>
    <pivotTable tabId="14" name="Total Ride by Date"/>
    <pivotTable tabId="20" name="Total Ride by Day Name"/>
    <pivotTable tabId="13" name="Total Ride by Hour"/>
    <pivotTable tabId="23" name="User Id by Category of Day"/>
  </pivotTables>
  <data>
    <tabular pivotCacheId="243528889">
      <items count="7">
        <i x="1" s="1"/>
        <i x="2" s="1"/>
        <i x="3" s="1"/>
        <i x="4" s="1"/>
        <i x="5" s="1"/>
        <i x="6"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FD7792EA-CAC9-4271-89BE-8288991B0119}" sourceName="Date">
  <pivotTables>
    <pivotTable tabId="20" name="Total Ride by Day Name"/>
    <pivotTable tabId="19" name="Casual &amp; Registered by Day Name"/>
    <pivotTable tabId="18" name="Casual &amp; Registered by Weather condition"/>
    <pivotTable tabId="12" name="KPI"/>
    <pivotTable tabId="24" name="Max Temp by Category of Day"/>
    <pivotTable tabId="10" name="Peak Hour Kpi "/>
    <pivotTable tabId="6" name="Registered &amp; Casual by Date"/>
    <pivotTable tabId="14" name="Total Ride by Date"/>
    <pivotTable tabId="13" name="Total Ride by Hour"/>
    <pivotTable tabId="23" name="User Id by Category of Day"/>
  </pivotTables>
  <data>
    <tabular pivotCacheId="243528889">
      <items count="45">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condition" xr10:uid="{81CCD4CF-F8D8-4D37-AC85-BA67F2576295}" sourceName="Weathercondition">
  <pivotTables>
    <pivotTable tabId="20" name="Total Ride by Day Name"/>
    <pivotTable tabId="19" name="Casual &amp; Registered by Day Name"/>
    <pivotTable tabId="18" name="Casual &amp; Registered by Weather condition"/>
    <pivotTable tabId="15" name="PivotTable5"/>
    <pivotTable tabId="12" name="KPI"/>
    <pivotTable tabId="24" name="Max Temp by Category of Day"/>
    <pivotTable tabId="10" name="Peak Hour Kpi "/>
    <pivotTable tabId="6" name="Registered &amp; Casual by Date"/>
    <pivotTable tabId="14" name="Total Ride by Date"/>
    <pivotTable tabId="13" name="Total Ride by Hour"/>
    <pivotTable tabId="23" name="User Id by Category of Day"/>
  </pivotTables>
  <data>
    <tabular pivotCacheId="243528889">
      <items count="4">
        <i x="3" s="1"/>
        <i x="2" s="1"/>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mp_Category" xr10:uid="{D1A21314-1989-4C97-AEE9-3D472606BBE0}" sourceName="Temp Category">
  <pivotTables>
    <pivotTable tabId="20" name="Total Ride by Day Name"/>
    <pivotTable tabId="19" name="Casual &amp; Registered by Day Name"/>
    <pivotTable tabId="18" name="Casual &amp; Registered by Weather condition"/>
    <pivotTable tabId="12" name="KPI"/>
    <pivotTable tabId="24" name="Max Temp by Category of Day"/>
    <pivotTable tabId="10" name="Peak Hour Kpi "/>
    <pivotTable tabId="6" name="Registered &amp; Casual by Date"/>
    <pivotTable tabId="14" name="Total Ride by Date"/>
    <pivotTable tabId="13" name="Total Ride by Hour"/>
    <pivotTable tabId="23" name="User Id by Category of Day"/>
  </pivotTables>
  <data>
    <tabular pivotCacheId="243528889">
      <items count="3">
        <i x="1" s="1"/>
        <i x="2"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Type" xr10:uid="{B00FE046-E24A-499C-A7D7-66A8C1812D15}" sourceName="Day Type">
  <pivotTables>
    <pivotTable tabId="20" name="Total Ride by Day Name"/>
    <pivotTable tabId="19" name="Casual &amp; Registered by Day Name"/>
    <pivotTable tabId="18" name="Casual &amp; Registered by Weather condition"/>
    <pivotTable tabId="12" name="KPI"/>
    <pivotTable tabId="24" name="Max Temp by Category of Day"/>
    <pivotTable tabId="10" name="Peak Hour Kpi "/>
    <pivotTable tabId="6" name="Registered &amp; Casual by Date"/>
    <pivotTable tabId="14" name="Total Ride by Date"/>
    <pivotTable tabId="13" name="Total Ride by Hour"/>
    <pivotTable tabId="23" name="User Id by Category of Day"/>
  </pivotTables>
  <data>
    <tabular pivotCacheId="243528889">
      <items count="3">
        <i x="1" s="1"/>
        <i x="0"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of Day" xr10:uid="{E9FF3867-44E7-4398-8A1F-9022DF374734}" cache="Slicer_Category_of_Day" caption="Category of Day" style="Slicer Style 1" rowHeight="180000"/>
  <slicer name="Day Name" xr10:uid="{9030EAB7-A0B8-4700-BA43-FEF6D8E44A9C}" cache="Slicer_Day_Name" caption="Day Name" style="Slicer Style 1" rowHeight="180000"/>
  <slicer name="Date" xr10:uid="{8C5E55ED-F6C6-4723-8D43-ADA31C5161F8}" cache="Slicer_Date" caption="Date" startItem="11" style="Slicer Style 1" rowHeight="180000"/>
  <slicer name="Weathercondition" xr10:uid="{F055809C-01A9-48EB-9944-A2914713C943}" cache="Slicer_Weathercondition" caption="Weathercondition" style="Slicer Style 1" rowHeight="180000"/>
  <slicer name="Temp Category" xr10:uid="{583FE7A5-E014-42B3-9E26-CA8AD71519F3}" cache="Slicer_Temp_Category" caption="Temp Category" style="Slicer Style 1" rowHeight="234000"/>
  <slicer name="Day Type" xr10:uid="{B2832926-32B7-4745-8189-4A3134C47764}" cache="Slicer_Day_Type" caption="Day Type" style="Slicer Style 1"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of Day 1" xr10:uid="{6A31AA74-F9EC-4E67-8136-3854A2FD16BD}" cache="Slicer_Category_of_Day" caption="Category of Day"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3E6C15F-D249-4390-8743-8905B838777E}" name="Finaldataset" displayName="Finaldataset" ref="A1:O1001" tableType="queryTable" totalsRowShown="0">
  <autoFilter ref="A1:O1001" xr:uid="{FC53F523-83C4-44A7-A78F-A61C95031C2F}">
    <filterColumn colId="3">
      <filters>
        <filter val="Morning"/>
      </filters>
    </filterColumn>
  </autoFilter>
  <tableColumns count="15">
    <tableColumn id="1" xr3:uid="{ADA24E9B-2FF7-4691-971D-363B91BEE640}" uniqueName="1" name="User Id" queryTableFieldId="1"/>
    <tableColumn id="2" xr3:uid="{360C5DA2-5C41-4704-946F-63BEE1C4D340}" uniqueName="2" name="Date" queryTableFieldId="2" dataDxfId="21"/>
    <tableColumn id="3" xr3:uid="{EA609B18-A7EE-4163-BACC-72DF169FB62A}" uniqueName="3" name="Hour" queryTableFieldId="3"/>
    <tableColumn id="14" xr3:uid="{BE93C00E-9AE9-4A0E-B9E9-66574F5DF880}" uniqueName="14" name="Category of Day" queryTableFieldId="14" dataDxfId="20"/>
    <tableColumn id="4" xr3:uid="{A74D5095-BD37-4B86-91BA-07F1B3BADBF0}" uniqueName="4" name="Day Type" queryTableFieldId="4"/>
    <tableColumn id="5" xr3:uid="{216CF987-2958-421D-BEE1-3D6A45DB7F07}" uniqueName="5" name="Day Name" queryTableFieldId="5" dataDxfId="19"/>
    <tableColumn id="6" xr3:uid="{733A669F-CFC5-4130-B171-A3D49A073F4F}" uniqueName="6" name="Weathercondition" queryTableFieldId="6"/>
    <tableColumn id="7" xr3:uid="{1BD765FA-9C73-445F-B4F4-8E754993640C}" uniqueName="7" name="Temp" queryTableFieldId="7" dataDxfId="18"/>
    <tableColumn id="15" xr3:uid="{15EDA9E1-1ECF-4321-AD0A-097FADEB1968}" uniqueName="15" name="Temp Category" queryTableFieldId="15" dataDxfId="17"/>
    <tableColumn id="8" xr3:uid="{9ADED628-EE8C-4C6E-A945-E4575496371A}" uniqueName="8" name="Assume Temp" queryTableFieldId="8" dataDxfId="16"/>
    <tableColumn id="9" xr3:uid="{CB8DD895-8584-44DF-8FB0-9532D8759E47}" uniqueName="9" name="Humidity" queryTableFieldId="9" dataDxfId="15"/>
    <tableColumn id="10" xr3:uid="{9B232743-D2F8-49A9-8A6C-1A64D19813DC}" uniqueName="10" name="Windspeed" queryTableFieldId="10" dataDxfId="14"/>
    <tableColumn id="11" xr3:uid="{3C897EAE-3FDC-4298-9D74-84F1A49A20F2}" uniqueName="11" name="Casual" queryTableFieldId="11"/>
    <tableColumn id="12" xr3:uid="{A686DEAB-5BA2-415C-BDF9-4C3ACE2C68A6}" uniqueName="12" name="Registered" queryTableFieldId="12"/>
    <tableColumn id="13" xr3:uid="{63743A60-B4E6-4A95-98FC-3C32E6DEFE3E}" uniqueName="13" name="Total Ride" queryTableField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2DB0FA-4A5B-42D2-B4CD-757F92CF4073}" name="dataset_3" displayName="dataset_3" ref="A1:N391" tableType="queryTable" totalsRowShown="0">
  <autoFilter ref="A1:N391" xr:uid="{E52DB0FA-4A5B-42D2-B4CD-757F92CF4073}"/>
  <tableColumns count="14">
    <tableColumn id="1" xr3:uid="{62C41285-D237-44F4-9C9A-670852B31412}" uniqueName="1" name="instant" queryTableFieldId="1"/>
    <tableColumn id="2" xr3:uid="{F75F024D-C977-4F33-AEA1-CB90EF941480}" uniqueName="2" name="dteday" queryTableFieldId="2" dataDxfId="13"/>
    <tableColumn id="3" xr3:uid="{A84C6F7A-2F18-498B-88E5-A11FDF9C2723}" uniqueName="3" name="mnth" queryTableFieldId="3"/>
    <tableColumn id="4" xr3:uid="{F7F21248-14D6-4318-ADA0-9DCC24CE903D}" uniqueName="4" name="hr" queryTableFieldId="4"/>
    <tableColumn id="5" xr3:uid="{DD167F80-4D6C-4B84-BA4C-4833933A4FBF}" uniqueName="5" name="holiday" queryTableFieldId="5"/>
    <tableColumn id="6" xr3:uid="{C250A8E5-B3A2-45D9-85AE-41BC7F9037A1}" uniqueName="6" name="weekday" queryTableFieldId="6"/>
    <tableColumn id="7" xr3:uid="{A486D2FA-6BF3-4F0C-AFA5-65096EAE970F}" uniqueName="7" name="weathersit" queryTableFieldId="7"/>
    <tableColumn id="8" xr3:uid="{D563958D-B996-453C-BE7F-5B734F3F6EAD}" uniqueName="8" name="temp" queryTableFieldId="8"/>
    <tableColumn id="9" xr3:uid="{5D359CB3-FC1C-414B-9BFF-D1E975D22AE4}" uniqueName="9" name="atemp" queryTableFieldId="9"/>
    <tableColumn id="10" xr3:uid="{B0C06886-B17D-4873-9020-7A80707E9608}" uniqueName="10" name="hum" queryTableFieldId="10"/>
    <tableColumn id="11" xr3:uid="{11951D49-955B-4DFE-B1B6-168EBC396E40}" uniqueName="11" name="windspeed" queryTableFieldId="11"/>
    <tableColumn id="12" xr3:uid="{2B38B9C5-80E2-49F8-924E-77534F991359}" uniqueName="12" name="casual" queryTableFieldId="12"/>
    <tableColumn id="13" xr3:uid="{11FF7C42-9A44-4CCB-9322-7D4C2677BF38}" uniqueName="13" name="registered" queryTableFieldId="13"/>
    <tableColumn id="14" xr3:uid="{B19DC9B0-52CC-4B40-9E72-AD9C717DDD6E}" uniqueName="14" name="cnt" queryTableField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097731-F869-43A3-B2B2-6EBC3D92E331}" name="Dataset_A" displayName="Dataset_A" ref="A1:N611" tableType="queryTable" totalsRowShown="0">
  <autoFilter ref="A1:N611" xr:uid="{D9097731-F869-43A3-B2B2-6EBC3D92E331}"/>
  <tableColumns count="14">
    <tableColumn id="1" xr3:uid="{22B11E42-BA81-489B-81EA-588B4EE0CEA1}" uniqueName="1" name="instant" queryTableFieldId="1"/>
    <tableColumn id="2" xr3:uid="{636CEDD2-F132-4F26-9AD9-43C5BDAEF658}" uniqueName="2" name="dteday" queryTableFieldId="2" dataDxfId="12"/>
    <tableColumn id="3" xr3:uid="{B9DF4BBE-7208-4CA4-B890-5DA0865BBEDD}" uniqueName="3" name="mnth" queryTableFieldId="3"/>
    <tableColumn id="4" xr3:uid="{1CEC7B0B-B36E-42EE-A14C-C5C0D8DB38CB}" uniqueName="4" name="hr" queryTableFieldId="4"/>
    <tableColumn id="5" xr3:uid="{C0B90A0F-761C-45C9-9A43-4E4D64EEC60A}" uniqueName="5" name="holiday" queryTableFieldId="5"/>
    <tableColumn id="6" xr3:uid="{824F7F34-677C-4EED-9BFE-3B0AB283848E}" uniqueName="6" name="weekday" queryTableFieldId="6"/>
    <tableColumn id="7" xr3:uid="{03C6DFE3-0EA0-4C51-9408-C1701FB6F996}" uniqueName="7" name="weathersit" queryTableFieldId="7"/>
    <tableColumn id="8" xr3:uid="{3087BBAD-B2BE-4176-A3E6-2F0DEB9ED050}" uniqueName="8" name="temp" queryTableFieldId="8"/>
    <tableColumn id="9" xr3:uid="{1EA45333-20DE-4E12-A928-009835543CC4}" uniqueName="9" name="atemp" queryTableFieldId="9"/>
    <tableColumn id="10" xr3:uid="{472AA75C-4DDA-417B-883A-878495DEBE2B}" uniqueName="10" name="hum" queryTableFieldId="10"/>
    <tableColumn id="11" xr3:uid="{8DFE2744-ACB0-450D-9021-60BC6A428448}" uniqueName="11" name="windspeed" queryTableFieldId="11"/>
    <tableColumn id="12" xr3:uid="{0BE7007C-E91D-45FC-A451-474223233BAE}" uniqueName="12" name="casual" queryTableFieldId="12"/>
    <tableColumn id="13" xr3:uid="{2B483B44-5B57-47E2-932D-052976449115}" uniqueName="13" name="registered" queryTableFieldId="13"/>
    <tableColumn id="14" xr3:uid="{74668063-8156-4A21-8E58-41CCCF9F4B36}" uniqueName="14" name="cnt" queryTableFieldId="1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8.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0657D-61E1-4ABD-B2D1-F5DE3FA29189}">
  <sheetPr codeName="Sheet1"/>
  <dimension ref="A1:W37"/>
  <sheetViews>
    <sheetView tabSelected="1" zoomScaleNormal="100" workbookViewId="0">
      <selection activeCell="T40" sqref="T40"/>
    </sheetView>
  </sheetViews>
  <sheetFormatPr defaultRowHeight="14.4" x14ac:dyDescent="0.3"/>
  <sheetData>
    <row r="1" spans="1:23" x14ac:dyDescent="0.3">
      <c r="A1" s="9"/>
      <c r="B1" s="10"/>
      <c r="C1" s="10"/>
      <c r="D1" s="10"/>
      <c r="E1" s="10"/>
      <c r="F1" s="10"/>
      <c r="G1" s="10"/>
      <c r="H1" s="10"/>
      <c r="I1" s="10"/>
      <c r="J1" s="10"/>
      <c r="K1" s="10"/>
      <c r="L1" s="10"/>
      <c r="M1" s="10"/>
      <c r="N1" s="10"/>
      <c r="O1" s="10"/>
      <c r="P1" s="10"/>
      <c r="Q1" s="10"/>
      <c r="R1" s="10"/>
      <c r="S1" s="10"/>
      <c r="T1" s="10"/>
      <c r="U1" s="10"/>
      <c r="V1" s="10"/>
      <c r="W1" s="11"/>
    </row>
    <row r="2" spans="1:23" x14ac:dyDescent="0.3">
      <c r="A2" s="12"/>
      <c r="B2" s="13"/>
      <c r="C2" s="13"/>
      <c r="D2" s="13"/>
      <c r="E2" s="13"/>
      <c r="F2" s="13"/>
      <c r="G2" s="13"/>
      <c r="H2" s="13"/>
      <c r="I2" s="13"/>
      <c r="J2" s="13"/>
      <c r="K2" s="13"/>
      <c r="L2" s="13"/>
      <c r="M2" s="13"/>
      <c r="N2" s="13"/>
      <c r="O2" s="13"/>
      <c r="P2" s="13"/>
      <c r="Q2" s="13"/>
      <c r="R2" s="13"/>
      <c r="S2" s="13"/>
      <c r="T2" s="13"/>
      <c r="U2" s="13"/>
      <c r="V2" s="13"/>
      <c r="W2" s="14"/>
    </row>
    <row r="3" spans="1:23" x14ac:dyDescent="0.3">
      <c r="A3" s="12"/>
      <c r="B3" s="13"/>
      <c r="C3" s="13"/>
      <c r="D3" s="13"/>
      <c r="E3" s="13"/>
      <c r="F3" s="13"/>
      <c r="G3" s="13"/>
      <c r="H3" s="13"/>
      <c r="I3" s="13"/>
      <c r="J3" s="13"/>
      <c r="K3" s="13"/>
      <c r="L3" s="13"/>
      <c r="M3" s="13"/>
      <c r="N3" s="13"/>
      <c r="O3" s="13"/>
      <c r="P3" s="13"/>
      <c r="Q3" s="13"/>
      <c r="R3" s="13"/>
      <c r="S3" s="13"/>
      <c r="T3" s="13"/>
      <c r="U3" s="13"/>
      <c r="V3" s="13"/>
      <c r="W3" s="14"/>
    </row>
    <row r="4" spans="1:23" x14ac:dyDescent="0.3">
      <c r="A4" s="12"/>
      <c r="B4" s="13"/>
      <c r="C4" s="13"/>
      <c r="D4" s="13"/>
      <c r="E4" s="13"/>
      <c r="F4" s="13"/>
      <c r="G4" s="13"/>
      <c r="H4" s="13"/>
      <c r="I4" s="13"/>
      <c r="J4" s="13"/>
      <c r="K4" s="13"/>
      <c r="L4" s="13"/>
      <c r="M4" s="13"/>
      <c r="N4" s="13"/>
      <c r="O4" s="13"/>
      <c r="P4" s="13"/>
      <c r="Q4" s="13"/>
      <c r="R4" s="13"/>
      <c r="S4" s="13"/>
      <c r="T4" s="13"/>
      <c r="U4" s="13"/>
      <c r="V4" s="13"/>
      <c r="W4" s="14"/>
    </row>
    <row r="5" spans="1:23" x14ac:dyDescent="0.3">
      <c r="A5" s="12"/>
      <c r="B5" s="13"/>
      <c r="C5" s="13"/>
      <c r="D5" s="13"/>
      <c r="E5" s="13"/>
      <c r="F5" s="13"/>
      <c r="G5" s="13"/>
      <c r="H5" s="13"/>
      <c r="I5" s="13"/>
      <c r="J5" s="13"/>
      <c r="K5" s="13"/>
      <c r="L5" s="13"/>
      <c r="M5" s="13"/>
      <c r="N5" s="13"/>
      <c r="O5" s="13"/>
      <c r="P5" s="13"/>
      <c r="Q5" s="13"/>
      <c r="R5" s="13"/>
      <c r="S5" s="13"/>
      <c r="T5" s="13"/>
      <c r="U5" s="13"/>
      <c r="V5" s="13"/>
      <c r="W5" s="14"/>
    </row>
    <row r="6" spans="1:23" x14ac:dyDescent="0.3">
      <c r="A6" s="12"/>
      <c r="B6" s="13"/>
      <c r="C6" s="13"/>
      <c r="D6" s="13"/>
      <c r="E6" s="13"/>
      <c r="F6" s="13"/>
      <c r="G6" s="13"/>
      <c r="H6" s="13"/>
      <c r="I6" s="13"/>
      <c r="J6" s="13"/>
      <c r="K6" s="13"/>
      <c r="L6" s="13"/>
      <c r="M6" s="13"/>
      <c r="N6" s="13"/>
      <c r="O6" s="13"/>
      <c r="P6" s="13"/>
      <c r="Q6" s="13"/>
      <c r="R6" s="13"/>
      <c r="S6" s="13"/>
      <c r="T6" s="13"/>
      <c r="U6" s="13"/>
      <c r="V6" s="13"/>
      <c r="W6" s="14"/>
    </row>
    <row r="7" spans="1:23" ht="14.4" customHeight="1" x14ac:dyDescent="0.3">
      <c r="A7" s="12"/>
      <c r="B7" s="13"/>
      <c r="C7" s="13"/>
      <c r="D7" s="13"/>
      <c r="E7" s="13"/>
      <c r="F7" s="13"/>
      <c r="G7" s="13"/>
      <c r="H7" s="26"/>
      <c r="I7" s="26"/>
      <c r="J7" s="13"/>
      <c r="K7" s="13"/>
      <c r="L7" s="13"/>
      <c r="M7" s="13"/>
      <c r="N7" s="13"/>
      <c r="O7" s="13"/>
      <c r="P7" s="13"/>
      <c r="Q7" s="13"/>
      <c r="R7" s="13"/>
      <c r="S7" s="13"/>
      <c r="T7" s="13"/>
      <c r="U7" s="13"/>
      <c r="V7" s="13"/>
      <c r="W7" s="14"/>
    </row>
    <row r="8" spans="1:23" x14ac:dyDescent="0.3">
      <c r="A8" s="12"/>
      <c r="B8" s="13"/>
      <c r="C8" s="13"/>
      <c r="D8" s="13"/>
      <c r="E8" s="13"/>
      <c r="F8" s="13"/>
      <c r="G8" s="13"/>
      <c r="H8" s="26"/>
      <c r="I8" s="26"/>
      <c r="J8" s="13"/>
      <c r="K8" s="13"/>
      <c r="L8" s="13" t="str">
        <f>'Registered &amp; Casual by Date'!I19</f>
        <v>⇓ -97.98%</v>
      </c>
      <c r="M8" s="13"/>
      <c r="N8" s="13"/>
      <c r="O8" s="13" t="str">
        <f>'Registered &amp; Casual by Date'!I12</f>
        <v>⇓ -88.00%</v>
      </c>
      <c r="P8" s="13"/>
      <c r="Q8" s="13"/>
      <c r="R8" s="13" t="str">
        <f>'Registered &amp; Casual by Date'!I5</f>
        <v>⇓ -90.50%</v>
      </c>
      <c r="S8" s="13"/>
      <c r="T8" s="13"/>
      <c r="U8" s="13"/>
      <c r="V8" s="13"/>
      <c r="W8" s="14"/>
    </row>
    <row r="9" spans="1:23" x14ac:dyDescent="0.3">
      <c r="A9" s="12"/>
      <c r="B9" s="13"/>
      <c r="C9" s="13"/>
      <c r="D9" s="13"/>
      <c r="E9" s="13"/>
      <c r="F9" s="13"/>
      <c r="G9" s="13"/>
      <c r="H9" s="13"/>
      <c r="I9" s="13"/>
      <c r="J9" s="13"/>
      <c r="K9" s="13"/>
      <c r="L9" s="13"/>
      <c r="M9" s="13"/>
      <c r="N9" s="13"/>
      <c r="O9" s="13"/>
      <c r="P9" s="13"/>
      <c r="Q9" s="13"/>
      <c r="R9" s="13"/>
      <c r="S9" s="13"/>
      <c r="T9" s="13"/>
      <c r="U9" s="13"/>
      <c r="V9" s="13"/>
      <c r="W9" s="14"/>
    </row>
    <row r="10" spans="1:23" x14ac:dyDescent="0.3">
      <c r="A10" s="12"/>
      <c r="B10" s="13"/>
      <c r="C10" s="13"/>
      <c r="D10" s="13"/>
      <c r="E10" s="13"/>
      <c r="F10" s="13"/>
      <c r="G10" s="13"/>
      <c r="H10" s="13"/>
      <c r="I10" s="13"/>
      <c r="J10" s="13"/>
      <c r="K10" s="13"/>
      <c r="L10" s="13"/>
      <c r="M10" s="13"/>
      <c r="N10" s="13"/>
      <c r="O10" s="13"/>
      <c r="P10" s="13"/>
      <c r="Q10" s="13"/>
      <c r="R10" s="13"/>
      <c r="S10" s="13"/>
      <c r="T10" s="13"/>
      <c r="U10" s="13"/>
      <c r="V10" s="13"/>
      <c r="W10" s="14"/>
    </row>
    <row r="11" spans="1:23" x14ac:dyDescent="0.3">
      <c r="A11" s="12"/>
      <c r="B11" s="13"/>
      <c r="C11" s="13"/>
      <c r="D11" s="13"/>
      <c r="E11" s="13"/>
      <c r="F11" s="13"/>
      <c r="G11" s="13"/>
      <c r="H11" s="13"/>
      <c r="I11" s="13"/>
      <c r="J11" s="13"/>
      <c r="K11" s="13"/>
      <c r="L11" s="13"/>
      <c r="M11" s="13"/>
      <c r="N11" s="13"/>
      <c r="O11" s="13"/>
      <c r="P11" s="13"/>
      <c r="Q11" s="13"/>
      <c r="R11" s="13"/>
      <c r="S11" s="13"/>
      <c r="T11" s="13"/>
      <c r="U11" s="13"/>
      <c r="V11" s="13"/>
      <c r="W11" s="14"/>
    </row>
    <row r="12" spans="1:23" x14ac:dyDescent="0.3">
      <c r="A12" s="12"/>
      <c r="B12" s="13"/>
      <c r="C12" s="13"/>
      <c r="D12" s="13"/>
      <c r="E12" s="13"/>
      <c r="F12" s="13"/>
      <c r="G12" s="13"/>
      <c r="H12" s="13"/>
      <c r="I12" s="13"/>
      <c r="J12" s="13"/>
      <c r="K12" s="13"/>
      <c r="L12" s="13"/>
      <c r="M12" s="13"/>
      <c r="N12" s="13"/>
      <c r="O12" s="13"/>
      <c r="P12" s="13"/>
      <c r="Q12" s="13"/>
      <c r="R12" s="13"/>
      <c r="S12" s="13"/>
      <c r="T12" s="13"/>
      <c r="U12" s="13"/>
      <c r="V12" s="13"/>
      <c r="W12" s="14"/>
    </row>
    <row r="13" spans="1:23" x14ac:dyDescent="0.3">
      <c r="A13" s="12"/>
      <c r="B13" s="13"/>
      <c r="C13" s="13"/>
      <c r="D13" s="13"/>
      <c r="E13" s="13"/>
      <c r="F13" s="13"/>
      <c r="G13" s="13"/>
      <c r="H13" s="13"/>
      <c r="I13" s="13"/>
      <c r="J13" s="13"/>
      <c r="K13" s="13"/>
      <c r="L13" s="13"/>
      <c r="M13" s="13"/>
      <c r="N13" s="13"/>
      <c r="O13" s="13"/>
      <c r="P13" s="13"/>
      <c r="Q13" s="13"/>
      <c r="R13" s="13"/>
      <c r="S13" s="13"/>
      <c r="T13" s="13"/>
      <c r="U13" s="13"/>
      <c r="V13" s="13"/>
      <c r="W13" s="14"/>
    </row>
    <row r="14" spans="1:23" x14ac:dyDescent="0.3">
      <c r="A14" s="12"/>
      <c r="B14" s="13"/>
      <c r="C14" s="13"/>
      <c r="D14" s="13"/>
      <c r="E14" s="13"/>
      <c r="F14" s="13"/>
      <c r="G14" s="13"/>
      <c r="H14" s="13"/>
      <c r="I14" s="13"/>
      <c r="J14" s="13"/>
      <c r="K14" s="13"/>
      <c r="L14" s="13"/>
      <c r="M14" s="13"/>
      <c r="N14" s="13"/>
      <c r="O14" s="13"/>
      <c r="P14" s="13"/>
      <c r="Q14" s="13"/>
      <c r="R14" s="13"/>
      <c r="S14" s="13"/>
      <c r="T14" s="13"/>
      <c r="U14" s="13"/>
      <c r="V14" s="13"/>
      <c r="W14" s="14"/>
    </row>
    <row r="15" spans="1:23" x14ac:dyDescent="0.3">
      <c r="A15" s="12"/>
      <c r="B15" s="13"/>
      <c r="C15" s="13"/>
      <c r="D15" s="13"/>
      <c r="E15" s="13"/>
      <c r="F15" s="13"/>
      <c r="G15" s="13"/>
      <c r="H15" s="13"/>
      <c r="I15" s="13"/>
      <c r="J15" s="13"/>
      <c r="K15" s="13"/>
      <c r="L15" s="13"/>
      <c r="M15" s="13"/>
      <c r="N15" s="13"/>
      <c r="O15" s="13"/>
      <c r="P15" s="13"/>
      <c r="Q15" s="13"/>
      <c r="R15" s="13"/>
      <c r="S15" s="13"/>
      <c r="T15" s="13"/>
      <c r="U15" s="13"/>
      <c r="V15" s="13"/>
      <c r="W15" s="14"/>
    </row>
    <row r="16" spans="1:23" x14ac:dyDescent="0.3">
      <c r="A16" s="12"/>
      <c r="B16" s="13"/>
      <c r="C16" s="13"/>
      <c r="D16" s="13"/>
      <c r="E16" s="13"/>
      <c r="F16" s="13"/>
      <c r="G16" s="13"/>
      <c r="H16" s="13"/>
      <c r="I16" s="13"/>
      <c r="J16" s="13"/>
      <c r="K16" s="13"/>
      <c r="L16" s="13"/>
      <c r="M16" s="13"/>
      <c r="N16" s="13"/>
      <c r="O16" s="13"/>
      <c r="P16" s="13"/>
      <c r="Q16" s="13"/>
      <c r="R16" s="13"/>
      <c r="S16" s="13"/>
      <c r="T16" s="13"/>
      <c r="U16" s="13"/>
      <c r="V16" s="13"/>
      <c r="W16" s="14"/>
    </row>
    <row r="17" spans="1:23" x14ac:dyDescent="0.3">
      <c r="A17" s="12"/>
      <c r="B17" s="13"/>
      <c r="C17" s="13"/>
      <c r="D17" s="13"/>
      <c r="E17" s="13"/>
      <c r="F17" s="13"/>
      <c r="G17" s="13"/>
      <c r="H17" s="13"/>
      <c r="I17" s="13"/>
      <c r="J17" s="13"/>
      <c r="K17" s="13"/>
      <c r="L17" s="13"/>
      <c r="M17" s="13"/>
      <c r="N17" s="13"/>
      <c r="O17" s="13"/>
      <c r="P17" s="13"/>
      <c r="Q17" s="13"/>
      <c r="R17" s="13"/>
      <c r="S17" s="13"/>
      <c r="T17" s="13"/>
      <c r="U17" s="13"/>
      <c r="V17" s="13"/>
      <c r="W17" s="14"/>
    </row>
    <row r="18" spans="1:23" x14ac:dyDescent="0.3">
      <c r="A18" s="12"/>
      <c r="B18" s="13"/>
      <c r="C18" s="13"/>
      <c r="D18" s="13"/>
      <c r="E18" s="13"/>
      <c r="F18" s="13"/>
      <c r="G18" s="13"/>
      <c r="H18" s="13"/>
      <c r="I18" s="13"/>
      <c r="J18" s="13"/>
      <c r="K18" s="13"/>
      <c r="L18" s="13"/>
      <c r="M18" s="13"/>
      <c r="N18" s="13"/>
      <c r="O18" s="13"/>
      <c r="P18" s="13"/>
      <c r="Q18" s="13"/>
      <c r="R18" s="13"/>
      <c r="S18" s="13"/>
      <c r="T18" s="13"/>
      <c r="U18" s="13"/>
      <c r="V18" s="13"/>
      <c r="W18" s="14"/>
    </row>
    <row r="19" spans="1:23" x14ac:dyDescent="0.3">
      <c r="A19" s="12"/>
      <c r="B19" s="13"/>
      <c r="C19" s="13"/>
      <c r="D19" s="13"/>
      <c r="E19" s="21"/>
      <c r="F19" s="13"/>
      <c r="G19" s="13"/>
      <c r="H19" s="13"/>
      <c r="I19" s="13"/>
      <c r="J19" s="13"/>
      <c r="K19" s="13"/>
      <c r="L19" s="13"/>
      <c r="M19" s="13"/>
      <c r="N19" s="13"/>
      <c r="O19" s="13"/>
      <c r="P19" s="13"/>
      <c r="Q19" s="13"/>
      <c r="R19" s="13"/>
      <c r="S19" s="13"/>
      <c r="T19" s="13"/>
      <c r="U19" s="13"/>
      <c r="V19" s="13"/>
      <c r="W19" s="14"/>
    </row>
    <row r="20" spans="1:23" x14ac:dyDescent="0.3">
      <c r="A20" s="12"/>
      <c r="B20" s="13"/>
      <c r="C20" s="13"/>
      <c r="D20" s="13"/>
      <c r="E20" s="13"/>
      <c r="F20" s="13"/>
      <c r="G20" s="13"/>
      <c r="H20" s="13"/>
      <c r="I20" s="13"/>
      <c r="J20" s="13"/>
      <c r="K20" s="13"/>
      <c r="L20" s="13"/>
      <c r="M20" s="13"/>
      <c r="N20" s="13"/>
      <c r="O20" s="13"/>
      <c r="P20" s="13"/>
      <c r="Q20" s="13"/>
      <c r="R20" s="13"/>
      <c r="S20" s="13"/>
      <c r="T20" s="13"/>
      <c r="U20" s="13"/>
      <c r="V20" s="13"/>
      <c r="W20" s="14"/>
    </row>
    <row r="21" spans="1:23" x14ac:dyDescent="0.3">
      <c r="A21" s="12"/>
      <c r="B21" s="13"/>
      <c r="C21" s="13"/>
      <c r="D21" s="13"/>
      <c r="E21" s="13"/>
      <c r="F21" s="13"/>
      <c r="G21" s="13"/>
      <c r="H21" s="13"/>
      <c r="I21" s="13"/>
      <c r="J21" s="13"/>
      <c r="K21" s="13"/>
      <c r="L21" s="13"/>
      <c r="M21" s="13"/>
      <c r="N21" s="13"/>
      <c r="O21" s="13"/>
      <c r="P21" s="13"/>
      <c r="Q21" s="13"/>
      <c r="R21" s="13"/>
      <c r="S21" s="13"/>
      <c r="T21" s="13"/>
      <c r="U21" s="13"/>
      <c r="V21" s="13"/>
      <c r="W21" s="14"/>
    </row>
    <row r="22" spans="1:23" x14ac:dyDescent="0.3">
      <c r="A22" s="12"/>
      <c r="B22" s="13"/>
      <c r="C22" s="13"/>
      <c r="D22" s="13"/>
      <c r="E22" s="13"/>
      <c r="F22" s="13"/>
      <c r="G22" s="13"/>
      <c r="H22" s="13"/>
      <c r="I22" s="13"/>
      <c r="J22" s="13"/>
      <c r="K22" s="13"/>
      <c r="L22" s="13"/>
      <c r="M22" s="13"/>
      <c r="N22" s="13"/>
      <c r="O22" s="13"/>
      <c r="P22" s="13"/>
      <c r="Q22" s="13"/>
      <c r="R22" s="13"/>
      <c r="S22" s="13"/>
      <c r="T22" s="13"/>
      <c r="U22" s="13"/>
      <c r="V22" s="13"/>
      <c r="W22" s="14"/>
    </row>
    <row r="23" spans="1:23" x14ac:dyDescent="0.3">
      <c r="A23" s="12"/>
      <c r="B23" s="13"/>
      <c r="C23" s="13"/>
      <c r="D23" s="13"/>
      <c r="E23" s="13"/>
      <c r="F23" s="13"/>
      <c r="G23" s="13"/>
      <c r="H23" s="13"/>
      <c r="I23" s="13"/>
      <c r="J23" s="13"/>
      <c r="K23" s="13"/>
      <c r="L23" s="13"/>
      <c r="M23" s="13"/>
      <c r="N23" s="13"/>
      <c r="O23" s="13"/>
      <c r="P23" s="13"/>
      <c r="Q23" s="13"/>
      <c r="R23" s="13"/>
      <c r="S23" s="13"/>
      <c r="T23" s="13"/>
      <c r="U23" s="13"/>
      <c r="V23" s="13"/>
      <c r="W23" s="14"/>
    </row>
    <row r="24" spans="1:23" x14ac:dyDescent="0.3">
      <c r="A24" s="12"/>
      <c r="B24" s="13"/>
      <c r="C24" s="13"/>
      <c r="D24" s="13"/>
      <c r="E24" s="13"/>
      <c r="F24" s="13"/>
      <c r="G24" s="13"/>
      <c r="H24" s="13"/>
      <c r="I24" s="13"/>
      <c r="J24" s="13"/>
      <c r="K24" s="13"/>
      <c r="L24" s="13"/>
      <c r="M24" s="13"/>
      <c r="N24" s="13"/>
      <c r="O24" s="13"/>
      <c r="P24" s="13"/>
      <c r="Q24" s="13"/>
      <c r="R24" s="13"/>
      <c r="S24" s="13"/>
      <c r="T24" s="13"/>
      <c r="U24" s="13"/>
      <c r="V24" s="13"/>
      <c r="W24" s="14"/>
    </row>
    <row r="25" spans="1:23" x14ac:dyDescent="0.3">
      <c r="A25" s="12"/>
      <c r="B25" s="13"/>
      <c r="C25" s="13"/>
      <c r="D25" s="13"/>
      <c r="E25" s="13"/>
      <c r="F25" s="13"/>
      <c r="G25" s="13"/>
      <c r="H25" s="13"/>
      <c r="I25" s="13"/>
      <c r="J25" s="13"/>
      <c r="K25" s="13"/>
      <c r="L25" s="13"/>
      <c r="M25" s="13"/>
      <c r="N25" s="13"/>
      <c r="O25" s="13"/>
      <c r="P25" s="13"/>
      <c r="Q25" s="13"/>
      <c r="R25" s="13"/>
      <c r="S25" s="13"/>
      <c r="T25" s="13"/>
      <c r="U25" s="13"/>
      <c r="V25" s="13"/>
      <c r="W25" s="14"/>
    </row>
    <row r="26" spans="1:23" x14ac:dyDescent="0.3">
      <c r="A26" s="12"/>
      <c r="B26" s="13"/>
      <c r="C26" s="13"/>
      <c r="D26" s="13"/>
      <c r="E26" s="13"/>
      <c r="F26" s="13"/>
      <c r="G26" s="13"/>
      <c r="H26" s="13"/>
      <c r="I26" s="13"/>
      <c r="J26" s="13"/>
      <c r="K26" s="13"/>
      <c r="L26" s="13"/>
      <c r="M26" s="13"/>
      <c r="N26" s="13"/>
      <c r="O26" s="13"/>
      <c r="P26" s="13"/>
      <c r="Q26" s="13"/>
      <c r="R26" s="13"/>
      <c r="S26" s="13"/>
      <c r="T26" s="13"/>
      <c r="U26" s="13"/>
      <c r="V26" s="13"/>
      <c r="W26" s="14"/>
    </row>
    <row r="27" spans="1:23" x14ac:dyDescent="0.3">
      <c r="A27" s="12"/>
      <c r="B27" s="13"/>
      <c r="C27" s="13"/>
      <c r="D27" s="13"/>
      <c r="E27" s="13"/>
      <c r="F27" s="13"/>
      <c r="G27" s="13"/>
      <c r="H27" s="13"/>
      <c r="I27" s="13"/>
      <c r="J27" s="13"/>
      <c r="K27" s="13"/>
      <c r="L27" s="13"/>
      <c r="M27" s="13"/>
      <c r="N27" s="13"/>
      <c r="O27" s="13"/>
      <c r="P27" s="13"/>
      <c r="Q27" s="13"/>
      <c r="R27" s="13"/>
      <c r="S27" s="13"/>
      <c r="T27" s="13"/>
      <c r="U27" s="13"/>
      <c r="V27" s="13"/>
      <c r="W27" s="14"/>
    </row>
    <row r="28" spans="1:23" x14ac:dyDescent="0.3">
      <c r="A28" s="12"/>
      <c r="B28" s="13"/>
      <c r="C28" s="13"/>
      <c r="D28" s="13"/>
      <c r="E28" s="13"/>
      <c r="F28" s="13"/>
      <c r="G28" s="13"/>
      <c r="H28" s="13"/>
      <c r="I28" s="13"/>
      <c r="J28" s="13"/>
      <c r="K28" s="13"/>
      <c r="L28" s="13"/>
      <c r="M28" s="13"/>
      <c r="N28" s="13"/>
      <c r="O28" s="13"/>
      <c r="P28" s="13"/>
      <c r="Q28" s="13"/>
      <c r="R28" s="13"/>
      <c r="S28" s="13"/>
      <c r="T28" s="13"/>
      <c r="U28" s="13"/>
      <c r="V28" s="13"/>
      <c r="W28" s="14"/>
    </row>
    <row r="29" spans="1:23" x14ac:dyDescent="0.3">
      <c r="A29" s="12"/>
      <c r="B29" s="13"/>
      <c r="C29" s="13"/>
      <c r="D29" s="13"/>
      <c r="E29" s="13"/>
      <c r="F29" s="13"/>
      <c r="G29" s="13"/>
      <c r="H29" s="13"/>
      <c r="I29" s="13"/>
      <c r="J29" s="13"/>
      <c r="K29" s="13"/>
      <c r="L29" s="13"/>
      <c r="M29" s="13"/>
      <c r="N29" s="13"/>
      <c r="O29" s="13"/>
      <c r="P29" s="13"/>
      <c r="Q29" s="13"/>
      <c r="R29" s="13"/>
      <c r="S29" s="13"/>
      <c r="T29" s="13"/>
      <c r="U29" s="13"/>
      <c r="V29" s="13"/>
      <c r="W29" s="14"/>
    </row>
    <row r="30" spans="1:23" x14ac:dyDescent="0.3">
      <c r="A30" s="12"/>
      <c r="B30" s="13"/>
      <c r="C30" s="13"/>
      <c r="D30" s="13"/>
      <c r="E30" s="13"/>
      <c r="F30" s="13"/>
      <c r="G30" s="13"/>
      <c r="H30" s="13"/>
      <c r="I30" s="13"/>
      <c r="J30" s="13"/>
      <c r="K30" s="13"/>
      <c r="L30" s="13"/>
      <c r="M30" s="13"/>
      <c r="N30" s="13"/>
      <c r="O30" s="13"/>
      <c r="P30" s="13"/>
      <c r="Q30" s="13"/>
      <c r="R30" s="13"/>
      <c r="S30" s="13"/>
      <c r="T30" s="13"/>
      <c r="U30" s="13"/>
      <c r="V30" s="13"/>
      <c r="W30" s="14"/>
    </row>
    <row r="31" spans="1:23" x14ac:dyDescent="0.3">
      <c r="A31" s="12"/>
      <c r="B31" s="13"/>
      <c r="C31" s="13"/>
      <c r="D31" s="13"/>
      <c r="E31" s="13"/>
      <c r="F31" s="13"/>
      <c r="G31" s="13"/>
      <c r="H31" s="13"/>
      <c r="I31" s="13"/>
      <c r="J31" s="13"/>
      <c r="K31" s="13"/>
      <c r="L31" s="13"/>
      <c r="M31" s="13"/>
      <c r="N31" s="13"/>
      <c r="O31" s="13"/>
      <c r="P31" s="13"/>
      <c r="Q31" s="13"/>
      <c r="R31" s="13"/>
      <c r="S31" s="13"/>
      <c r="T31" s="13"/>
      <c r="U31" s="13"/>
      <c r="V31" s="13"/>
      <c r="W31" s="14"/>
    </row>
    <row r="32" spans="1:23" x14ac:dyDescent="0.3">
      <c r="A32" s="12"/>
      <c r="B32" s="13"/>
      <c r="C32" s="13"/>
      <c r="D32" s="13"/>
      <c r="E32" s="13"/>
      <c r="F32" s="13"/>
      <c r="G32" s="13"/>
      <c r="H32" s="13"/>
      <c r="I32" s="13"/>
      <c r="J32" s="13"/>
      <c r="K32" s="13"/>
      <c r="L32" s="13"/>
      <c r="M32" s="13"/>
      <c r="N32" s="13"/>
      <c r="O32" s="13"/>
      <c r="P32" s="13"/>
      <c r="Q32" s="13"/>
      <c r="R32" s="13"/>
      <c r="S32" s="13"/>
      <c r="T32" s="13"/>
      <c r="U32" s="13"/>
      <c r="V32" s="13"/>
      <c r="W32" s="14"/>
    </row>
    <row r="33" spans="1:23" x14ac:dyDescent="0.3">
      <c r="A33" s="12"/>
      <c r="B33" s="13"/>
      <c r="C33" s="13"/>
      <c r="D33" s="13"/>
      <c r="E33" s="13"/>
      <c r="F33" s="13"/>
      <c r="G33" s="13"/>
      <c r="H33" s="13"/>
      <c r="I33" s="13"/>
      <c r="J33" s="13"/>
      <c r="K33" s="13"/>
      <c r="L33" s="13"/>
      <c r="M33" s="13"/>
      <c r="N33" s="13"/>
      <c r="O33" s="13"/>
      <c r="P33" s="13"/>
      <c r="Q33" s="13"/>
      <c r="R33" s="13"/>
      <c r="S33" s="13"/>
      <c r="T33" s="13"/>
      <c r="U33" s="13"/>
      <c r="V33" s="13"/>
      <c r="W33" s="14"/>
    </row>
    <row r="34" spans="1:23" x14ac:dyDescent="0.3">
      <c r="A34" s="12"/>
      <c r="B34" s="13"/>
      <c r="C34" s="13"/>
      <c r="D34" s="13"/>
      <c r="E34" s="13"/>
      <c r="F34" s="13"/>
      <c r="G34" s="13"/>
      <c r="H34" s="13"/>
      <c r="I34" s="13"/>
      <c r="J34" s="13"/>
      <c r="K34" s="13"/>
      <c r="L34" s="13"/>
      <c r="M34" s="13"/>
      <c r="N34" s="13"/>
      <c r="O34" s="13"/>
      <c r="P34" s="13"/>
      <c r="Q34" s="13"/>
      <c r="R34" s="13"/>
      <c r="S34" s="13"/>
      <c r="T34" s="13"/>
      <c r="U34" s="13"/>
      <c r="V34" s="13"/>
      <c r="W34" s="14"/>
    </row>
    <row r="35" spans="1:23" x14ac:dyDescent="0.3">
      <c r="A35" s="12"/>
      <c r="B35" s="13"/>
      <c r="C35" s="13"/>
      <c r="D35" s="13"/>
      <c r="E35" s="13"/>
      <c r="F35" s="13"/>
      <c r="G35" s="13"/>
      <c r="H35" s="13"/>
      <c r="I35" s="13"/>
      <c r="J35" s="13"/>
      <c r="K35" s="13"/>
      <c r="L35" s="13"/>
      <c r="M35" s="13"/>
      <c r="N35" s="13"/>
      <c r="O35" s="13"/>
      <c r="P35" s="13"/>
      <c r="Q35" s="13"/>
      <c r="R35" s="13"/>
      <c r="S35" s="13"/>
      <c r="T35" s="13"/>
      <c r="U35" s="13"/>
      <c r="V35" s="13"/>
      <c r="W35" s="14"/>
    </row>
    <row r="36" spans="1:23" x14ac:dyDescent="0.3">
      <c r="A36" s="12"/>
      <c r="B36" s="13"/>
      <c r="C36" s="13"/>
      <c r="D36" s="13"/>
      <c r="E36" s="13"/>
      <c r="F36" s="13"/>
      <c r="G36" s="13"/>
      <c r="H36" s="13"/>
      <c r="I36" s="13"/>
      <c r="J36" s="13"/>
      <c r="K36" s="13"/>
      <c r="L36" s="13"/>
      <c r="M36" s="13"/>
      <c r="N36" s="13"/>
      <c r="O36" s="13"/>
      <c r="P36" s="13"/>
      <c r="Q36" s="13"/>
      <c r="R36" s="13"/>
      <c r="S36" s="13"/>
      <c r="T36" s="13"/>
      <c r="U36" s="13"/>
      <c r="V36" s="13"/>
      <c r="W36" s="14"/>
    </row>
    <row r="37" spans="1:23" x14ac:dyDescent="0.3">
      <c r="A37" s="15"/>
      <c r="B37" s="16"/>
      <c r="C37" s="16"/>
      <c r="D37" s="16"/>
      <c r="E37" s="16"/>
      <c r="F37" s="16"/>
      <c r="G37" s="16"/>
      <c r="H37" s="16"/>
      <c r="I37" s="16"/>
      <c r="J37" s="16"/>
      <c r="K37" s="16"/>
      <c r="L37" s="16"/>
      <c r="M37" s="16"/>
      <c r="N37" s="16"/>
      <c r="O37" s="16"/>
      <c r="P37" s="16"/>
      <c r="Q37" s="16"/>
      <c r="R37" s="16"/>
      <c r="S37" s="16"/>
      <c r="T37" s="16"/>
      <c r="U37" s="16"/>
      <c r="V37" s="16"/>
      <c r="W37" s="17"/>
    </row>
  </sheetData>
  <mergeCells count="1">
    <mergeCell ref="H7:I8"/>
  </mergeCell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2" id="{4727F539-59E8-4EB1-BED9-BF5938C1E1C1}">
            <xm:f>'Registered &amp; Casual by Date'!$I$4=0</xm:f>
            <x14:dxf>
              <font>
                <b/>
                <i val="0"/>
                <color theme="7" tint="-0.24994659260841701"/>
              </font>
              <fill>
                <patternFill>
                  <bgColor theme="0" tint="-4.9989318521683403E-2"/>
                </patternFill>
              </fill>
            </x14:dxf>
          </x14:cfRule>
          <x14:cfRule type="expression" priority="13" id="{48BCBDF8-8FEE-49CB-B50E-7231C3D5001C}">
            <xm:f>'Registered &amp; Casual by Date'!$I$4&lt;0</xm:f>
            <x14:dxf>
              <font>
                <b/>
                <i val="0"/>
                <color rgb="FFFF0000"/>
              </font>
              <fill>
                <patternFill>
                  <bgColor theme="0" tint="-4.9989318521683403E-2"/>
                </patternFill>
              </fill>
            </x14:dxf>
          </x14:cfRule>
          <x14:cfRule type="expression" priority="14" id="{EEBEDA45-C5F2-49CC-B768-42F9FDFD2D44}">
            <xm:f>'Registered &amp; Casual by Date'!$I$4&gt;0</xm:f>
            <x14:dxf>
              <font>
                <b/>
                <i val="0"/>
                <color theme="9" tint="-0.24994659260841701"/>
              </font>
              <fill>
                <patternFill>
                  <bgColor theme="0" tint="-4.9989318521683403E-2"/>
                </patternFill>
              </fill>
            </x14:dxf>
          </x14:cfRule>
          <xm:sqref>R8</xm:sqref>
        </x14:conditionalFormatting>
        <x14:conditionalFormatting xmlns:xm="http://schemas.microsoft.com/office/excel/2006/main">
          <x14:cfRule type="expression" priority="8" id="{7347894C-4E56-46B1-BDE8-C5F6F36FAC50}">
            <xm:f>'Registered &amp; Casual by Date'!$I$11=0</xm:f>
            <x14:dxf>
              <font>
                <b/>
                <i val="0"/>
                <color theme="7" tint="-0.24994659260841701"/>
              </font>
              <fill>
                <patternFill>
                  <bgColor theme="0" tint="-4.9989318521683403E-2"/>
                </patternFill>
              </fill>
            </x14:dxf>
          </x14:cfRule>
          <x14:cfRule type="expression" priority="9" id="{37258444-61F6-4A43-911A-38FA7E931DC0}">
            <xm:f>'Registered &amp; Casual by Date'!$I$11&lt;0</xm:f>
            <x14:dxf>
              <font>
                <b/>
                <i val="0"/>
                <color rgb="FFFF0000"/>
              </font>
              <fill>
                <patternFill>
                  <bgColor theme="0" tint="-4.9989318521683403E-2"/>
                </patternFill>
              </fill>
            </x14:dxf>
          </x14:cfRule>
          <x14:cfRule type="expression" priority="10" id="{FD2CF31D-BB40-4755-BE3A-58093C1435DB}">
            <xm:f>'Registered &amp; Casual by Date'!$I$11&gt;0</xm:f>
            <x14:dxf>
              <font>
                <b/>
                <i val="0"/>
                <color theme="9" tint="-0.24994659260841701"/>
              </font>
              <fill>
                <patternFill>
                  <bgColor theme="0" tint="-4.9989318521683403E-2"/>
                </patternFill>
              </fill>
            </x14:dxf>
          </x14:cfRule>
          <xm:sqref>O8</xm:sqref>
        </x14:conditionalFormatting>
        <x14:conditionalFormatting xmlns:xm="http://schemas.microsoft.com/office/excel/2006/main">
          <x14:cfRule type="expression" priority="5" id="{FEB11CC6-850F-47DB-B5D3-11F63E2BC447}">
            <xm:f>'Registered &amp; Casual by Date'!$I$18=0</xm:f>
            <x14:dxf>
              <font>
                <b/>
                <i val="0"/>
                <color theme="7" tint="-0.24994659260841701"/>
              </font>
              <fill>
                <patternFill>
                  <bgColor theme="0" tint="-4.9989318521683403E-2"/>
                </patternFill>
              </fill>
            </x14:dxf>
          </x14:cfRule>
          <x14:cfRule type="expression" priority="6" id="{35D95A8F-100F-4D24-A2EF-3F6AB5814973}">
            <xm:f>'Registered &amp; Casual by Date'!$I$11&lt;0</xm:f>
            <x14:dxf>
              <font>
                <b/>
                <i val="0"/>
                <color rgb="FFFF0000"/>
              </font>
              <fill>
                <patternFill>
                  <bgColor theme="0" tint="-4.9989318521683403E-2"/>
                </patternFill>
              </fill>
            </x14:dxf>
          </x14:cfRule>
          <x14:cfRule type="expression" priority="7" id="{BC7997DD-A71F-40B6-8B6E-C462EBECFB4D}">
            <xm:f>'Registered &amp; Casual by Date'!$I$18&gt;0</xm:f>
            <x14:dxf>
              <font>
                <b/>
                <i val="0"/>
                <color theme="9" tint="-0.24994659260841701"/>
              </font>
              <fill>
                <patternFill>
                  <bgColor theme="0" tint="-4.9989318521683403E-2"/>
                </patternFill>
              </fill>
            </x14:dxf>
          </x14:cfRule>
          <xm:sqref>L8</xm:sqref>
        </x14:conditionalFormatting>
        <x14:conditionalFormatting xmlns:xm="http://schemas.microsoft.com/office/excel/2006/main">
          <x14:cfRule type="expression" priority="18" id="{EA1C81DF-8BE4-49C3-96CC-3F29019B74B3}">
            <xm:f>'Humidity Impact'!$A$5=0</xm:f>
            <x14:dxf>
              <font>
                <b/>
                <i val="0"/>
                <color theme="7" tint="-0.24994659260841701"/>
              </font>
              <fill>
                <patternFill>
                  <bgColor theme="0" tint="-4.9989318521683403E-2"/>
                </patternFill>
              </fill>
            </x14:dxf>
          </x14:cfRule>
          <x14:cfRule type="expression" priority="19" id="{9EC74F77-C2DA-47BC-BC15-2F9347E77B88}">
            <xm:f>'Humidity Impact'!$A$5&lt;0</xm:f>
            <x14:dxf>
              <font>
                <b/>
                <i val="0"/>
                <color rgb="FFFF0000"/>
              </font>
              <fill>
                <patternFill>
                  <bgColor theme="0" tint="-4.9989318521683403E-2"/>
                </patternFill>
              </fill>
            </x14:dxf>
          </x14:cfRule>
          <x14:cfRule type="expression" priority="20" id="{DF970794-C868-4751-BD63-CBF08ADD5FB2}">
            <xm:f>'Humidity Impact'!$A$5&gt;0</xm:f>
            <x14:dxf>
              <font>
                <b/>
                <i val="0"/>
                <color theme="9" tint="-0.24994659260841701"/>
              </font>
              <fill>
                <patternFill>
                  <bgColor theme="0" tint="-4.9989318521683403E-2"/>
                </patternFill>
              </fill>
            </x14:dxf>
          </x14:cfRule>
          <xm:sqref>H7:I8</xm:sqref>
        </x14:conditionalFormatting>
      </x14:conditionalFormatting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B4EBF-9B1A-4E7B-AAEF-6B28B14ECF50}">
  <sheetPr codeName="Sheet2"/>
  <dimension ref="A2:I49"/>
  <sheetViews>
    <sheetView workbookViewId="0">
      <selection activeCell="L10" sqref="L10"/>
    </sheetView>
  </sheetViews>
  <sheetFormatPr defaultRowHeight="14.4" x14ac:dyDescent="0.3"/>
  <cols>
    <col min="1" max="1" width="10.77734375" bestFit="1" customWidth="1"/>
    <col min="2" max="2" width="14.5546875" bestFit="1" customWidth="1"/>
    <col min="3" max="3" width="11.109375" bestFit="1" customWidth="1"/>
    <col min="4" max="4" width="10.109375" bestFit="1" customWidth="1"/>
    <col min="5" max="5" width="10.33203125" bestFit="1" customWidth="1"/>
    <col min="6" max="6" width="21.5546875" bestFit="1" customWidth="1"/>
    <col min="7" max="7" width="15.5546875" customWidth="1"/>
    <col min="8" max="8" width="22.5546875" bestFit="1" customWidth="1"/>
  </cols>
  <sheetData>
    <row r="2" spans="1:9" x14ac:dyDescent="0.3">
      <c r="G2" s="8" t="s">
        <v>65</v>
      </c>
    </row>
    <row r="3" spans="1:9" x14ac:dyDescent="0.3">
      <c r="A3" s="4" t="s">
        <v>14</v>
      </c>
      <c r="B3" t="s">
        <v>50</v>
      </c>
      <c r="C3" t="s">
        <v>49</v>
      </c>
      <c r="D3" t="s">
        <v>68</v>
      </c>
    </row>
    <row r="4" spans="1:9" x14ac:dyDescent="0.3">
      <c r="A4" s="22">
        <v>40544</v>
      </c>
      <c r="B4" s="2">
        <v>654</v>
      </c>
      <c r="C4" s="2">
        <v>331</v>
      </c>
      <c r="D4" s="2">
        <v>985</v>
      </c>
      <c r="F4" s="5" t="s">
        <v>59</v>
      </c>
      <c r="G4" s="6">
        <f>MAX($A$4:$A$48)</f>
        <v>40588</v>
      </c>
      <c r="H4" s="5" t="s">
        <v>52</v>
      </c>
      <c r="I4" s="5">
        <f>IF(G7=0,0,(G6-G7)/G7)</f>
        <v>-0.90497168030207675</v>
      </c>
    </row>
    <row r="5" spans="1:9" x14ac:dyDescent="0.3">
      <c r="A5" s="22">
        <v>40545</v>
      </c>
      <c r="B5" s="2">
        <v>670</v>
      </c>
      <c r="C5" s="2">
        <v>131</v>
      </c>
      <c r="D5" s="2">
        <v>801</v>
      </c>
      <c r="F5" s="5" t="s">
        <v>60</v>
      </c>
      <c r="G5" s="6">
        <f>IFERROR(LARGE($A$4:$A$48,2),"No Date")</f>
        <v>40587</v>
      </c>
      <c r="H5" s="5" t="s">
        <v>54</v>
      </c>
      <c r="I5" s="5" t="str">
        <f>IFERROR(IF(I4&gt;0,_xlfn.UNICHAR(8657)&amp;" "&amp;TEXT(I4,"0.00%"),IF(I4&lt;0,_xlfn.UNICHAR(8659)&amp;" " &amp;TEXT(I4,"0.00%"),_xlfn.UNICHAR(8658)&amp;" "&amp;TEXT(I4,"0.00%"))),0)</f>
        <v>⇓ -90.50%</v>
      </c>
    </row>
    <row r="6" spans="1:9" x14ac:dyDescent="0.3">
      <c r="A6" s="22">
        <v>40546</v>
      </c>
      <c r="B6" s="2">
        <v>1229</v>
      </c>
      <c r="C6" s="2">
        <v>120</v>
      </c>
      <c r="D6" s="2">
        <v>1349</v>
      </c>
      <c r="F6" s="5" t="s">
        <v>61</v>
      </c>
      <c r="G6" s="5">
        <f>IFERROR(GETPIVOTDATA("Total Ride",A3,"Date",G4),0)</f>
        <v>151</v>
      </c>
      <c r="H6" s="5" t="s">
        <v>62</v>
      </c>
      <c r="I6" s="5" t="str">
        <f>IFERROR(IF(GETPIVOTDATA("Total Ride",$A$3)&gt;=1000000,TEXT(GETPIVOTDATA("Total Ride",$A$3)&gt;1000000,"0.00") &amp;"M",IF(GETPIVOTDATA("Total Ride",$A$3)&gt;=1000,TEXT(GETPIVOTDATA("Total Ride",$A$3)/1000,"0.00")&amp; "K",GETPIVOTDATA("Total Ride",$A$3))),0)</f>
        <v>58.30K</v>
      </c>
    </row>
    <row r="7" spans="1:9" x14ac:dyDescent="0.3">
      <c r="A7" s="22">
        <v>40547</v>
      </c>
      <c r="B7" s="2">
        <v>1454</v>
      </c>
      <c r="C7" s="2">
        <v>108</v>
      </c>
      <c r="D7" s="2">
        <v>1562</v>
      </c>
      <c r="F7" s="5" t="s">
        <v>63</v>
      </c>
      <c r="G7" s="5">
        <f>IFERROR(GETPIVOTDATA("Total Ride",$A$3,"Date",G5),0)</f>
        <v>1589</v>
      </c>
      <c r="H7" s="5" t="s">
        <v>64</v>
      </c>
      <c r="I7" s="7">
        <f>IFERROR(IF(G6&gt;=1000000,TEXT(G6&gt;1000000,"0.00") &amp;"M",IF(G6&gt;=1000,TEXT(G6/1000,"0.00")&amp; "K",G6)),0)</f>
        <v>151</v>
      </c>
    </row>
    <row r="8" spans="1:9" x14ac:dyDescent="0.3">
      <c r="A8" s="22">
        <v>40548</v>
      </c>
      <c r="B8" s="2">
        <v>1518</v>
      </c>
      <c r="C8" s="2">
        <v>82</v>
      </c>
      <c r="D8" s="2">
        <v>1600</v>
      </c>
      <c r="E8" s="1"/>
    </row>
    <row r="9" spans="1:9" x14ac:dyDescent="0.3">
      <c r="A9" s="22">
        <v>40549</v>
      </c>
      <c r="B9" s="2">
        <v>1518</v>
      </c>
      <c r="C9" s="2">
        <v>88</v>
      </c>
      <c r="D9" s="2">
        <v>1606</v>
      </c>
      <c r="F9" s="1"/>
    </row>
    <row r="10" spans="1:9" x14ac:dyDescent="0.3">
      <c r="A10" s="22">
        <v>40550</v>
      </c>
      <c r="B10" s="2">
        <v>1362</v>
      </c>
      <c r="C10" s="2">
        <v>148</v>
      </c>
      <c r="D10" s="2">
        <v>1510</v>
      </c>
    </row>
    <row r="11" spans="1:9" x14ac:dyDescent="0.3">
      <c r="A11" s="22">
        <v>40551</v>
      </c>
      <c r="B11" s="2">
        <v>891</v>
      </c>
      <c r="C11" s="2">
        <v>68</v>
      </c>
      <c r="D11" s="2">
        <v>959</v>
      </c>
      <c r="F11" s="5" t="s">
        <v>51</v>
      </c>
      <c r="G11" s="6">
        <f>MAX($A$4:$A$48)</f>
        <v>40588</v>
      </c>
      <c r="H11" s="5" t="s">
        <v>52</v>
      </c>
      <c r="I11" s="5">
        <f>IF(G14=0,0,(G13-G14)/G14)</f>
        <v>-0.88003355704697983</v>
      </c>
    </row>
    <row r="12" spans="1:9" x14ac:dyDescent="0.3">
      <c r="A12" s="22">
        <v>40552</v>
      </c>
      <c r="B12" s="2">
        <v>768</v>
      </c>
      <c r="C12" s="2">
        <v>54</v>
      </c>
      <c r="D12" s="2">
        <v>822</v>
      </c>
      <c r="F12" s="5" t="s">
        <v>53</v>
      </c>
      <c r="G12" s="6">
        <f>IFERROR(LARGE($A$4:$A$48,2),"No Date")</f>
        <v>40587</v>
      </c>
      <c r="H12" s="5" t="s">
        <v>54</v>
      </c>
      <c r="I12" s="5" t="str">
        <f>IFERROR(IF(I11&gt;0,_xlfn.UNICHAR(8657)&amp;" "&amp;TEXT(I11,"0.00%"),IF(I11&lt;0,_xlfn.UNICHAR(8659)&amp;" " &amp;TEXT(I11,"0.00%"),_xlfn.UNICHAR(8658)&amp;" "&amp;TEXT(I11,"0.00%"))),0)</f>
        <v>⇓ -88.00%</v>
      </c>
    </row>
    <row r="13" spans="1:9" x14ac:dyDescent="0.3">
      <c r="A13" s="22">
        <v>40553</v>
      </c>
      <c r="B13" s="2">
        <v>1280</v>
      </c>
      <c r="C13" s="2">
        <v>41</v>
      </c>
      <c r="D13" s="2">
        <v>1321</v>
      </c>
      <c r="F13" s="5" t="s">
        <v>55</v>
      </c>
      <c r="G13" s="5">
        <f>IFERROR(GETPIVOTDATA("Registered",A3,"Date",G11),0)</f>
        <v>143</v>
      </c>
      <c r="H13" s="5" t="s">
        <v>66</v>
      </c>
      <c r="I13" s="5" t="str">
        <f>IFERROR(IF(GETPIVOTDATA("Total Registered",$A$3)&gt;=1000000,TEXT(GETPIVOTDATA("Total Registered",$A$3)&gt;1000000,"0.00") &amp;"M",IF(GETPIVOTDATA("Total Registered",$A$3)&gt;=1000,TEXT(GETPIVOTDATA("Total Registered",$A$3)/1000,"0.00")&amp; "K",GETPIVOTDATA("Total Registered",$A$3))),0)</f>
        <v>53.38K</v>
      </c>
    </row>
    <row r="14" spans="1:9" x14ac:dyDescent="0.3">
      <c r="A14" s="22">
        <v>40554</v>
      </c>
      <c r="B14" s="2">
        <v>1220</v>
      </c>
      <c r="C14" s="2">
        <v>43</v>
      </c>
      <c r="D14" s="2">
        <v>1263</v>
      </c>
      <c r="F14" s="5" t="s">
        <v>56</v>
      </c>
      <c r="G14" s="5">
        <f>IFERROR(GETPIVOTDATA("Registered",$A$3,"Date",G12),0)</f>
        <v>1192</v>
      </c>
      <c r="H14" s="5" t="s">
        <v>64</v>
      </c>
      <c r="I14" s="7">
        <f>IFERROR(IF(G13&gt;=1000000,TEXT(G13&gt;1000000,"0.00") &amp;"M",IF(G13&gt;=1000,TEXT(G13/1000,"0.00")&amp; "K",G13)),0)</f>
        <v>143</v>
      </c>
    </row>
    <row r="15" spans="1:9" x14ac:dyDescent="0.3">
      <c r="A15" s="22">
        <v>40555</v>
      </c>
      <c r="B15" s="2">
        <v>1137</v>
      </c>
      <c r="C15" s="2">
        <v>25</v>
      </c>
      <c r="D15" s="2">
        <v>1162</v>
      </c>
    </row>
    <row r="16" spans="1:9" x14ac:dyDescent="0.3">
      <c r="A16" s="22">
        <v>40556</v>
      </c>
      <c r="B16" s="2">
        <v>1368</v>
      </c>
      <c r="C16" s="2">
        <v>38</v>
      </c>
      <c r="D16" s="2">
        <v>1406</v>
      </c>
    </row>
    <row r="17" spans="1:9" x14ac:dyDescent="0.3">
      <c r="A17" s="22">
        <v>40557</v>
      </c>
      <c r="B17" s="2">
        <v>1367</v>
      </c>
      <c r="C17" s="2">
        <v>54</v>
      </c>
      <c r="D17" s="2">
        <v>1421</v>
      </c>
    </row>
    <row r="18" spans="1:9" x14ac:dyDescent="0.3">
      <c r="A18" s="22">
        <v>40558</v>
      </c>
      <c r="B18" s="2">
        <v>1026</v>
      </c>
      <c r="C18" s="2">
        <v>222</v>
      </c>
      <c r="D18" s="2">
        <v>1248</v>
      </c>
      <c r="F18" s="5" t="s">
        <v>51</v>
      </c>
      <c r="G18" s="6">
        <f>MAX($A$4:$A$48)</f>
        <v>40588</v>
      </c>
      <c r="H18" s="5" t="s">
        <v>52</v>
      </c>
      <c r="I18" s="5">
        <f>IF(G21=0,0,(G20-G21)/G21)</f>
        <v>-0.97984886649874059</v>
      </c>
    </row>
    <row r="19" spans="1:9" x14ac:dyDescent="0.3">
      <c r="A19" s="22">
        <v>40559</v>
      </c>
      <c r="B19" s="2">
        <v>953</v>
      </c>
      <c r="C19" s="2">
        <v>251</v>
      </c>
      <c r="D19" s="2">
        <v>1204</v>
      </c>
      <c r="F19" s="5" t="s">
        <v>53</v>
      </c>
      <c r="G19" s="6">
        <f>IFERROR(LARGE($A$4:$A$48,2),"No Date")</f>
        <v>40587</v>
      </c>
      <c r="H19" s="5" t="s">
        <v>54</v>
      </c>
      <c r="I19" s="5" t="str">
        <f>IFERROR(IF(I18&gt;0,_xlfn.UNICHAR(8657)&amp;" "&amp;TEXT(I18,"0.00%"),IF(I18&lt;0,_xlfn.UNICHAR(8659)&amp;" " &amp;TEXT(I18,"0.00%"),_xlfn.UNICHAR(8658)&amp;" "&amp;TEXT(I18,"0.00%"))),0)</f>
        <v>⇓ -97.98%</v>
      </c>
    </row>
    <row r="20" spans="1:9" x14ac:dyDescent="0.3">
      <c r="A20" s="22">
        <v>40560</v>
      </c>
      <c r="B20" s="2">
        <v>883</v>
      </c>
      <c r="C20" s="2">
        <v>117</v>
      </c>
      <c r="D20" s="2">
        <v>1000</v>
      </c>
      <c r="F20" s="5" t="s">
        <v>57</v>
      </c>
      <c r="G20" s="5">
        <f>IFERROR(GETPIVOTDATA("Casual",A3,"Date",G18),0)</f>
        <v>8</v>
      </c>
      <c r="H20" s="5" t="s">
        <v>67</v>
      </c>
      <c r="I20" s="5" t="str">
        <f>IFERROR(IF(GETPIVOTDATA("Total Casual",$A$3)&gt;=1000000,TEXT(GETPIVOTDATA("Total Casual",$A$3)&gt;1000000,"0.00")&amp;"M", IF(GETPIVOTDATA("Total Casual",$A$3)&gt;=1000,TEXT(GETPIVOTDATA("Total Casual",$A$3)/1000,"0.00")&amp;"K",GETPIVOTDATA("Total Casual",$A$3))),0)</f>
        <v>4.92K</v>
      </c>
    </row>
    <row r="21" spans="1:9" x14ac:dyDescent="0.3">
      <c r="A21" s="22">
        <v>40561</v>
      </c>
      <c r="B21" s="2">
        <v>674</v>
      </c>
      <c r="C21" s="2">
        <v>9</v>
      </c>
      <c r="D21" s="2">
        <v>683</v>
      </c>
      <c r="F21" s="5" t="s">
        <v>58</v>
      </c>
      <c r="G21" s="5">
        <f>IFERROR(GETPIVOTDATA("Casual",$A$3,"Date",G19),0)</f>
        <v>397</v>
      </c>
      <c r="H21" s="5" t="s">
        <v>64</v>
      </c>
      <c r="I21" s="5">
        <f>IFERROR(IF(G20&gt;=1000000,TEXT(G20&gt;1000000,"0.00") &amp;"M",IF(G20&gt;=1000,TEXT(G20/1000,"0.00")&amp; "K",G20)),0)</f>
        <v>8</v>
      </c>
    </row>
    <row r="22" spans="1:9" x14ac:dyDescent="0.3">
      <c r="A22" s="22">
        <v>40562</v>
      </c>
      <c r="B22" s="2">
        <v>1572</v>
      </c>
      <c r="C22" s="2">
        <v>78</v>
      </c>
      <c r="D22" s="2">
        <v>1650</v>
      </c>
    </row>
    <row r="23" spans="1:9" x14ac:dyDescent="0.3">
      <c r="A23" s="22">
        <v>40563</v>
      </c>
      <c r="B23" s="2">
        <v>1844</v>
      </c>
      <c r="C23" s="2">
        <v>83</v>
      </c>
      <c r="D23" s="2">
        <v>1927</v>
      </c>
    </row>
    <row r="24" spans="1:9" x14ac:dyDescent="0.3">
      <c r="A24" s="22">
        <v>40564</v>
      </c>
      <c r="B24" s="2">
        <v>1468</v>
      </c>
      <c r="C24" s="2">
        <v>75</v>
      </c>
      <c r="D24" s="2">
        <v>1543</v>
      </c>
    </row>
    <row r="25" spans="1:9" x14ac:dyDescent="0.3">
      <c r="A25" s="22">
        <v>40565</v>
      </c>
      <c r="B25" s="2">
        <v>888</v>
      </c>
      <c r="C25" s="2">
        <v>93</v>
      </c>
      <c r="D25" s="2">
        <v>981</v>
      </c>
    </row>
    <row r="26" spans="1:9" x14ac:dyDescent="0.3">
      <c r="A26" s="22">
        <v>40566</v>
      </c>
      <c r="B26" s="2">
        <v>836</v>
      </c>
      <c r="C26" s="2">
        <v>150</v>
      </c>
      <c r="D26" s="2">
        <v>986</v>
      </c>
    </row>
    <row r="27" spans="1:9" x14ac:dyDescent="0.3">
      <c r="A27" s="22">
        <v>40567</v>
      </c>
      <c r="B27" s="2">
        <v>1330</v>
      </c>
      <c r="C27" s="2">
        <v>86</v>
      </c>
      <c r="D27" s="2">
        <v>1416</v>
      </c>
    </row>
    <row r="28" spans="1:9" x14ac:dyDescent="0.3">
      <c r="A28" s="22">
        <v>40568</v>
      </c>
      <c r="B28" s="2">
        <v>1799</v>
      </c>
      <c r="C28" s="2">
        <v>186</v>
      </c>
      <c r="D28" s="2">
        <v>1985</v>
      </c>
    </row>
    <row r="29" spans="1:9" x14ac:dyDescent="0.3">
      <c r="A29" s="22">
        <v>40569</v>
      </c>
      <c r="B29" s="2">
        <v>472</v>
      </c>
      <c r="C29" s="2">
        <v>34</v>
      </c>
      <c r="D29" s="2">
        <v>506</v>
      </c>
    </row>
    <row r="30" spans="1:9" x14ac:dyDescent="0.3">
      <c r="A30" s="22">
        <v>40570</v>
      </c>
      <c r="B30" s="2">
        <v>416</v>
      </c>
      <c r="C30" s="2">
        <v>15</v>
      </c>
      <c r="D30" s="2">
        <v>431</v>
      </c>
    </row>
    <row r="31" spans="1:9" x14ac:dyDescent="0.3">
      <c r="A31" s="22">
        <v>40571</v>
      </c>
      <c r="B31" s="2">
        <v>1129</v>
      </c>
      <c r="C31" s="2">
        <v>38</v>
      </c>
      <c r="D31" s="2">
        <v>1167</v>
      </c>
    </row>
    <row r="32" spans="1:9" x14ac:dyDescent="0.3">
      <c r="A32" s="22">
        <v>40572</v>
      </c>
      <c r="B32" s="2">
        <v>975</v>
      </c>
      <c r="C32" s="2">
        <v>123</v>
      </c>
      <c r="D32" s="2">
        <v>1098</v>
      </c>
    </row>
    <row r="33" spans="1:4" x14ac:dyDescent="0.3">
      <c r="A33" s="22">
        <v>40573</v>
      </c>
      <c r="B33" s="2">
        <v>956</v>
      </c>
      <c r="C33" s="2">
        <v>140</v>
      </c>
      <c r="D33" s="2">
        <v>1096</v>
      </c>
    </row>
    <row r="34" spans="1:4" x14ac:dyDescent="0.3">
      <c r="A34" s="22">
        <v>40574</v>
      </c>
      <c r="B34" s="2">
        <v>1459</v>
      </c>
      <c r="C34" s="2">
        <v>42</v>
      </c>
      <c r="D34" s="2">
        <v>1501</v>
      </c>
    </row>
    <row r="35" spans="1:4" x14ac:dyDescent="0.3">
      <c r="A35" s="22">
        <v>40575</v>
      </c>
      <c r="B35" s="2">
        <v>1313</v>
      </c>
      <c r="C35" s="2">
        <v>47</v>
      </c>
      <c r="D35" s="2">
        <v>1360</v>
      </c>
    </row>
    <row r="36" spans="1:4" x14ac:dyDescent="0.3">
      <c r="A36" s="22">
        <v>40576</v>
      </c>
      <c r="B36" s="2">
        <v>1454</v>
      </c>
      <c r="C36" s="2">
        <v>72</v>
      </c>
      <c r="D36" s="2">
        <v>1526</v>
      </c>
    </row>
    <row r="37" spans="1:4" x14ac:dyDescent="0.3">
      <c r="A37" s="22">
        <v>40577</v>
      </c>
      <c r="B37" s="2">
        <v>1489</v>
      </c>
      <c r="C37" s="2">
        <v>61</v>
      </c>
      <c r="D37" s="2">
        <v>1550</v>
      </c>
    </row>
    <row r="38" spans="1:4" x14ac:dyDescent="0.3">
      <c r="A38" s="22">
        <v>40578</v>
      </c>
      <c r="B38" s="2">
        <v>1620</v>
      </c>
      <c r="C38" s="2">
        <v>88</v>
      </c>
      <c r="D38" s="2">
        <v>1708</v>
      </c>
    </row>
    <row r="39" spans="1:4" x14ac:dyDescent="0.3">
      <c r="A39" s="22">
        <v>40579</v>
      </c>
      <c r="B39" s="2">
        <v>905</v>
      </c>
      <c r="C39" s="2">
        <v>100</v>
      </c>
      <c r="D39" s="2">
        <v>1005</v>
      </c>
    </row>
    <row r="40" spans="1:4" x14ac:dyDescent="0.3">
      <c r="A40" s="22">
        <v>40580</v>
      </c>
      <c r="B40" s="2">
        <v>1269</v>
      </c>
      <c r="C40" s="2">
        <v>354</v>
      </c>
      <c r="D40" s="2">
        <v>1623</v>
      </c>
    </row>
    <row r="41" spans="1:4" x14ac:dyDescent="0.3">
      <c r="A41" s="22">
        <v>40581</v>
      </c>
      <c r="B41" s="2">
        <v>1592</v>
      </c>
      <c r="C41" s="2">
        <v>120</v>
      </c>
      <c r="D41" s="2">
        <v>1712</v>
      </c>
    </row>
    <row r="42" spans="1:4" x14ac:dyDescent="0.3">
      <c r="A42" s="22">
        <v>40582</v>
      </c>
      <c r="B42" s="2">
        <v>1466</v>
      </c>
      <c r="C42" s="2">
        <v>64</v>
      </c>
      <c r="D42" s="2">
        <v>1530</v>
      </c>
    </row>
    <row r="43" spans="1:4" x14ac:dyDescent="0.3">
      <c r="A43" s="22">
        <v>40583</v>
      </c>
      <c r="B43" s="2">
        <v>1552</v>
      </c>
      <c r="C43" s="2">
        <v>53</v>
      </c>
      <c r="D43" s="2">
        <v>1605</v>
      </c>
    </row>
    <row r="44" spans="1:4" x14ac:dyDescent="0.3">
      <c r="A44" s="22">
        <v>40584</v>
      </c>
      <c r="B44" s="2">
        <v>1491</v>
      </c>
      <c r="C44" s="2">
        <v>47</v>
      </c>
      <c r="D44" s="2">
        <v>1538</v>
      </c>
    </row>
    <row r="45" spans="1:4" x14ac:dyDescent="0.3">
      <c r="A45" s="22">
        <v>40585</v>
      </c>
      <c r="B45" s="2">
        <v>1597</v>
      </c>
      <c r="C45" s="2">
        <v>149</v>
      </c>
      <c r="D45" s="2">
        <v>1746</v>
      </c>
    </row>
    <row r="46" spans="1:4" x14ac:dyDescent="0.3">
      <c r="A46" s="22">
        <v>40586</v>
      </c>
      <c r="B46" s="2">
        <v>1184</v>
      </c>
      <c r="C46" s="2">
        <v>288</v>
      </c>
      <c r="D46" s="2">
        <v>1472</v>
      </c>
    </row>
    <row r="47" spans="1:4" x14ac:dyDescent="0.3">
      <c r="A47" s="22">
        <v>40587</v>
      </c>
      <c r="B47" s="2">
        <v>1192</v>
      </c>
      <c r="C47" s="2">
        <v>397</v>
      </c>
      <c r="D47" s="2">
        <v>1589</v>
      </c>
    </row>
    <row r="48" spans="1:4" x14ac:dyDescent="0.3">
      <c r="A48" s="22">
        <v>40588</v>
      </c>
      <c r="B48" s="2">
        <v>143</v>
      </c>
      <c r="C48" s="2">
        <v>8</v>
      </c>
      <c r="D48" s="2">
        <v>151</v>
      </c>
    </row>
    <row r="49" spans="1:4" x14ac:dyDescent="0.3">
      <c r="A49" s="22" t="s">
        <v>48</v>
      </c>
      <c r="B49" s="2">
        <v>53383</v>
      </c>
      <c r="C49" s="2">
        <v>4921</v>
      </c>
      <c r="D49" s="2">
        <v>58304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E2C2A-0D6F-4B4F-B22D-629DF1210B1A}">
  <sheetPr codeName="Sheet3"/>
  <dimension ref="A4:D10"/>
  <sheetViews>
    <sheetView topLeftCell="A2" workbookViewId="0">
      <selection activeCell="F17" sqref="F17"/>
    </sheetView>
  </sheetViews>
  <sheetFormatPr defaultRowHeight="14.4" x14ac:dyDescent="0.3"/>
  <cols>
    <col min="1" max="1" width="18" customWidth="1"/>
    <col min="2" max="2" width="17.5546875" bestFit="1" customWidth="1"/>
    <col min="3" max="3" width="18.5546875" bestFit="1" customWidth="1"/>
    <col min="4" max="4" width="17.5546875" bestFit="1" customWidth="1"/>
  </cols>
  <sheetData>
    <row r="4" spans="1:4" x14ac:dyDescent="0.3">
      <c r="A4" s="18" t="s">
        <v>69</v>
      </c>
      <c r="B4" s="18" t="s">
        <v>70</v>
      </c>
      <c r="C4" s="18" t="s">
        <v>71</v>
      </c>
      <c r="D4" s="18" t="s">
        <v>74</v>
      </c>
    </row>
    <row r="5" spans="1:4" x14ac:dyDescent="0.3">
      <c r="A5" s="5">
        <f>CORREL(Finaldataset[Humidity],Finaldataset[Total Ride])</f>
        <v>-0.25435329828790432</v>
      </c>
      <c r="B5" s="5">
        <f>CORREL(Finaldataset[Windspeed],Finaldataset[Total Ride])</f>
        <v>0.10399668008577614</v>
      </c>
      <c r="C5" s="5">
        <f>CORREL(Finaldataset[Assume Temp],Finaldataset[Total Ride])</f>
        <v>0.19243663573951925</v>
      </c>
      <c r="D5" s="5">
        <f>CORREL(Finaldataset[Temp],Finaldataset[Total Ride])</f>
        <v>0.22929155386993369</v>
      </c>
    </row>
    <row r="6" spans="1:4" x14ac:dyDescent="0.3">
      <c r="A6" s="5" t="s">
        <v>76</v>
      </c>
      <c r="B6" s="5" t="s">
        <v>72</v>
      </c>
      <c r="C6" s="5" t="s">
        <v>73</v>
      </c>
      <c r="D6" s="5" t="s">
        <v>73</v>
      </c>
    </row>
    <row r="7" spans="1:4" x14ac:dyDescent="0.3">
      <c r="A7" s="5" t="str">
        <f>IF(A5&gt;0,_xlfn.UNICHAR(8657)&amp;" "&amp;TEXT(A5,"0.00"),IF(A5&lt;0,_xlfn.UNICHAR(8659)&amp;" "&amp;TEXT(A5,"0.00"),_xlfn.UNICHAR(8658)&amp;" "&amp;TEXT(A5,"0.00")))</f>
        <v>⇓ -0.25</v>
      </c>
      <c r="B7" s="5"/>
      <c r="C7" s="5"/>
      <c r="D7" s="5"/>
    </row>
    <row r="10" spans="1:4" x14ac:dyDescent="0.3">
      <c r="A10" t="s">
        <v>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F1C3D-8272-4191-82C8-22ED25C993BF}">
  <sheetPr codeName="Sheet4"/>
  <dimension ref="A3:F28"/>
  <sheetViews>
    <sheetView topLeftCell="A3" workbookViewId="0">
      <selection activeCell="E6" sqref="E6"/>
    </sheetView>
  </sheetViews>
  <sheetFormatPr defaultRowHeight="14.4" x14ac:dyDescent="0.3"/>
  <cols>
    <col min="1" max="1" width="10.77734375" bestFit="1" customWidth="1"/>
    <col min="2" max="2" width="10.5546875" bestFit="1" customWidth="1"/>
    <col min="4" max="4" width="16.6640625" bestFit="1" customWidth="1"/>
    <col min="5" max="5" width="8.109375" bestFit="1" customWidth="1"/>
    <col min="8" max="8" width="20.33203125" bestFit="1" customWidth="1"/>
  </cols>
  <sheetData>
    <row r="3" spans="1:6" x14ac:dyDescent="0.3">
      <c r="A3" s="4" t="s">
        <v>15</v>
      </c>
      <c r="B3" t="s">
        <v>79</v>
      </c>
    </row>
    <row r="4" spans="1:6" x14ac:dyDescent="0.3">
      <c r="A4" s="19">
        <v>0</v>
      </c>
      <c r="B4" s="2">
        <v>703</v>
      </c>
    </row>
    <row r="5" spans="1:6" x14ac:dyDescent="0.3">
      <c r="A5" s="19">
        <v>1</v>
      </c>
      <c r="B5" s="2">
        <v>460</v>
      </c>
    </row>
    <row r="6" spans="1:6" ht="31.8" x14ac:dyDescent="0.65">
      <c r="A6" s="19">
        <v>2</v>
      </c>
      <c r="B6" s="2">
        <v>294</v>
      </c>
      <c r="D6" s="5" t="s">
        <v>89</v>
      </c>
      <c r="E6" s="5" t="str">
        <f>PeakHourVisible(A4:A27,B4:B27,5,11)</f>
        <v>8 AM</v>
      </c>
      <c r="F6" s="24" t="str">
        <f>_xlfn.UNICHAR(127749)</f>
        <v>🌅</v>
      </c>
    </row>
    <row r="7" spans="1:6" ht="28.8" x14ac:dyDescent="0.55000000000000004">
      <c r="A7" s="19">
        <v>3</v>
      </c>
      <c r="B7" s="2">
        <v>151</v>
      </c>
      <c r="D7" s="5" t="s">
        <v>90</v>
      </c>
      <c r="E7" s="5" t="str">
        <f>PeakHourVisible(A4:A27,B4:B27,17,20)</f>
        <v>5 PM</v>
      </c>
      <c r="F7" s="25" t="str">
        <f>_xlfn.UNICHAR(127750)</f>
        <v>🌆</v>
      </c>
    </row>
    <row r="8" spans="1:6" x14ac:dyDescent="0.3">
      <c r="A8" s="19">
        <v>4</v>
      </c>
      <c r="B8" s="2">
        <v>69</v>
      </c>
    </row>
    <row r="9" spans="1:6" x14ac:dyDescent="0.3">
      <c r="A9" s="19">
        <v>5</v>
      </c>
      <c r="B9" s="2">
        <v>164</v>
      </c>
    </row>
    <row r="10" spans="1:6" x14ac:dyDescent="0.3">
      <c r="A10" s="19">
        <v>6</v>
      </c>
      <c r="B10" s="2">
        <v>822</v>
      </c>
    </row>
    <row r="11" spans="1:6" x14ac:dyDescent="0.3">
      <c r="A11" s="19">
        <v>7</v>
      </c>
      <c r="B11" s="2">
        <v>2339</v>
      </c>
    </row>
    <row r="12" spans="1:6" x14ac:dyDescent="0.3">
      <c r="A12" s="19">
        <v>8</v>
      </c>
      <c r="B12" s="2">
        <v>5388</v>
      </c>
    </row>
    <row r="13" spans="1:6" x14ac:dyDescent="0.3">
      <c r="A13" s="19">
        <v>9</v>
      </c>
      <c r="B13" s="2">
        <v>3672</v>
      </c>
    </row>
    <row r="14" spans="1:6" x14ac:dyDescent="0.3">
      <c r="A14" s="19">
        <v>10</v>
      </c>
      <c r="B14" s="2">
        <v>2253</v>
      </c>
    </row>
    <row r="15" spans="1:6" x14ac:dyDescent="0.3">
      <c r="A15" s="19">
        <v>11</v>
      </c>
      <c r="B15" s="2">
        <v>2494</v>
      </c>
    </row>
    <row r="16" spans="1:6" x14ac:dyDescent="0.3">
      <c r="A16" s="19">
        <v>12</v>
      </c>
      <c r="B16" s="2">
        <v>3283</v>
      </c>
    </row>
    <row r="17" spans="1:2" x14ac:dyDescent="0.3">
      <c r="A17" s="19">
        <v>13</v>
      </c>
      <c r="B17" s="2">
        <v>3376</v>
      </c>
    </row>
    <row r="18" spans="1:2" x14ac:dyDescent="0.3">
      <c r="A18" s="19">
        <v>14</v>
      </c>
      <c r="B18" s="2">
        <v>3200</v>
      </c>
    </row>
    <row r="19" spans="1:2" x14ac:dyDescent="0.3">
      <c r="A19" s="19">
        <v>15</v>
      </c>
      <c r="B19" s="2">
        <v>3352</v>
      </c>
    </row>
    <row r="20" spans="1:2" x14ac:dyDescent="0.3">
      <c r="A20" s="19">
        <v>16</v>
      </c>
      <c r="B20" s="2">
        <v>3928</v>
      </c>
    </row>
    <row r="21" spans="1:2" x14ac:dyDescent="0.3">
      <c r="A21" s="19">
        <v>17</v>
      </c>
      <c r="B21" s="2">
        <v>6169</v>
      </c>
    </row>
    <row r="22" spans="1:2" x14ac:dyDescent="0.3">
      <c r="A22" s="19">
        <v>18</v>
      </c>
      <c r="B22" s="2">
        <v>5283</v>
      </c>
    </row>
    <row r="23" spans="1:2" x14ac:dyDescent="0.3">
      <c r="A23" s="19">
        <v>19</v>
      </c>
      <c r="B23" s="2">
        <v>3661</v>
      </c>
    </row>
    <row r="24" spans="1:2" x14ac:dyDescent="0.3">
      <c r="A24" s="19">
        <v>20</v>
      </c>
      <c r="B24" s="2">
        <v>2656</v>
      </c>
    </row>
    <row r="25" spans="1:2" x14ac:dyDescent="0.3">
      <c r="A25" s="19">
        <v>21</v>
      </c>
      <c r="B25" s="2">
        <v>1996</v>
      </c>
    </row>
    <row r="26" spans="1:2" x14ac:dyDescent="0.3">
      <c r="A26" s="19">
        <v>22</v>
      </c>
      <c r="B26" s="2">
        <v>1508</v>
      </c>
    </row>
    <row r="27" spans="1:2" x14ac:dyDescent="0.3">
      <c r="A27" s="19">
        <v>23</v>
      </c>
      <c r="B27" s="2">
        <v>1083</v>
      </c>
    </row>
    <row r="28" spans="1:2" x14ac:dyDescent="0.3">
      <c r="A28" s="19" t="s">
        <v>48</v>
      </c>
      <c r="B28" s="2">
        <v>58304</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6F3E3-E716-42CD-8076-64B5234D6ACB}">
  <sheetPr codeName="Sheet5"/>
  <dimension ref="A3:D6"/>
  <sheetViews>
    <sheetView workbookViewId="0">
      <selection activeCell="D14" sqref="D14"/>
    </sheetView>
  </sheetViews>
  <sheetFormatPr defaultRowHeight="14.4" x14ac:dyDescent="0.3"/>
  <cols>
    <col min="1" max="1" width="9.88671875" bestFit="1" customWidth="1"/>
    <col min="2" max="2" width="19.33203125" bestFit="1" customWidth="1"/>
    <col min="3" max="3" width="20.21875" bestFit="1" customWidth="1"/>
    <col min="4" max="4" width="16.109375" bestFit="1" customWidth="1"/>
  </cols>
  <sheetData>
    <row r="3" spans="1:4" x14ac:dyDescent="0.3">
      <c r="A3" t="s">
        <v>80</v>
      </c>
      <c r="B3" t="s">
        <v>81</v>
      </c>
      <c r="C3" t="s">
        <v>83</v>
      </c>
      <c r="D3" t="s">
        <v>82</v>
      </c>
    </row>
    <row r="4" spans="1:4" x14ac:dyDescent="0.3">
      <c r="A4" s="20">
        <v>0.46</v>
      </c>
      <c r="B4" s="20">
        <v>0.45450000000000002</v>
      </c>
      <c r="C4" s="20">
        <v>0.19493129999999903</v>
      </c>
      <c r="D4" s="20">
        <v>0.58248000000000033</v>
      </c>
    </row>
    <row r="6" spans="1:4" x14ac:dyDescent="0.3">
      <c r="A6" t="str">
        <f>TEXT(GETPIVOTDATA("Max Temp",$A$3),"0.00")&amp;_xlfn.UNICHAR(176)&amp;"C"</f>
        <v>0.46°C</v>
      </c>
      <c r="B6" t="str">
        <f>TEXT(GETPIVOTDATA("Max of Assume Temp",$A$3),"0.00") &amp; _xlfn.UNICHAR(176)&amp;"C"</f>
        <v>0.45°C</v>
      </c>
      <c r="C6" t="str">
        <f>TEXT(GETPIVOTDATA("Average of Windspeed",$A$3),"0.00") &amp;" "&amp;  "m/s"</f>
        <v>0.19 m/s</v>
      </c>
      <c r="D6" t="str">
        <f>TEXT(GETPIVOTDATA("Average Humidity",$A$3),"0.00%")</f>
        <v>58.25%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9F38A-1F07-4E3B-8846-2F6436D9CCCF}">
  <sheetPr codeName="Sheet6"/>
  <dimension ref="A3:B28"/>
  <sheetViews>
    <sheetView showGridLines="0" topLeftCell="A5" workbookViewId="0">
      <selection activeCell="P13" sqref="P13"/>
    </sheetView>
  </sheetViews>
  <sheetFormatPr defaultRowHeight="14.4" x14ac:dyDescent="0.3"/>
  <cols>
    <col min="1" max="1" width="10.77734375" bestFit="1" customWidth="1"/>
    <col min="2" max="2" width="10.109375" bestFit="1" customWidth="1"/>
  </cols>
  <sheetData>
    <row r="3" spans="1:2" x14ac:dyDescent="0.3">
      <c r="A3" s="4" t="s">
        <v>15</v>
      </c>
      <c r="B3" t="s">
        <v>68</v>
      </c>
    </row>
    <row r="4" spans="1:2" x14ac:dyDescent="0.3">
      <c r="A4" s="19">
        <v>0</v>
      </c>
      <c r="B4" s="2">
        <v>703</v>
      </c>
    </row>
    <row r="5" spans="1:2" x14ac:dyDescent="0.3">
      <c r="A5" s="19">
        <v>1</v>
      </c>
      <c r="B5" s="2">
        <v>460</v>
      </c>
    </row>
    <row r="6" spans="1:2" x14ac:dyDescent="0.3">
      <c r="A6" s="19">
        <v>2</v>
      </c>
      <c r="B6" s="2">
        <v>294</v>
      </c>
    </row>
    <row r="7" spans="1:2" x14ac:dyDescent="0.3">
      <c r="A7" s="19">
        <v>3</v>
      </c>
      <c r="B7" s="2">
        <v>151</v>
      </c>
    </row>
    <row r="8" spans="1:2" x14ac:dyDescent="0.3">
      <c r="A8" s="19">
        <v>4</v>
      </c>
      <c r="B8" s="2">
        <v>69</v>
      </c>
    </row>
    <row r="9" spans="1:2" x14ac:dyDescent="0.3">
      <c r="A9" s="19">
        <v>5</v>
      </c>
      <c r="B9" s="2">
        <v>164</v>
      </c>
    </row>
    <row r="10" spans="1:2" x14ac:dyDescent="0.3">
      <c r="A10" s="19">
        <v>6</v>
      </c>
      <c r="B10" s="2">
        <v>822</v>
      </c>
    </row>
    <row r="11" spans="1:2" x14ac:dyDescent="0.3">
      <c r="A11" s="19">
        <v>7</v>
      </c>
      <c r="B11" s="2">
        <v>2339</v>
      </c>
    </row>
    <row r="12" spans="1:2" x14ac:dyDescent="0.3">
      <c r="A12" s="19">
        <v>8</v>
      </c>
      <c r="B12" s="2">
        <v>5388</v>
      </c>
    </row>
    <row r="13" spans="1:2" x14ac:dyDescent="0.3">
      <c r="A13" s="19">
        <v>9</v>
      </c>
      <c r="B13" s="2">
        <v>3672</v>
      </c>
    </row>
    <row r="14" spans="1:2" x14ac:dyDescent="0.3">
      <c r="A14" s="19">
        <v>10</v>
      </c>
      <c r="B14" s="2">
        <v>2253</v>
      </c>
    </row>
    <row r="15" spans="1:2" x14ac:dyDescent="0.3">
      <c r="A15" s="19">
        <v>11</v>
      </c>
      <c r="B15" s="2">
        <v>2494</v>
      </c>
    </row>
    <row r="16" spans="1:2" x14ac:dyDescent="0.3">
      <c r="A16" s="19">
        <v>12</v>
      </c>
      <c r="B16" s="2">
        <v>3283</v>
      </c>
    </row>
    <row r="17" spans="1:2" x14ac:dyDescent="0.3">
      <c r="A17" s="19">
        <v>13</v>
      </c>
      <c r="B17" s="2">
        <v>3376</v>
      </c>
    </row>
    <row r="18" spans="1:2" x14ac:dyDescent="0.3">
      <c r="A18" s="19">
        <v>14</v>
      </c>
      <c r="B18" s="2">
        <v>3200</v>
      </c>
    </row>
    <row r="19" spans="1:2" x14ac:dyDescent="0.3">
      <c r="A19" s="19">
        <v>15</v>
      </c>
      <c r="B19" s="2">
        <v>3352</v>
      </c>
    </row>
    <row r="20" spans="1:2" x14ac:dyDescent="0.3">
      <c r="A20" s="19">
        <v>16</v>
      </c>
      <c r="B20" s="2">
        <v>3928</v>
      </c>
    </row>
    <row r="21" spans="1:2" x14ac:dyDescent="0.3">
      <c r="A21" s="19">
        <v>17</v>
      </c>
      <c r="B21" s="2">
        <v>6169</v>
      </c>
    </row>
    <row r="22" spans="1:2" x14ac:dyDescent="0.3">
      <c r="A22" s="19">
        <v>18</v>
      </c>
      <c r="B22" s="2">
        <v>5283</v>
      </c>
    </row>
    <row r="23" spans="1:2" x14ac:dyDescent="0.3">
      <c r="A23" s="19">
        <v>19</v>
      </c>
      <c r="B23" s="2">
        <v>3661</v>
      </c>
    </row>
    <row r="24" spans="1:2" x14ac:dyDescent="0.3">
      <c r="A24" s="19">
        <v>20</v>
      </c>
      <c r="B24" s="2">
        <v>2656</v>
      </c>
    </row>
    <row r="25" spans="1:2" x14ac:dyDescent="0.3">
      <c r="A25" s="19">
        <v>21</v>
      </c>
      <c r="B25" s="2">
        <v>1996</v>
      </c>
    </row>
    <row r="26" spans="1:2" x14ac:dyDescent="0.3">
      <c r="A26" s="19">
        <v>22</v>
      </c>
      <c r="B26" s="2">
        <v>1508</v>
      </c>
    </row>
    <row r="27" spans="1:2" x14ac:dyDescent="0.3">
      <c r="A27" s="19">
        <v>23</v>
      </c>
      <c r="B27" s="2">
        <v>1083</v>
      </c>
    </row>
    <row r="28" spans="1:2" x14ac:dyDescent="0.3">
      <c r="A28" s="19" t="s">
        <v>48</v>
      </c>
      <c r="B28" s="2">
        <v>58304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5A65C-8258-4EC7-A1DF-564B7E007341}">
  <sheetPr codeName="Sheet7"/>
  <dimension ref="A3:B49"/>
  <sheetViews>
    <sheetView showGridLines="0" topLeftCell="B1" workbookViewId="0">
      <selection activeCell="H29" sqref="H29"/>
    </sheetView>
  </sheetViews>
  <sheetFormatPr defaultRowHeight="14.4" x14ac:dyDescent="0.3"/>
  <cols>
    <col min="1" max="1" width="12.5546875" bestFit="1" customWidth="1"/>
    <col min="2" max="2" width="15.88671875" bestFit="1" customWidth="1"/>
  </cols>
  <sheetData>
    <row r="3" spans="1:2" x14ac:dyDescent="0.3">
      <c r="A3" s="4" t="s">
        <v>78</v>
      </c>
      <c r="B3" t="s">
        <v>77</v>
      </c>
    </row>
    <row r="4" spans="1:2" x14ac:dyDescent="0.3">
      <c r="A4" s="23">
        <v>40544</v>
      </c>
      <c r="B4" s="2">
        <v>985</v>
      </c>
    </row>
    <row r="5" spans="1:2" x14ac:dyDescent="0.3">
      <c r="A5" s="23">
        <v>40545</v>
      </c>
      <c r="B5" s="2">
        <v>801</v>
      </c>
    </row>
    <row r="6" spans="1:2" x14ac:dyDescent="0.3">
      <c r="A6" s="23">
        <v>40546</v>
      </c>
      <c r="B6" s="2">
        <v>1349</v>
      </c>
    </row>
    <row r="7" spans="1:2" x14ac:dyDescent="0.3">
      <c r="A7" s="23">
        <v>40547</v>
      </c>
      <c r="B7" s="2">
        <v>1562</v>
      </c>
    </row>
    <row r="8" spans="1:2" x14ac:dyDescent="0.3">
      <c r="A8" s="23">
        <v>40548</v>
      </c>
      <c r="B8" s="2">
        <v>1600</v>
      </c>
    </row>
    <row r="9" spans="1:2" x14ac:dyDescent="0.3">
      <c r="A9" s="23">
        <v>40549</v>
      </c>
      <c r="B9" s="2">
        <v>1606</v>
      </c>
    </row>
    <row r="10" spans="1:2" x14ac:dyDescent="0.3">
      <c r="A10" s="23">
        <v>40550</v>
      </c>
      <c r="B10" s="2">
        <v>1510</v>
      </c>
    </row>
    <row r="11" spans="1:2" x14ac:dyDescent="0.3">
      <c r="A11" s="23">
        <v>40551</v>
      </c>
      <c r="B11" s="2">
        <v>959</v>
      </c>
    </row>
    <row r="12" spans="1:2" x14ac:dyDescent="0.3">
      <c r="A12" s="23">
        <v>40552</v>
      </c>
      <c r="B12" s="2">
        <v>822</v>
      </c>
    </row>
    <row r="13" spans="1:2" x14ac:dyDescent="0.3">
      <c r="A13" s="23">
        <v>40553</v>
      </c>
      <c r="B13" s="2">
        <v>1321</v>
      </c>
    </row>
    <row r="14" spans="1:2" x14ac:dyDescent="0.3">
      <c r="A14" s="23">
        <v>40554</v>
      </c>
      <c r="B14" s="2">
        <v>1263</v>
      </c>
    </row>
    <row r="15" spans="1:2" x14ac:dyDescent="0.3">
      <c r="A15" s="23">
        <v>40555</v>
      </c>
      <c r="B15" s="2">
        <v>1162</v>
      </c>
    </row>
    <row r="16" spans="1:2" x14ac:dyDescent="0.3">
      <c r="A16" s="23">
        <v>40556</v>
      </c>
      <c r="B16" s="2">
        <v>1406</v>
      </c>
    </row>
    <row r="17" spans="1:2" x14ac:dyDescent="0.3">
      <c r="A17" s="23">
        <v>40557</v>
      </c>
      <c r="B17" s="2">
        <v>1421</v>
      </c>
    </row>
    <row r="18" spans="1:2" x14ac:dyDescent="0.3">
      <c r="A18" s="23">
        <v>40558</v>
      </c>
      <c r="B18" s="2">
        <v>1248</v>
      </c>
    </row>
    <row r="19" spans="1:2" x14ac:dyDescent="0.3">
      <c r="A19" s="23">
        <v>40559</v>
      </c>
      <c r="B19" s="2">
        <v>1204</v>
      </c>
    </row>
    <row r="20" spans="1:2" x14ac:dyDescent="0.3">
      <c r="A20" s="23">
        <v>40560</v>
      </c>
      <c r="B20" s="2">
        <v>1000</v>
      </c>
    </row>
    <row r="21" spans="1:2" x14ac:dyDescent="0.3">
      <c r="A21" s="23">
        <v>40561</v>
      </c>
      <c r="B21" s="2">
        <v>683</v>
      </c>
    </row>
    <row r="22" spans="1:2" x14ac:dyDescent="0.3">
      <c r="A22" s="23">
        <v>40562</v>
      </c>
      <c r="B22" s="2">
        <v>1650</v>
      </c>
    </row>
    <row r="23" spans="1:2" x14ac:dyDescent="0.3">
      <c r="A23" s="23">
        <v>40563</v>
      </c>
      <c r="B23" s="2">
        <v>1927</v>
      </c>
    </row>
    <row r="24" spans="1:2" x14ac:dyDescent="0.3">
      <c r="A24" s="23">
        <v>40564</v>
      </c>
      <c r="B24" s="2">
        <v>1543</v>
      </c>
    </row>
    <row r="25" spans="1:2" x14ac:dyDescent="0.3">
      <c r="A25" s="23">
        <v>40565</v>
      </c>
      <c r="B25" s="2">
        <v>981</v>
      </c>
    </row>
    <row r="26" spans="1:2" x14ac:dyDescent="0.3">
      <c r="A26" s="23">
        <v>40566</v>
      </c>
      <c r="B26" s="2">
        <v>986</v>
      </c>
    </row>
    <row r="27" spans="1:2" x14ac:dyDescent="0.3">
      <c r="A27" s="23">
        <v>40567</v>
      </c>
      <c r="B27" s="2">
        <v>1416</v>
      </c>
    </row>
    <row r="28" spans="1:2" x14ac:dyDescent="0.3">
      <c r="A28" s="23">
        <v>40568</v>
      </c>
      <c r="B28" s="2">
        <v>1985</v>
      </c>
    </row>
    <row r="29" spans="1:2" x14ac:dyDescent="0.3">
      <c r="A29" s="23">
        <v>40569</v>
      </c>
      <c r="B29" s="2">
        <v>506</v>
      </c>
    </row>
    <row r="30" spans="1:2" x14ac:dyDescent="0.3">
      <c r="A30" s="23">
        <v>40570</v>
      </c>
      <c r="B30" s="2">
        <v>431</v>
      </c>
    </row>
    <row r="31" spans="1:2" x14ac:dyDescent="0.3">
      <c r="A31" s="23">
        <v>40571</v>
      </c>
      <c r="B31" s="2">
        <v>1167</v>
      </c>
    </row>
    <row r="32" spans="1:2" x14ac:dyDescent="0.3">
      <c r="A32" s="23">
        <v>40572</v>
      </c>
      <c r="B32" s="2">
        <v>1098</v>
      </c>
    </row>
    <row r="33" spans="1:2" x14ac:dyDescent="0.3">
      <c r="A33" s="23">
        <v>40573</v>
      </c>
      <c r="B33" s="2">
        <v>1096</v>
      </c>
    </row>
    <row r="34" spans="1:2" x14ac:dyDescent="0.3">
      <c r="A34" s="23">
        <v>40574</v>
      </c>
      <c r="B34" s="2">
        <v>1501</v>
      </c>
    </row>
    <row r="35" spans="1:2" x14ac:dyDescent="0.3">
      <c r="A35" s="23">
        <v>40575</v>
      </c>
      <c r="B35" s="2">
        <v>1360</v>
      </c>
    </row>
    <row r="36" spans="1:2" x14ac:dyDescent="0.3">
      <c r="A36" s="23">
        <v>40576</v>
      </c>
      <c r="B36" s="2">
        <v>1526</v>
      </c>
    </row>
    <row r="37" spans="1:2" x14ac:dyDescent="0.3">
      <c r="A37" s="23">
        <v>40577</v>
      </c>
      <c r="B37" s="2">
        <v>1550</v>
      </c>
    </row>
    <row r="38" spans="1:2" x14ac:dyDescent="0.3">
      <c r="A38" s="23">
        <v>40578</v>
      </c>
      <c r="B38" s="2">
        <v>1708</v>
      </c>
    </row>
    <row r="39" spans="1:2" x14ac:dyDescent="0.3">
      <c r="A39" s="23">
        <v>40579</v>
      </c>
      <c r="B39" s="2">
        <v>1005</v>
      </c>
    </row>
    <row r="40" spans="1:2" x14ac:dyDescent="0.3">
      <c r="A40" s="23">
        <v>40580</v>
      </c>
      <c r="B40" s="2">
        <v>1623</v>
      </c>
    </row>
    <row r="41" spans="1:2" x14ac:dyDescent="0.3">
      <c r="A41" s="23">
        <v>40581</v>
      </c>
      <c r="B41" s="2">
        <v>1712</v>
      </c>
    </row>
    <row r="42" spans="1:2" x14ac:dyDescent="0.3">
      <c r="A42" s="23">
        <v>40582</v>
      </c>
      <c r="B42" s="2">
        <v>1530</v>
      </c>
    </row>
    <row r="43" spans="1:2" x14ac:dyDescent="0.3">
      <c r="A43" s="23">
        <v>40583</v>
      </c>
      <c r="B43" s="2">
        <v>1605</v>
      </c>
    </row>
    <row r="44" spans="1:2" x14ac:dyDescent="0.3">
      <c r="A44" s="23">
        <v>40584</v>
      </c>
      <c r="B44" s="2">
        <v>1538</v>
      </c>
    </row>
    <row r="45" spans="1:2" x14ac:dyDescent="0.3">
      <c r="A45" s="23">
        <v>40585</v>
      </c>
      <c r="B45" s="2">
        <v>1746</v>
      </c>
    </row>
    <row r="46" spans="1:2" x14ac:dyDescent="0.3">
      <c r="A46" s="23">
        <v>40586</v>
      </c>
      <c r="B46" s="2">
        <v>1472</v>
      </c>
    </row>
    <row r="47" spans="1:2" x14ac:dyDescent="0.3">
      <c r="A47" s="23">
        <v>40587</v>
      </c>
      <c r="B47" s="2">
        <v>1589</v>
      </c>
    </row>
    <row r="48" spans="1:2" x14ac:dyDescent="0.3">
      <c r="A48" s="23">
        <v>40588</v>
      </c>
      <c r="B48" s="2">
        <v>151</v>
      </c>
    </row>
    <row r="49" spans="1:2" x14ac:dyDescent="0.3">
      <c r="A49" s="22" t="s">
        <v>48</v>
      </c>
      <c r="B49" s="2">
        <v>58304</v>
      </c>
    </row>
  </sheetData>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6E2B0-8084-4C94-A66A-C5D682241309}">
  <sheetPr codeName="Sheet8"/>
  <dimension ref="A9:I35"/>
  <sheetViews>
    <sheetView zoomScale="80" zoomScaleNormal="80" workbookViewId="0">
      <selection activeCell="M18" sqref="M18"/>
    </sheetView>
  </sheetViews>
  <sheetFormatPr defaultRowHeight="14.4" x14ac:dyDescent="0.3"/>
  <cols>
    <col min="1" max="2" width="7.5546875" customWidth="1"/>
    <col min="3" max="3" width="8.109375" bestFit="1" customWidth="1"/>
    <col min="4" max="4" width="8" bestFit="1" customWidth="1"/>
    <col min="5" max="5" width="10.88671875" bestFit="1" customWidth="1"/>
    <col min="6" max="6" width="8.77734375" bestFit="1" customWidth="1"/>
    <col min="7" max="7" width="7.109375" bestFit="1" customWidth="1"/>
    <col min="8" max="8" width="8.5546875" bestFit="1" customWidth="1"/>
    <col min="9" max="9" width="10.77734375" hidden="1" customWidth="1"/>
  </cols>
  <sheetData>
    <row r="9" spans="1:9" hidden="1" x14ac:dyDescent="0.3">
      <c r="A9" s="4" t="s">
        <v>77</v>
      </c>
      <c r="B9" s="4" t="s">
        <v>84</v>
      </c>
    </row>
    <row r="10" spans="1:9" x14ac:dyDescent="0.3">
      <c r="A10" s="4" t="s">
        <v>15</v>
      </c>
      <c r="B10" t="s">
        <v>31</v>
      </c>
      <c r="C10" t="s">
        <v>32</v>
      </c>
      <c r="D10" t="s">
        <v>33</v>
      </c>
      <c r="E10" t="s">
        <v>34</v>
      </c>
      <c r="F10" t="s">
        <v>35</v>
      </c>
      <c r="G10" t="s">
        <v>36</v>
      </c>
      <c r="H10" t="s">
        <v>27</v>
      </c>
      <c r="I10" t="s">
        <v>48</v>
      </c>
    </row>
    <row r="11" spans="1:9" x14ac:dyDescent="0.3">
      <c r="A11" s="19">
        <v>0</v>
      </c>
      <c r="B11" s="2">
        <v>214</v>
      </c>
      <c r="C11" s="2">
        <v>67</v>
      </c>
      <c r="D11" s="2">
        <v>44</v>
      </c>
      <c r="E11" s="2">
        <v>52</v>
      </c>
      <c r="F11" s="2">
        <v>59</v>
      </c>
      <c r="G11" s="2">
        <v>88</v>
      </c>
      <c r="H11" s="2">
        <v>179</v>
      </c>
      <c r="I11" s="2">
        <v>703</v>
      </c>
    </row>
    <row r="12" spans="1:9" x14ac:dyDescent="0.3">
      <c r="A12" s="19">
        <v>1</v>
      </c>
      <c r="B12" s="2">
        <v>162</v>
      </c>
      <c r="C12" s="2">
        <v>39</v>
      </c>
      <c r="D12" s="2">
        <v>17</v>
      </c>
      <c r="E12" s="2">
        <v>34</v>
      </c>
      <c r="F12" s="2">
        <v>23</v>
      </c>
      <c r="G12" s="2">
        <v>35</v>
      </c>
      <c r="H12" s="2">
        <v>150</v>
      </c>
      <c r="I12" s="2">
        <v>460</v>
      </c>
    </row>
    <row r="13" spans="1:9" x14ac:dyDescent="0.3">
      <c r="A13" s="19">
        <v>2</v>
      </c>
      <c r="B13" s="2">
        <v>105</v>
      </c>
      <c r="C13" s="2">
        <v>17</v>
      </c>
      <c r="D13" s="2">
        <v>10</v>
      </c>
      <c r="E13" s="2">
        <v>23</v>
      </c>
      <c r="F13" s="2">
        <v>11</v>
      </c>
      <c r="G13" s="2">
        <v>10</v>
      </c>
      <c r="H13" s="2">
        <v>118</v>
      </c>
      <c r="I13" s="2">
        <v>294</v>
      </c>
    </row>
    <row r="14" spans="1:9" x14ac:dyDescent="0.3">
      <c r="A14" s="19">
        <v>3</v>
      </c>
      <c r="B14" s="2">
        <v>63</v>
      </c>
      <c r="C14" s="2">
        <v>9</v>
      </c>
      <c r="D14" s="2">
        <v>3</v>
      </c>
      <c r="E14" s="2">
        <v>3</v>
      </c>
      <c r="F14" s="2">
        <v>5</v>
      </c>
      <c r="G14" s="2">
        <v>4</v>
      </c>
      <c r="H14" s="2">
        <v>64</v>
      </c>
      <c r="I14" s="2">
        <v>151</v>
      </c>
    </row>
    <row r="15" spans="1:9" x14ac:dyDescent="0.3">
      <c r="A15" s="19">
        <v>4</v>
      </c>
      <c r="B15" s="2">
        <v>10</v>
      </c>
      <c r="C15" s="2">
        <v>14</v>
      </c>
      <c r="D15" s="2">
        <v>6</v>
      </c>
      <c r="E15" s="2">
        <v>5</v>
      </c>
      <c r="F15" s="2">
        <v>7</v>
      </c>
      <c r="G15" s="2">
        <v>2</v>
      </c>
      <c r="H15" s="2">
        <v>25</v>
      </c>
      <c r="I15" s="2">
        <v>69</v>
      </c>
    </row>
    <row r="16" spans="1:9" x14ac:dyDescent="0.3">
      <c r="A16" s="19">
        <v>5</v>
      </c>
      <c r="B16" s="2">
        <v>10</v>
      </c>
      <c r="C16" s="2">
        <v>33</v>
      </c>
      <c r="D16" s="2">
        <v>24</v>
      </c>
      <c r="E16" s="2">
        <v>26</v>
      </c>
      <c r="F16" s="2">
        <v>21</v>
      </c>
      <c r="G16" s="2">
        <v>33</v>
      </c>
      <c r="H16" s="2">
        <v>17</v>
      </c>
      <c r="I16" s="2">
        <v>164</v>
      </c>
    </row>
    <row r="17" spans="1:9" x14ac:dyDescent="0.3">
      <c r="A17" s="19">
        <v>6</v>
      </c>
      <c r="B17" s="2">
        <v>11</v>
      </c>
      <c r="C17" s="2">
        <v>174</v>
      </c>
      <c r="D17" s="2">
        <v>160</v>
      </c>
      <c r="E17" s="2">
        <v>150</v>
      </c>
      <c r="F17" s="2">
        <v>164</v>
      </c>
      <c r="G17" s="2">
        <v>146</v>
      </c>
      <c r="H17" s="2">
        <v>17</v>
      </c>
      <c r="I17" s="2">
        <v>822</v>
      </c>
    </row>
    <row r="18" spans="1:9" x14ac:dyDescent="0.3">
      <c r="A18" s="19">
        <v>7</v>
      </c>
      <c r="B18" s="2">
        <v>26</v>
      </c>
      <c r="C18" s="2">
        <v>503</v>
      </c>
      <c r="D18" s="2">
        <v>453</v>
      </c>
      <c r="E18" s="2">
        <v>410</v>
      </c>
      <c r="F18" s="2">
        <v>454</v>
      </c>
      <c r="G18" s="2">
        <v>443</v>
      </c>
      <c r="H18" s="2">
        <v>50</v>
      </c>
      <c r="I18" s="2">
        <v>2339</v>
      </c>
    </row>
    <row r="19" spans="1:9" x14ac:dyDescent="0.3">
      <c r="A19" s="19">
        <v>8</v>
      </c>
      <c r="B19" s="2">
        <v>102</v>
      </c>
      <c r="C19" s="2">
        <v>967</v>
      </c>
      <c r="D19" s="2">
        <v>1012</v>
      </c>
      <c r="E19" s="2">
        <v>946</v>
      </c>
      <c r="F19" s="2">
        <v>1036</v>
      </c>
      <c r="G19" s="2">
        <v>1178</v>
      </c>
      <c r="H19" s="2">
        <v>147</v>
      </c>
      <c r="I19" s="2">
        <v>5388</v>
      </c>
    </row>
    <row r="20" spans="1:9" x14ac:dyDescent="0.3">
      <c r="A20" s="19">
        <v>9</v>
      </c>
      <c r="B20" s="2">
        <v>229</v>
      </c>
      <c r="C20" s="2">
        <v>561</v>
      </c>
      <c r="D20" s="2">
        <v>625</v>
      </c>
      <c r="E20" s="2">
        <v>609</v>
      </c>
      <c r="F20" s="2">
        <v>659</v>
      </c>
      <c r="G20" s="2">
        <v>785</v>
      </c>
      <c r="H20" s="2">
        <v>204</v>
      </c>
      <c r="I20" s="2">
        <v>3672</v>
      </c>
    </row>
    <row r="21" spans="1:9" x14ac:dyDescent="0.3">
      <c r="A21" s="19">
        <v>10</v>
      </c>
      <c r="B21" s="2">
        <v>497</v>
      </c>
      <c r="C21" s="2">
        <v>296</v>
      </c>
      <c r="D21" s="2">
        <v>246</v>
      </c>
      <c r="E21" s="2">
        <v>291</v>
      </c>
      <c r="F21" s="2">
        <v>227</v>
      </c>
      <c r="G21" s="2">
        <v>314</v>
      </c>
      <c r="H21" s="2">
        <v>382</v>
      </c>
      <c r="I21" s="2">
        <v>2253</v>
      </c>
    </row>
    <row r="22" spans="1:9" x14ac:dyDescent="0.3">
      <c r="A22" s="19">
        <v>11</v>
      </c>
      <c r="B22" s="2">
        <v>599</v>
      </c>
      <c r="C22" s="2">
        <v>286</v>
      </c>
      <c r="D22" s="2">
        <v>254</v>
      </c>
      <c r="E22" s="2">
        <v>267</v>
      </c>
      <c r="F22" s="2">
        <v>273</v>
      </c>
      <c r="G22" s="2">
        <v>337</v>
      </c>
      <c r="H22" s="2">
        <v>478</v>
      </c>
      <c r="I22" s="2">
        <v>2494</v>
      </c>
    </row>
    <row r="23" spans="1:9" x14ac:dyDescent="0.3">
      <c r="A23" s="19">
        <v>12</v>
      </c>
      <c r="B23" s="2">
        <v>819</v>
      </c>
      <c r="C23" s="2">
        <v>390</v>
      </c>
      <c r="D23" s="2">
        <v>364</v>
      </c>
      <c r="E23" s="2">
        <v>377</v>
      </c>
      <c r="F23" s="2">
        <v>358</v>
      </c>
      <c r="G23" s="2">
        <v>384</v>
      </c>
      <c r="H23" s="2">
        <v>591</v>
      </c>
      <c r="I23" s="2">
        <v>3283</v>
      </c>
    </row>
    <row r="24" spans="1:9" x14ac:dyDescent="0.3">
      <c r="A24" s="19">
        <v>13</v>
      </c>
      <c r="B24" s="2">
        <v>775</v>
      </c>
      <c r="C24" s="2">
        <v>386</v>
      </c>
      <c r="D24" s="2">
        <v>366</v>
      </c>
      <c r="E24" s="2">
        <v>389</v>
      </c>
      <c r="F24" s="2">
        <v>361</v>
      </c>
      <c r="G24" s="2">
        <v>446</v>
      </c>
      <c r="H24" s="2">
        <v>653</v>
      </c>
      <c r="I24" s="2">
        <v>3376</v>
      </c>
    </row>
    <row r="25" spans="1:9" x14ac:dyDescent="0.3">
      <c r="A25" s="19">
        <v>14</v>
      </c>
      <c r="B25" s="2">
        <v>776</v>
      </c>
      <c r="C25" s="2">
        <v>401</v>
      </c>
      <c r="D25" s="2">
        <v>340</v>
      </c>
      <c r="E25" s="2">
        <v>338</v>
      </c>
      <c r="F25" s="2">
        <v>288</v>
      </c>
      <c r="G25" s="2">
        <v>389</v>
      </c>
      <c r="H25" s="2">
        <v>668</v>
      </c>
      <c r="I25" s="2">
        <v>3200</v>
      </c>
    </row>
    <row r="26" spans="1:9" x14ac:dyDescent="0.3">
      <c r="A26" s="19">
        <v>15</v>
      </c>
      <c r="B26" s="2">
        <v>799</v>
      </c>
      <c r="C26" s="2">
        <v>361</v>
      </c>
      <c r="D26" s="2">
        <v>334</v>
      </c>
      <c r="E26" s="2">
        <v>376</v>
      </c>
      <c r="F26" s="2">
        <v>302</v>
      </c>
      <c r="G26" s="2">
        <v>410</v>
      </c>
      <c r="H26" s="2">
        <v>770</v>
      </c>
      <c r="I26" s="2">
        <v>3352</v>
      </c>
    </row>
    <row r="27" spans="1:9" x14ac:dyDescent="0.3">
      <c r="A27" s="19">
        <v>16</v>
      </c>
      <c r="B27" s="2">
        <v>746</v>
      </c>
      <c r="C27" s="2">
        <v>502</v>
      </c>
      <c r="D27" s="2">
        <v>483</v>
      </c>
      <c r="E27" s="2">
        <v>479</v>
      </c>
      <c r="F27" s="2">
        <v>437</v>
      </c>
      <c r="G27" s="2">
        <v>578</v>
      </c>
      <c r="H27" s="2">
        <v>703</v>
      </c>
      <c r="I27" s="2">
        <v>3928</v>
      </c>
    </row>
    <row r="28" spans="1:9" x14ac:dyDescent="0.3">
      <c r="A28" s="19">
        <v>17</v>
      </c>
      <c r="B28" s="2">
        <v>610</v>
      </c>
      <c r="C28" s="2">
        <v>967</v>
      </c>
      <c r="D28" s="2">
        <v>1047</v>
      </c>
      <c r="E28" s="2">
        <v>908</v>
      </c>
      <c r="F28" s="2">
        <v>973</v>
      </c>
      <c r="G28" s="2">
        <v>1072</v>
      </c>
      <c r="H28" s="2">
        <v>592</v>
      </c>
      <c r="I28" s="2">
        <v>6169</v>
      </c>
    </row>
    <row r="29" spans="1:9" x14ac:dyDescent="0.3">
      <c r="A29" s="19">
        <v>18</v>
      </c>
      <c r="B29" s="2">
        <v>455</v>
      </c>
      <c r="C29" s="2">
        <v>888</v>
      </c>
      <c r="D29" s="2">
        <v>955</v>
      </c>
      <c r="E29" s="2">
        <v>819</v>
      </c>
      <c r="F29" s="2">
        <v>903</v>
      </c>
      <c r="G29" s="2">
        <v>820</v>
      </c>
      <c r="H29" s="2">
        <v>443</v>
      </c>
      <c r="I29" s="2">
        <v>5283</v>
      </c>
    </row>
    <row r="30" spans="1:9" x14ac:dyDescent="0.3">
      <c r="A30" s="19">
        <v>19</v>
      </c>
      <c r="B30" s="2">
        <v>319</v>
      </c>
      <c r="C30" s="2">
        <v>610</v>
      </c>
      <c r="D30" s="2">
        <v>617</v>
      </c>
      <c r="E30" s="2">
        <v>506</v>
      </c>
      <c r="F30" s="2">
        <v>650</v>
      </c>
      <c r="G30" s="2">
        <v>576</v>
      </c>
      <c r="H30" s="2">
        <v>383</v>
      </c>
      <c r="I30" s="2">
        <v>3661</v>
      </c>
    </row>
    <row r="31" spans="1:9" x14ac:dyDescent="0.3">
      <c r="A31" s="19">
        <v>20</v>
      </c>
      <c r="B31" s="2">
        <v>258</v>
      </c>
      <c r="C31" s="2">
        <v>406</v>
      </c>
      <c r="D31" s="2">
        <v>418</v>
      </c>
      <c r="E31" s="2">
        <v>380</v>
      </c>
      <c r="F31" s="2">
        <v>524</v>
      </c>
      <c r="G31" s="2">
        <v>368</v>
      </c>
      <c r="H31" s="2">
        <v>302</v>
      </c>
      <c r="I31" s="2">
        <v>2656</v>
      </c>
    </row>
    <row r="32" spans="1:9" x14ac:dyDescent="0.3">
      <c r="A32" s="19">
        <v>21</v>
      </c>
      <c r="B32" s="2">
        <v>210</v>
      </c>
      <c r="C32" s="2">
        <v>310</v>
      </c>
      <c r="D32" s="2">
        <v>272</v>
      </c>
      <c r="E32" s="2">
        <v>305</v>
      </c>
      <c r="F32" s="2">
        <v>309</v>
      </c>
      <c r="G32" s="2">
        <v>280</v>
      </c>
      <c r="H32" s="2">
        <v>310</v>
      </c>
      <c r="I32" s="2">
        <v>1996</v>
      </c>
    </row>
    <row r="33" spans="1:9" x14ac:dyDescent="0.3">
      <c r="A33" s="19">
        <v>22</v>
      </c>
      <c r="B33" s="2">
        <v>192</v>
      </c>
      <c r="C33" s="2">
        <v>163</v>
      </c>
      <c r="D33" s="2">
        <v>215</v>
      </c>
      <c r="E33" s="2">
        <v>220</v>
      </c>
      <c r="F33" s="2">
        <v>257</v>
      </c>
      <c r="G33" s="2">
        <v>221</v>
      </c>
      <c r="H33" s="2">
        <v>240</v>
      </c>
      <c r="I33" s="2">
        <v>1508</v>
      </c>
    </row>
    <row r="34" spans="1:9" x14ac:dyDescent="0.3">
      <c r="A34" s="19">
        <v>23</v>
      </c>
      <c r="B34" s="2">
        <v>134</v>
      </c>
      <c r="C34" s="2">
        <v>100</v>
      </c>
      <c r="D34" s="2">
        <v>118</v>
      </c>
      <c r="E34" s="2">
        <v>136</v>
      </c>
      <c r="F34" s="2">
        <v>157</v>
      </c>
      <c r="G34" s="2">
        <v>176</v>
      </c>
      <c r="H34" s="2">
        <v>262</v>
      </c>
      <c r="I34" s="2">
        <v>1083</v>
      </c>
    </row>
    <row r="35" spans="1:9" hidden="1" x14ac:dyDescent="0.3">
      <c r="A35" s="19" t="s">
        <v>48</v>
      </c>
      <c r="B35" s="2">
        <v>8121</v>
      </c>
      <c r="C35" s="2">
        <v>8450</v>
      </c>
      <c r="D35" s="2">
        <v>8383</v>
      </c>
      <c r="E35" s="2">
        <v>8049</v>
      </c>
      <c r="F35" s="2">
        <v>8458</v>
      </c>
      <c r="G35" s="2">
        <v>9095</v>
      </c>
      <c r="H35" s="2">
        <v>7748</v>
      </c>
      <c r="I35" s="2">
        <v>58304</v>
      </c>
    </row>
  </sheetData>
  <conditionalFormatting pivot="1" sqref="B11:H34">
    <cfRule type="colorScale" priority="1">
      <colorScale>
        <cfvo type="min"/>
        <cfvo type="percentile" val="50"/>
        <cfvo type="max"/>
        <color rgb="FFFF0000"/>
        <color rgb="FFFFFF00"/>
        <color rgb="FF00B050"/>
      </colorScale>
    </cfRule>
  </conditionalFormatting>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C4E28-2E34-422C-8F10-5EE87684B436}">
  <sheetPr codeName="Sheet9"/>
  <dimension ref="A3:C8"/>
  <sheetViews>
    <sheetView showGridLines="0" workbookViewId="0">
      <selection activeCell="I24" sqref="I24"/>
    </sheetView>
  </sheetViews>
  <sheetFormatPr defaultRowHeight="14.4" x14ac:dyDescent="0.3"/>
  <cols>
    <col min="1" max="1" width="19.21875" bestFit="1" customWidth="1"/>
    <col min="2" max="2" width="11.109375" bestFit="1" customWidth="1"/>
    <col min="3" max="3" width="15" bestFit="1" customWidth="1"/>
  </cols>
  <sheetData>
    <row r="3" spans="1:3" x14ac:dyDescent="0.3">
      <c r="A3" s="4" t="s">
        <v>87</v>
      </c>
      <c r="B3" t="s">
        <v>49</v>
      </c>
      <c r="C3" t="s">
        <v>85</v>
      </c>
    </row>
    <row r="4" spans="1:3" x14ac:dyDescent="0.3">
      <c r="A4" s="19" t="s">
        <v>37</v>
      </c>
      <c r="B4" s="2">
        <v>1</v>
      </c>
      <c r="C4" s="2">
        <v>35</v>
      </c>
    </row>
    <row r="5" spans="1:3" x14ac:dyDescent="0.3">
      <c r="A5" s="19" t="s">
        <v>30</v>
      </c>
      <c r="B5" s="2">
        <v>171</v>
      </c>
      <c r="C5" s="2">
        <v>2618</v>
      </c>
    </row>
    <row r="6" spans="1:3" x14ac:dyDescent="0.3">
      <c r="A6" s="19" t="s">
        <v>29</v>
      </c>
      <c r="B6" s="2">
        <v>1538</v>
      </c>
      <c r="C6" s="2">
        <v>16568</v>
      </c>
    </row>
    <row r="7" spans="1:3" x14ac:dyDescent="0.3">
      <c r="A7" s="19" t="s">
        <v>28</v>
      </c>
      <c r="B7" s="2">
        <v>3211</v>
      </c>
      <c r="C7" s="2">
        <v>34162</v>
      </c>
    </row>
    <row r="8" spans="1:3" x14ac:dyDescent="0.3">
      <c r="A8" s="19" t="s">
        <v>48</v>
      </c>
      <c r="B8" s="2">
        <v>4921</v>
      </c>
      <c r="C8" s="2">
        <v>53383</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380133-1AD1-4CC1-94C9-5B0DB3CCE8DE}">
  <sheetPr codeName="Sheet10"/>
  <dimension ref="A3:C6"/>
  <sheetViews>
    <sheetView showGridLines="0" workbookViewId="0">
      <selection activeCell="J18" sqref="J18"/>
    </sheetView>
  </sheetViews>
  <sheetFormatPr defaultRowHeight="14.4" x14ac:dyDescent="0.3"/>
  <cols>
    <col min="1" max="1" width="11.88671875" bestFit="1" customWidth="1"/>
    <col min="2" max="2" width="11.109375" bestFit="1" customWidth="1"/>
    <col min="3" max="3" width="14.5546875" bestFit="1" customWidth="1"/>
  </cols>
  <sheetData>
    <row r="3" spans="1:3" x14ac:dyDescent="0.3">
      <c r="A3" s="4" t="s">
        <v>16</v>
      </c>
      <c r="B3" t="s">
        <v>49</v>
      </c>
      <c r="C3" t="s">
        <v>50</v>
      </c>
    </row>
    <row r="4" spans="1:3" x14ac:dyDescent="0.3">
      <c r="A4" s="19" t="s">
        <v>86</v>
      </c>
      <c r="B4" s="2">
        <v>117</v>
      </c>
      <c r="C4" s="2">
        <v>883</v>
      </c>
    </row>
    <row r="5" spans="1:3" x14ac:dyDescent="0.3">
      <c r="A5" s="19" t="s">
        <v>26</v>
      </c>
      <c r="B5" s="2">
        <v>4804</v>
      </c>
      <c r="C5" s="2">
        <v>52500</v>
      </c>
    </row>
    <row r="6" spans="1:3" x14ac:dyDescent="0.3">
      <c r="A6" s="19" t="s">
        <v>48</v>
      </c>
      <c r="B6" s="2">
        <v>4921</v>
      </c>
      <c r="C6" s="2">
        <v>53383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C451D-2276-4298-838E-B46754AAF9B8}">
  <sheetPr codeName="Sheet11"/>
  <dimension ref="A3:B11"/>
  <sheetViews>
    <sheetView showGridLines="0" workbookViewId="0">
      <selection activeCell="J23" sqref="J23"/>
    </sheetView>
  </sheetViews>
  <sheetFormatPr defaultRowHeight="14.4" x14ac:dyDescent="0.3"/>
  <cols>
    <col min="1" max="1" width="12.5546875" bestFit="1" customWidth="1"/>
    <col min="2" max="2" width="15.88671875" bestFit="1" customWidth="1"/>
  </cols>
  <sheetData>
    <row r="3" spans="1:2" x14ac:dyDescent="0.3">
      <c r="A3" s="4" t="s">
        <v>78</v>
      </c>
      <c r="B3" t="s">
        <v>77</v>
      </c>
    </row>
    <row r="4" spans="1:2" x14ac:dyDescent="0.3">
      <c r="A4" s="19" t="s">
        <v>31</v>
      </c>
      <c r="B4" s="2">
        <v>8121</v>
      </c>
    </row>
    <row r="5" spans="1:2" x14ac:dyDescent="0.3">
      <c r="A5" s="19" t="s">
        <v>32</v>
      </c>
      <c r="B5" s="2">
        <v>8450</v>
      </c>
    </row>
    <row r="6" spans="1:2" x14ac:dyDescent="0.3">
      <c r="A6" s="19" t="s">
        <v>33</v>
      </c>
      <c r="B6" s="2">
        <v>8383</v>
      </c>
    </row>
    <row r="7" spans="1:2" x14ac:dyDescent="0.3">
      <c r="A7" s="19" t="s">
        <v>34</v>
      </c>
      <c r="B7" s="2">
        <v>8049</v>
      </c>
    </row>
    <row r="8" spans="1:2" x14ac:dyDescent="0.3">
      <c r="A8" s="19" t="s">
        <v>35</v>
      </c>
      <c r="B8" s="2">
        <v>8458</v>
      </c>
    </row>
    <row r="9" spans="1:2" x14ac:dyDescent="0.3">
      <c r="A9" s="19" t="s">
        <v>36</v>
      </c>
      <c r="B9" s="2">
        <v>9095</v>
      </c>
    </row>
    <row r="10" spans="1:2" x14ac:dyDescent="0.3">
      <c r="A10" s="19" t="s">
        <v>27</v>
      </c>
      <c r="B10" s="2">
        <v>7748</v>
      </c>
    </row>
    <row r="11" spans="1:2" x14ac:dyDescent="0.3">
      <c r="A11" s="19" t="s">
        <v>48</v>
      </c>
      <c r="B11" s="2">
        <v>58304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9A32F-7FC5-424C-B069-9EAC7B92DCEC}">
  <sheetPr codeName="Sheet12"/>
  <dimension ref="A3:B8"/>
  <sheetViews>
    <sheetView workbookViewId="0">
      <selection activeCell="K19" sqref="K19"/>
    </sheetView>
  </sheetViews>
  <sheetFormatPr defaultRowHeight="14.4" x14ac:dyDescent="0.3"/>
  <cols>
    <col min="1" max="1" width="16.77734375" bestFit="1" customWidth="1"/>
    <col min="2" max="2" width="12.44140625" bestFit="1" customWidth="1"/>
  </cols>
  <sheetData>
    <row r="3" spans="1:2" x14ac:dyDescent="0.3">
      <c r="A3" s="4" t="s">
        <v>39</v>
      </c>
      <c r="B3" t="s">
        <v>88</v>
      </c>
    </row>
    <row r="4" spans="1:2" x14ac:dyDescent="0.3">
      <c r="A4" s="19" t="s">
        <v>43</v>
      </c>
      <c r="B4" s="2">
        <v>292</v>
      </c>
    </row>
    <row r="5" spans="1:2" x14ac:dyDescent="0.3">
      <c r="A5" s="19" t="s">
        <v>45</v>
      </c>
      <c r="B5" s="2">
        <v>216</v>
      </c>
    </row>
    <row r="6" spans="1:2" x14ac:dyDescent="0.3">
      <c r="A6" s="19" t="s">
        <v>47</v>
      </c>
      <c r="B6" s="2">
        <v>173</v>
      </c>
    </row>
    <row r="7" spans="1:2" x14ac:dyDescent="0.3">
      <c r="A7" s="19" t="s">
        <v>41</v>
      </c>
      <c r="B7" s="2">
        <v>319</v>
      </c>
    </row>
    <row r="8" spans="1:2" x14ac:dyDescent="0.3">
      <c r="A8" s="19" t="s">
        <v>48</v>
      </c>
      <c r="B8" s="2">
        <v>1000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A6E67-67DF-429A-B50F-5938E2229460}">
  <sheetPr codeName="Sheet13"/>
  <dimension ref="A3:B8"/>
  <sheetViews>
    <sheetView workbookViewId="0">
      <selection activeCell="K20" sqref="K20"/>
    </sheetView>
  </sheetViews>
  <sheetFormatPr defaultRowHeight="14.4" x14ac:dyDescent="0.3"/>
  <cols>
    <col min="1" max="1" width="16.77734375" bestFit="1" customWidth="1"/>
    <col min="2" max="2" width="9.88671875" bestFit="1" customWidth="1"/>
  </cols>
  <sheetData>
    <row r="3" spans="1:2" x14ac:dyDescent="0.3">
      <c r="A3" s="4" t="s">
        <v>39</v>
      </c>
      <c r="B3" t="s">
        <v>80</v>
      </c>
    </row>
    <row r="4" spans="1:2" x14ac:dyDescent="0.3">
      <c r="A4" s="19" t="s">
        <v>43</v>
      </c>
      <c r="B4" s="2">
        <v>0.42</v>
      </c>
    </row>
    <row r="5" spans="1:2" x14ac:dyDescent="0.3">
      <c r="A5" s="19" t="s">
        <v>45</v>
      </c>
      <c r="B5" s="2">
        <v>0.46</v>
      </c>
    </row>
    <row r="6" spans="1:2" x14ac:dyDescent="0.3">
      <c r="A6" s="19" t="s">
        <v>47</v>
      </c>
      <c r="B6" s="2">
        <v>0.44</v>
      </c>
    </row>
    <row r="7" spans="1:2" x14ac:dyDescent="0.3">
      <c r="A7" s="19" t="s">
        <v>41</v>
      </c>
      <c r="B7" s="2">
        <v>0.46</v>
      </c>
    </row>
    <row r="8" spans="1:2" x14ac:dyDescent="0.3">
      <c r="A8" s="19" t="s">
        <v>48</v>
      </c>
      <c r="B8" s="2">
        <v>0.46</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224E3-0F2B-452A-83A0-A670E68E6497}">
  <sheetPr codeName="Sheet14"/>
  <dimension ref="A1:O1001"/>
  <sheetViews>
    <sheetView workbookViewId="0">
      <selection activeCell="F338" sqref="F338"/>
    </sheetView>
  </sheetViews>
  <sheetFormatPr defaultRowHeight="14.4" x14ac:dyDescent="0.3"/>
  <cols>
    <col min="1" max="1" width="9.109375" bestFit="1" customWidth="1"/>
    <col min="2" max="2" width="10.33203125" bestFit="1" customWidth="1"/>
    <col min="3" max="3" width="7.33203125" bestFit="1" customWidth="1"/>
    <col min="4" max="4" width="16.77734375" bestFit="1" customWidth="1"/>
    <col min="5" max="5" width="11.33203125" bestFit="1" customWidth="1"/>
    <col min="6" max="6" width="11.88671875" bestFit="1" customWidth="1"/>
    <col min="7" max="7" width="18.5546875" bestFit="1" customWidth="1"/>
    <col min="8" max="8" width="8" bestFit="1" customWidth="1"/>
    <col min="9" max="9" width="16.109375" bestFit="1" customWidth="1"/>
    <col min="10" max="10" width="15" bestFit="1" customWidth="1"/>
    <col min="11" max="11" width="10.88671875" bestFit="1" customWidth="1"/>
    <col min="12" max="12" width="12.6640625" bestFit="1" customWidth="1"/>
    <col min="13" max="13" width="8.6640625" bestFit="1" customWidth="1"/>
    <col min="14" max="14" width="12" bestFit="1" customWidth="1"/>
    <col min="15" max="15" width="11.5546875" customWidth="1"/>
  </cols>
  <sheetData>
    <row r="1" spans="1:15" x14ac:dyDescent="0.3">
      <c r="A1" t="s">
        <v>38</v>
      </c>
      <c r="B1" t="s">
        <v>14</v>
      </c>
      <c r="C1" t="s">
        <v>15</v>
      </c>
      <c r="D1" t="s">
        <v>39</v>
      </c>
      <c r="E1" t="s">
        <v>16</v>
      </c>
      <c r="F1" t="s">
        <v>17</v>
      </c>
      <c r="G1" t="s">
        <v>18</v>
      </c>
      <c r="H1" t="s">
        <v>19</v>
      </c>
      <c r="I1" t="s">
        <v>40</v>
      </c>
      <c r="J1" t="s">
        <v>20</v>
      </c>
      <c r="K1" t="s">
        <v>21</v>
      </c>
      <c r="L1" t="s">
        <v>22</v>
      </c>
      <c r="M1" t="s">
        <v>23</v>
      </c>
      <c r="N1" t="s">
        <v>24</v>
      </c>
      <c r="O1" t="s">
        <v>25</v>
      </c>
    </row>
    <row r="2" spans="1:15" hidden="1" x14ac:dyDescent="0.3">
      <c r="A2">
        <v>1</v>
      </c>
      <c r="B2" s="1">
        <v>40544</v>
      </c>
      <c r="C2">
        <v>0</v>
      </c>
      <c r="D2" s="2" t="s">
        <v>41</v>
      </c>
      <c r="E2" t="s">
        <v>26</v>
      </c>
      <c r="F2" s="2" t="s">
        <v>27</v>
      </c>
      <c r="G2" t="s">
        <v>28</v>
      </c>
      <c r="H2" s="3">
        <v>0.24</v>
      </c>
      <c r="I2" s="2" t="s">
        <v>42</v>
      </c>
      <c r="J2" s="3">
        <v>0.28789999999999999</v>
      </c>
      <c r="K2" s="3">
        <v>0.81</v>
      </c>
      <c r="L2" s="3">
        <v>0</v>
      </c>
      <c r="M2">
        <v>3</v>
      </c>
      <c r="N2">
        <v>13</v>
      </c>
      <c r="O2">
        <v>16</v>
      </c>
    </row>
    <row r="3" spans="1:15" hidden="1" x14ac:dyDescent="0.3">
      <c r="A3">
        <v>2</v>
      </c>
      <c r="B3" s="1">
        <v>40544</v>
      </c>
      <c r="C3">
        <v>1</v>
      </c>
      <c r="D3" s="2" t="s">
        <v>41</v>
      </c>
      <c r="E3" t="s">
        <v>26</v>
      </c>
      <c r="F3" s="2" t="s">
        <v>27</v>
      </c>
      <c r="G3" t="s">
        <v>28</v>
      </c>
      <c r="H3" s="3">
        <v>0.22</v>
      </c>
      <c r="I3" s="2" t="s">
        <v>42</v>
      </c>
      <c r="J3" s="3">
        <v>0.2727</v>
      </c>
      <c r="K3" s="3">
        <v>0.8</v>
      </c>
      <c r="L3" s="3">
        <v>0</v>
      </c>
      <c r="M3">
        <v>8</v>
      </c>
      <c r="N3">
        <v>32</v>
      </c>
      <c r="O3">
        <v>40</v>
      </c>
    </row>
    <row r="4" spans="1:15" hidden="1" x14ac:dyDescent="0.3">
      <c r="A4">
        <v>3</v>
      </c>
      <c r="B4" s="1">
        <v>40544</v>
      </c>
      <c r="C4">
        <v>2</v>
      </c>
      <c r="D4" s="2" t="s">
        <v>41</v>
      </c>
      <c r="E4" t="s">
        <v>26</v>
      </c>
      <c r="F4" s="2" t="s">
        <v>27</v>
      </c>
      <c r="G4" t="s">
        <v>28</v>
      </c>
      <c r="H4" s="3">
        <v>0.22</v>
      </c>
      <c r="I4" s="2" t="s">
        <v>42</v>
      </c>
      <c r="J4" s="3">
        <v>0.2727</v>
      </c>
      <c r="K4" s="3">
        <v>0.8</v>
      </c>
      <c r="L4" s="3">
        <v>0</v>
      </c>
      <c r="M4">
        <v>5</v>
      </c>
      <c r="N4">
        <v>27</v>
      </c>
      <c r="O4">
        <v>32</v>
      </c>
    </row>
    <row r="5" spans="1:15" hidden="1" x14ac:dyDescent="0.3">
      <c r="A5">
        <v>4</v>
      </c>
      <c r="B5" s="1">
        <v>40544</v>
      </c>
      <c r="C5">
        <v>3</v>
      </c>
      <c r="D5" s="2" t="s">
        <v>41</v>
      </c>
      <c r="E5" t="s">
        <v>26</v>
      </c>
      <c r="F5" s="2" t="s">
        <v>27</v>
      </c>
      <c r="G5" t="s">
        <v>28</v>
      </c>
      <c r="H5" s="3">
        <v>0.24</v>
      </c>
      <c r="I5" s="2" t="s">
        <v>42</v>
      </c>
      <c r="J5" s="3">
        <v>0.28789999999999999</v>
      </c>
      <c r="K5" s="3">
        <v>0.75</v>
      </c>
      <c r="L5" s="3">
        <v>0</v>
      </c>
      <c r="M5">
        <v>3</v>
      </c>
      <c r="N5">
        <v>10</v>
      </c>
      <c r="O5">
        <v>13</v>
      </c>
    </row>
    <row r="6" spans="1:15" hidden="1" x14ac:dyDescent="0.3">
      <c r="A6">
        <v>5</v>
      </c>
      <c r="B6" s="1">
        <v>40544</v>
      </c>
      <c r="C6">
        <v>4</v>
      </c>
      <c r="D6" s="2" t="s">
        <v>41</v>
      </c>
      <c r="E6" t="s">
        <v>26</v>
      </c>
      <c r="F6" s="2" t="s">
        <v>27</v>
      </c>
      <c r="G6" t="s">
        <v>28</v>
      </c>
      <c r="H6" s="3">
        <v>0.24</v>
      </c>
      <c r="I6" s="2" t="s">
        <v>42</v>
      </c>
      <c r="J6" s="3">
        <v>0.28789999999999999</v>
      </c>
      <c r="K6" s="3">
        <v>0.75</v>
      </c>
      <c r="L6" s="3">
        <v>0</v>
      </c>
      <c r="M6">
        <v>0</v>
      </c>
      <c r="N6">
        <v>1</v>
      </c>
      <c r="O6">
        <v>1</v>
      </c>
    </row>
    <row r="7" spans="1:15" x14ac:dyDescent="0.3">
      <c r="A7">
        <v>6</v>
      </c>
      <c r="B7" s="1">
        <v>40544</v>
      </c>
      <c r="C7">
        <v>5</v>
      </c>
      <c r="D7" s="2" t="s">
        <v>43</v>
      </c>
      <c r="E7" t="s">
        <v>26</v>
      </c>
      <c r="F7" s="2" t="s">
        <v>27</v>
      </c>
      <c r="G7" t="s">
        <v>29</v>
      </c>
      <c r="H7" s="3">
        <v>0.24</v>
      </c>
      <c r="I7" s="2" t="s">
        <v>42</v>
      </c>
      <c r="J7" s="3">
        <v>0.2576</v>
      </c>
      <c r="K7" s="3">
        <v>0.75</v>
      </c>
      <c r="L7" s="3">
        <v>8.9599999999999999E-2</v>
      </c>
      <c r="M7">
        <v>0</v>
      </c>
      <c r="N7">
        <v>1</v>
      </c>
      <c r="O7">
        <v>1</v>
      </c>
    </row>
    <row r="8" spans="1:15" x14ac:dyDescent="0.3">
      <c r="A8">
        <v>7</v>
      </c>
      <c r="B8" s="1">
        <v>40544</v>
      </c>
      <c r="C8">
        <v>6</v>
      </c>
      <c r="D8" s="2" t="s">
        <v>43</v>
      </c>
      <c r="E8" t="s">
        <v>26</v>
      </c>
      <c r="F8" s="2" t="s">
        <v>27</v>
      </c>
      <c r="G8" t="s">
        <v>28</v>
      </c>
      <c r="H8" s="3">
        <v>0.22</v>
      </c>
      <c r="I8" s="2" t="s">
        <v>42</v>
      </c>
      <c r="J8" s="3">
        <v>0.2727</v>
      </c>
      <c r="K8" s="3">
        <v>0.8</v>
      </c>
      <c r="L8" s="3">
        <v>0</v>
      </c>
      <c r="M8">
        <v>2</v>
      </c>
      <c r="N8">
        <v>0</v>
      </c>
      <c r="O8">
        <v>2</v>
      </c>
    </row>
    <row r="9" spans="1:15" x14ac:dyDescent="0.3">
      <c r="A9">
        <v>8</v>
      </c>
      <c r="B9" s="1">
        <v>40544</v>
      </c>
      <c r="C9">
        <v>7</v>
      </c>
      <c r="D9" s="2" t="s">
        <v>43</v>
      </c>
      <c r="E9" t="s">
        <v>26</v>
      </c>
      <c r="F9" s="2" t="s">
        <v>27</v>
      </c>
      <c r="G9" t="s">
        <v>28</v>
      </c>
      <c r="H9" s="3">
        <v>0.2</v>
      </c>
      <c r="I9" s="2" t="s">
        <v>44</v>
      </c>
      <c r="J9" s="3">
        <v>0.2576</v>
      </c>
      <c r="K9" s="3">
        <v>0.86</v>
      </c>
      <c r="L9" s="3">
        <v>0</v>
      </c>
      <c r="M9">
        <v>1</v>
      </c>
      <c r="N9">
        <v>2</v>
      </c>
      <c r="O9">
        <v>3</v>
      </c>
    </row>
    <row r="10" spans="1:15" x14ac:dyDescent="0.3">
      <c r="A10">
        <v>9</v>
      </c>
      <c r="B10" s="1">
        <v>40544</v>
      </c>
      <c r="C10">
        <v>8</v>
      </c>
      <c r="D10" s="2" t="s">
        <v>43</v>
      </c>
      <c r="E10" t="s">
        <v>26</v>
      </c>
      <c r="F10" s="2" t="s">
        <v>27</v>
      </c>
      <c r="G10" t="s">
        <v>28</v>
      </c>
      <c r="H10" s="3">
        <v>0.24</v>
      </c>
      <c r="I10" s="2" t="s">
        <v>42</v>
      </c>
      <c r="J10" s="3">
        <v>0.21195783619818026</v>
      </c>
      <c r="K10" s="3">
        <v>0.75</v>
      </c>
      <c r="L10" s="3">
        <v>0</v>
      </c>
      <c r="M10">
        <v>1</v>
      </c>
      <c r="N10">
        <v>7</v>
      </c>
      <c r="O10">
        <v>8</v>
      </c>
    </row>
    <row r="11" spans="1:15" x14ac:dyDescent="0.3">
      <c r="A11">
        <v>10</v>
      </c>
      <c r="B11" s="1">
        <v>40544</v>
      </c>
      <c r="C11">
        <v>9</v>
      </c>
      <c r="D11" s="2" t="s">
        <v>43</v>
      </c>
      <c r="E11" t="s">
        <v>26</v>
      </c>
      <c r="F11" s="2" t="s">
        <v>27</v>
      </c>
      <c r="G11" t="s">
        <v>28</v>
      </c>
      <c r="H11" s="3">
        <v>0.32</v>
      </c>
      <c r="I11" s="2" t="s">
        <v>42</v>
      </c>
      <c r="J11" s="3">
        <v>0.34849999999999998</v>
      </c>
      <c r="K11" s="3">
        <v>0.76</v>
      </c>
      <c r="L11" s="3">
        <v>0</v>
      </c>
      <c r="M11">
        <v>8</v>
      </c>
      <c r="N11">
        <v>6</v>
      </c>
      <c r="O11">
        <v>14</v>
      </c>
    </row>
    <row r="12" spans="1:15" x14ac:dyDescent="0.3">
      <c r="A12">
        <v>11</v>
      </c>
      <c r="B12" s="1">
        <v>40544</v>
      </c>
      <c r="C12">
        <v>10</v>
      </c>
      <c r="D12" s="2" t="s">
        <v>43</v>
      </c>
      <c r="E12" t="s">
        <v>26</v>
      </c>
      <c r="F12" s="2" t="s">
        <v>27</v>
      </c>
      <c r="G12" t="s">
        <v>28</v>
      </c>
      <c r="H12" s="3">
        <v>0.38</v>
      </c>
      <c r="I12" s="2" t="s">
        <v>42</v>
      </c>
      <c r="J12" s="3">
        <v>0.39389999999999997</v>
      </c>
      <c r="K12" s="3">
        <v>0.76</v>
      </c>
      <c r="L12" s="3">
        <v>0.25369999999999998</v>
      </c>
      <c r="M12">
        <v>12</v>
      </c>
      <c r="N12">
        <v>24</v>
      </c>
      <c r="O12">
        <v>36</v>
      </c>
    </row>
    <row r="13" spans="1:15" x14ac:dyDescent="0.3">
      <c r="A13">
        <v>12</v>
      </c>
      <c r="B13" s="1">
        <v>40544</v>
      </c>
      <c r="C13">
        <v>11</v>
      </c>
      <c r="D13" s="2" t="s">
        <v>43</v>
      </c>
      <c r="E13" t="s">
        <v>26</v>
      </c>
      <c r="F13" s="2" t="s">
        <v>27</v>
      </c>
      <c r="G13" t="s">
        <v>28</v>
      </c>
      <c r="H13" s="3">
        <v>0.36</v>
      </c>
      <c r="I13" s="2" t="s">
        <v>42</v>
      </c>
      <c r="J13" s="3">
        <v>0.33329999999999999</v>
      </c>
      <c r="K13" s="3">
        <v>0.81</v>
      </c>
      <c r="L13" s="3">
        <v>0.28360000000000002</v>
      </c>
      <c r="M13">
        <v>26</v>
      </c>
      <c r="N13">
        <v>30</v>
      </c>
      <c r="O13">
        <v>56</v>
      </c>
    </row>
    <row r="14" spans="1:15" hidden="1" x14ac:dyDescent="0.3">
      <c r="A14">
        <v>13</v>
      </c>
      <c r="B14" s="1">
        <v>40544</v>
      </c>
      <c r="C14">
        <v>12</v>
      </c>
      <c r="D14" s="2" t="s">
        <v>45</v>
      </c>
      <c r="E14" t="s">
        <v>26</v>
      </c>
      <c r="F14" s="2" t="s">
        <v>27</v>
      </c>
      <c r="G14" t="s">
        <v>28</v>
      </c>
      <c r="H14" s="3">
        <v>0.42</v>
      </c>
      <c r="I14" s="2" t="s">
        <v>46</v>
      </c>
      <c r="J14" s="3">
        <v>0.42420000000000002</v>
      </c>
      <c r="K14" s="3">
        <v>0.77</v>
      </c>
      <c r="L14" s="3">
        <v>0.28360000000000002</v>
      </c>
      <c r="M14">
        <v>29</v>
      </c>
      <c r="N14">
        <v>55</v>
      </c>
      <c r="O14">
        <v>84</v>
      </c>
    </row>
    <row r="15" spans="1:15" hidden="1" x14ac:dyDescent="0.3">
      <c r="A15">
        <v>14</v>
      </c>
      <c r="B15" s="1">
        <v>40544</v>
      </c>
      <c r="C15">
        <v>13</v>
      </c>
      <c r="D15" s="2" t="s">
        <v>45</v>
      </c>
      <c r="E15" t="s">
        <v>26</v>
      </c>
      <c r="F15" s="2" t="s">
        <v>27</v>
      </c>
      <c r="G15" t="s">
        <v>29</v>
      </c>
      <c r="H15" s="3">
        <v>0.46</v>
      </c>
      <c r="I15" s="2" t="s">
        <v>46</v>
      </c>
      <c r="J15" s="3">
        <v>0.45450000000000002</v>
      </c>
      <c r="K15" s="3">
        <v>0.72</v>
      </c>
      <c r="L15" s="3">
        <v>0.29849999999999999</v>
      </c>
      <c r="M15">
        <v>47</v>
      </c>
      <c r="N15">
        <v>47</v>
      </c>
      <c r="O15">
        <v>94</v>
      </c>
    </row>
    <row r="16" spans="1:15" hidden="1" x14ac:dyDescent="0.3">
      <c r="A16">
        <v>15</v>
      </c>
      <c r="B16" s="1">
        <v>40544</v>
      </c>
      <c r="C16">
        <v>14</v>
      </c>
      <c r="D16" s="2" t="s">
        <v>45</v>
      </c>
      <c r="E16" t="s">
        <v>26</v>
      </c>
      <c r="F16" s="2" t="s">
        <v>27</v>
      </c>
      <c r="G16" t="s">
        <v>29</v>
      </c>
      <c r="H16" s="3">
        <v>0.46</v>
      </c>
      <c r="I16" s="2" t="s">
        <v>46</v>
      </c>
      <c r="J16" s="3">
        <v>0.45450000000000002</v>
      </c>
      <c r="K16" s="3">
        <v>0.72</v>
      </c>
      <c r="L16" s="3">
        <v>0.28360000000000002</v>
      </c>
      <c r="M16">
        <v>35</v>
      </c>
      <c r="N16">
        <v>71</v>
      </c>
      <c r="O16">
        <v>106</v>
      </c>
    </row>
    <row r="17" spans="1:15" hidden="1" x14ac:dyDescent="0.3">
      <c r="A17">
        <v>16</v>
      </c>
      <c r="B17" s="1">
        <v>40544</v>
      </c>
      <c r="C17">
        <v>15</v>
      </c>
      <c r="D17" s="2" t="s">
        <v>45</v>
      </c>
      <c r="E17" t="s">
        <v>26</v>
      </c>
      <c r="F17" s="2" t="s">
        <v>27</v>
      </c>
      <c r="G17" t="s">
        <v>29</v>
      </c>
      <c r="H17" s="3">
        <v>0.44</v>
      </c>
      <c r="I17" s="2" t="s">
        <v>46</v>
      </c>
      <c r="J17" s="3">
        <v>0.43940000000000001</v>
      </c>
      <c r="K17" s="3">
        <v>0.77</v>
      </c>
      <c r="L17" s="3">
        <v>0.29849999999999999</v>
      </c>
      <c r="M17">
        <v>40</v>
      </c>
      <c r="N17">
        <v>70</v>
      </c>
      <c r="O17">
        <v>110</v>
      </c>
    </row>
    <row r="18" spans="1:15" hidden="1" x14ac:dyDescent="0.3">
      <c r="A18">
        <v>17</v>
      </c>
      <c r="B18" s="1">
        <v>40544</v>
      </c>
      <c r="C18">
        <v>16</v>
      </c>
      <c r="D18" s="2" t="s">
        <v>45</v>
      </c>
      <c r="E18" t="s">
        <v>26</v>
      </c>
      <c r="F18" s="2" t="s">
        <v>27</v>
      </c>
      <c r="G18" t="s">
        <v>29</v>
      </c>
      <c r="H18" s="3">
        <v>0.42</v>
      </c>
      <c r="I18" s="2" t="s">
        <v>46</v>
      </c>
      <c r="J18" s="3">
        <v>0.42420000000000002</v>
      </c>
      <c r="K18" s="3">
        <v>0.82</v>
      </c>
      <c r="L18" s="3">
        <v>0.29849999999999999</v>
      </c>
      <c r="M18">
        <v>41</v>
      </c>
      <c r="N18">
        <v>52</v>
      </c>
      <c r="O18">
        <v>93</v>
      </c>
    </row>
    <row r="19" spans="1:15" hidden="1" x14ac:dyDescent="0.3">
      <c r="A19">
        <v>18</v>
      </c>
      <c r="B19" s="1">
        <v>40544</v>
      </c>
      <c r="C19">
        <v>17</v>
      </c>
      <c r="D19" s="2" t="s">
        <v>47</v>
      </c>
      <c r="E19" t="s">
        <v>26</v>
      </c>
      <c r="F19" s="2" t="s">
        <v>27</v>
      </c>
      <c r="G19" t="s">
        <v>29</v>
      </c>
      <c r="H19" s="3">
        <v>0.44</v>
      </c>
      <c r="I19" s="2" t="s">
        <v>46</v>
      </c>
      <c r="J19" s="3">
        <v>0.21195783619818026</v>
      </c>
      <c r="K19" s="3">
        <v>0.82</v>
      </c>
      <c r="L19" s="3">
        <v>0.28360000000000002</v>
      </c>
      <c r="M19">
        <v>15</v>
      </c>
      <c r="N19">
        <v>52</v>
      </c>
      <c r="O19">
        <v>67</v>
      </c>
    </row>
    <row r="20" spans="1:15" hidden="1" x14ac:dyDescent="0.3">
      <c r="A20">
        <v>19</v>
      </c>
      <c r="B20" s="1">
        <v>40544</v>
      </c>
      <c r="C20">
        <v>18</v>
      </c>
      <c r="D20" s="2" t="s">
        <v>47</v>
      </c>
      <c r="E20" t="s">
        <v>26</v>
      </c>
      <c r="F20" s="2" t="s">
        <v>27</v>
      </c>
      <c r="G20" t="s">
        <v>30</v>
      </c>
      <c r="H20" s="3">
        <v>0.42</v>
      </c>
      <c r="I20" s="2" t="s">
        <v>46</v>
      </c>
      <c r="J20" s="3">
        <v>0.42420000000000002</v>
      </c>
      <c r="K20" s="3">
        <v>0.88</v>
      </c>
      <c r="L20" s="3">
        <v>0.25369999999999998</v>
      </c>
      <c r="M20">
        <v>9</v>
      </c>
      <c r="N20">
        <v>26</v>
      </c>
      <c r="O20">
        <v>35</v>
      </c>
    </row>
    <row r="21" spans="1:15" hidden="1" x14ac:dyDescent="0.3">
      <c r="A21">
        <v>20</v>
      </c>
      <c r="B21" s="1">
        <v>40544</v>
      </c>
      <c r="C21">
        <v>19</v>
      </c>
      <c r="D21" s="2" t="s">
        <v>47</v>
      </c>
      <c r="E21" t="s">
        <v>26</v>
      </c>
      <c r="F21" s="2" t="s">
        <v>27</v>
      </c>
      <c r="G21" t="s">
        <v>30</v>
      </c>
      <c r="H21" s="3">
        <v>0.42</v>
      </c>
      <c r="I21" s="2" t="s">
        <v>46</v>
      </c>
      <c r="J21" s="3">
        <v>0.42420000000000002</v>
      </c>
      <c r="K21" s="3">
        <v>0.88</v>
      </c>
      <c r="L21" s="3">
        <v>0.25369999999999998</v>
      </c>
      <c r="M21">
        <v>6</v>
      </c>
      <c r="N21">
        <v>31</v>
      </c>
      <c r="O21">
        <v>37</v>
      </c>
    </row>
    <row r="22" spans="1:15" hidden="1" x14ac:dyDescent="0.3">
      <c r="A22">
        <v>21</v>
      </c>
      <c r="B22" s="1">
        <v>40544</v>
      </c>
      <c r="C22">
        <v>20</v>
      </c>
      <c r="D22" s="2" t="s">
        <v>47</v>
      </c>
      <c r="E22" t="s">
        <v>26</v>
      </c>
      <c r="F22" s="2" t="s">
        <v>27</v>
      </c>
      <c r="G22" t="s">
        <v>29</v>
      </c>
      <c r="H22" s="3">
        <v>0.4</v>
      </c>
      <c r="I22" s="2" t="s">
        <v>42</v>
      </c>
      <c r="J22" s="3">
        <v>0.40910000000000002</v>
      </c>
      <c r="K22" s="3">
        <v>0.87</v>
      </c>
      <c r="L22" s="3">
        <v>0.25369999999999998</v>
      </c>
      <c r="M22">
        <v>11</v>
      </c>
      <c r="N22">
        <v>25</v>
      </c>
      <c r="O22">
        <v>36</v>
      </c>
    </row>
    <row r="23" spans="1:15" hidden="1" x14ac:dyDescent="0.3">
      <c r="A23">
        <v>22</v>
      </c>
      <c r="B23" s="1">
        <v>40544</v>
      </c>
      <c r="C23">
        <v>21</v>
      </c>
      <c r="D23" s="2" t="s">
        <v>41</v>
      </c>
      <c r="E23" t="s">
        <v>26</v>
      </c>
      <c r="F23" s="2" t="s">
        <v>27</v>
      </c>
      <c r="G23" t="s">
        <v>29</v>
      </c>
      <c r="H23" s="3">
        <v>0.4</v>
      </c>
      <c r="I23" s="2" t="s">
        <v>42</v>
      </c>
      <c r="J23" s="3">
        <v>0.40910000000000002</v>
      </c>
      <c r="K23" s="3">
        <v>0.87</v>
      </c>
      <c r="L23" s="3">
        <v>0.19400000000000001</v>
      </c>
      <c r="M23">
        <v>3</v>
      </c>
      <c r="N23">
        <v>31</v>
      </c>
      <c r="O23">
        <v>34</v>
      </c>
    </row>
    <row r="24" spans="1:15" hidden="1" x14ac:dyDescent="0.3">
      <c r="A24">
        <v>23</v>
      </c>
      <c r="B24" s="1">
        <v>40544</v>
      </c>
      <c r="C24">
        <v>22</v>
      </c>
      <c r="D24" s="2" t="s">
        <v>41</v>
      </c>
      <c r="E24" t="s">
        <v>26</v>
      </c>
      <c r="F24" s="2" t="s">
        <v>27</v>
      </c>
      <c r="G24" t="s">
        <v>29</v>
      </c>
      <c r="H24" s="3">
        <v>0.4</v>
      </c>
      <c r="I24" s="2" t="s">
        <v>42</v>
      </c>
      <c r="J24" s="3">
        <v>0.40910000000000002</v>
      </c>
      <c r="K24" s="3">
        <v>0.94</v>
      </c>
      <c r="L24" s="3">
        <v>0.22389999999999999</v>
      </c>
      <c r="M24">
        <v>11</v>
      </c>
      <c r="N24">
        <v>17</v>
      </c>
      <c r="O24">
        <v>28</v>
      </c>
    </row>
    <row r="25" spans="1:15" hidden="1" x14ac:dyDescent="0.3">
      <c r="A25">
        <v>24</v>
      </c>
      <c r="B25" s="1">
        <v>40544</v>
      </c>
      <c r="C25">
        <v>23</v>
      </c>
      <c r="D25" s="2" t="s">
        <v>41</v>
      </c>
      <c r="E25" t="s">
        <v>26</v>
      </c>
      <c r="F25" s="2" t="s">
        <v>27</v>
      </c>
      <c r="G25" t="s">
        <v>29</v>
      </c>
      <c r="H25" s="3">
        <v>0.46</v>
      </c>
      <c r="I25" s="2" t="s">
        <v>46</v>
      </c>
      <c r="J25" s="3">
        <v>0.21195783619818026</v>
      </c>
      <c r="K25" s="3">
        <v>0.88</v>
      </c>
      <c r="L25" s="3">
        <v>0.29849999999999999</v>
      </c>
      <c r="M25">
        <v>15</v>
      </c>
      <c r="N25">
        <v>24</v>
      </c>
      <c r="O25">
        <v>39</v>
      </c>
    </row>
    <row r="26" spans="1:15" hidden="1" x14ac:dyDescent="0.3">
      <c r="A26">
        <v>25</v>
      </c>
      <c r="B26" s="1">
        <v>40545</v>
      </c>
      <c r="C26">
        <v>0</v>
      </c>
      <c r="D26" s="2" t="s">
        <v>41</v>
      </c>
      <c r="E26" t="s">
        <v>26</v>
      </c>
      <c r="F26" s="2" t="s">
        <v>31</v>
      </c>
      <c r="G26" t="s">
        <v>29</v>
      </c>
      <c r="H26" s="3">
        <v>0.46</v>
      </c>
      <c r="I26" s="2" t="s">
        <v>46</v>
      </c>
      <c r="J26" s="3">
        <v>0.45450000000000002</v>
      </c>
      <c r="K26" s="3">
        <v>0.88</v>
      </c>
      <c r="L26" s="3">
        <v>0.29849999999999999</v>
      </c>
      <c r="M26">
        <v>4</v>
      </c>
      <c r="N26">
        <v>13</v>
      </c>
      <c r="O26">
        <v>17</v>
      </c>
    </row>
    <row r="27" spans="1:15" hidden="1" x14ac:dyDescent="0.3">
      <c r="A27">
        <v>26</v>
      </c>
      <c r="B27" s="1">
        <v>40545</v>
      </c>
      <c r="C27">
        <v>1</v>
      </c>
      <c r="D27" s="2" t="s">
        <v>41</v>
      </c>
      <c r="E27" t="s">
        <v>26</v>
      </c>
      <c r="F27" s="2" t="s">
        <v>31</v>
      </c>
      <c r="G27" t="s">
        <v>29</v>
      </c>
      <c r="H27" s="3">
        <v>0.44</v>
      </c>
      <c r="I27" s="2" t="s">
        <v>46</v>
      </c>
      <c r="J27" s="3">
        <v>0.43940000000000001</v>
      </c>
      <c r="K27" s="3">
        <v>0.94</v>
      </c>
      <c r="L27" s="3">
        <v>0.25369999999999998</v>
      </c>
      <c r="M27">
        <v>1</v>
      </c>
      <c r="N27">
        <v>16</v>
      </c>
      <c r="O27">
        <v>17</v>
      </c>
    </row>
    <row r="28" spans="1:15" hidden="1" x14ac:dyDescent="0.3">
      <c r="A28">
        <v>27</v>
      </c>
      <c r="B28" s="1">
        <v>40545</v>
      </c>
      <c r="C28">
        <v>2</v>
      </c>
      <c r="D28" s="2" t="s">
        <v>41</v>
      </c>
      <c r="E28" t="s">
        <v>26</v>
      </c>
      <c r="F28" s="2" t="s">
        <v>31</v>
      </c>
      <c r="G28" t="s">
        <v>29</v>
      </c>
      <c r="H28" s="3">
        <v>0.42</v>
      </c>
      <c r="I28" s="2" t="s">
        <v>46</v>
      </c>
      <c r="J28" s="3">
        <v>0.42420000000000002</v>
      </c>
      <c r="K28" s="3">
        <v>1</v>
      </c>
      <c r="L28" s="3">
        <v>0.28360000000000002</v>
      </c>
      <c r="M28">
        <v>1</v>
      </c>
      <c r="N28">
        <v>8</v>
      </c>
      <c r="O28">
        <v>9</v>
      </c>
    </row>
    <row r="29" spans="1:15" hidden="1" x14ac:dyDescent="0.3">
      <c r="A29">
        <v>28</v>
      </c>
      <c r="B29" s="1">
        <v>40545</v>
      </c>
      <c r="C29">
        <v>3</v>
      </c>
      <c r="D29" s="2" t="s">
        <v>41</v>
      </c>
      <c r="E29" t="s">
        <v>26</v>
      </c>
      <c r="F29" s="2" t="s">
        <v>31</v>
      </c>
      <c r="G29" t="s">
        <v>29</v>
      </c>
      <c r="H29" s="3">
        <v>0.46</v>
      </c>
      <c r="I29" s="2" t="s">
        <v>46</v>
      </c>
      <c r="J29" s="3">
        <v>0.45450000000000002</v>
      </c>
      <c r="K29" s="3">
        <v>0.94</v>
      </c>
      <c r="L29" s="3">
        <v>0.19400000000000001</v>
      </c>
      <c r="M29">
        <v>2</v>
      </c>
      <c r="N29">
        <v>4</v>
      </c>
      <c r="O29">
        <v>6</v>
      </c>
    </row>
    <row r="30" spans="1:15" hidden="1" x14ac:dyDescent="0.3">
      <c r="A30">
        <v>29</v>
      </c>
      <c r="B30" s="1">
        <v>40545</v>
      </c>
      <c r="C30">
        <v>4</v>
      </c>
      <c r="D30" s="2" t="s">
        <v>41</v>
      </c>
      <c r="E30" t="s">
        <v>26</v>
      </c>
      <c r="F30" s="2" t="s">
        <v>31</v>
      </c>
      <c r="G30" t="s">
        <v>29</v>
      </c>
      <c r="H30" s="3">
        <v>0.46</v>
      </c>
      <c r="I30" s="2" t="s">
        <v>46</v>
      </c>
      <c r="J30" s="3">
        <v>0.21195783619818026</v>
      </c>
      <c r="K30" s="3">
        <v>0.94</v>
      </c>
      <c r="L30" s="3">
        <v>0.19400000000000001</v>
      </c>
      <c r="M30">
        <v>2</v>
      </c>
      <c r="N30">
        <v>1</v>
      </c>
      <c r="O30">
        <v>3</v>
      </c>
    </row>
    <row r="31" spans="1:15" x14ac:dyDescent="0.3">
      <c r="A31">
        <v>30</v>
      </c>
      <c r="B31" s="1">
        <v>40545</v>
      </c>
      <c r="C31">
        <v>6</v>
      </c>
      <c r="D31" s="2" t="s">
        <v>43</v>
      </c>
      <c r="E31" t="s">
        <v>26</v>
      </c>
      <c r="F31" s="2" t="s">
        <v>31</v>
      </c>
      <c r="G31" t="s">
        <v>30</v>
      </c>
      <c r="H31" s="3">
        <v>0.42</v>
      </c>
      <c r="I31" s="2" t="s">
        <v>46</v>
      </c>
      <c r="J31" s="3">
        <v>0.42420000000000002</v>
      </c>
      <c r="K31" s="3">
        <v>0.77</v>
      </c>
      <c r="L31" s="3">
        <v>0.29849999999999999</v>
      </c>
      <c r="M31">
        <v>0</v>
      </c>
      <c r="N31">
        <v>2</v>
      </c>
      <c r="O31">
        <v>2</v>
      </c>
    </row>
    <row r="32" spans="1:15" x14ac:dyDescent="0.3">
      <c r="A32">
        <v>31</v>
      </c>
      <c r="B32" s="1">
        <v>40545</v>
      </c>
      <c r="C32">
        <v>7</v>
      </c>
      <c r="D32" s="2" t="s">
        <v>43</v>
      </c>
      <c r="E32" t="s">
        <v>26</v>
      </c>
      <c r="F32" s="2" t="s">
        <v>31</v>
      </c>
      <c r="G32" t="s">
        <v>29</v>
      </c>
      <c r="H32" s="3">
        <v>0.4</v>
      </c>
      <c r="I32" s="2" t="s">
        <v>42</v>
      </c>
      <c r="J32" s="3">
        <v>0.40910000000000002</v>
      </c>
      <c r="K32" s="3">
        <v>0.76</v>
      </c>
      <c r="L32" s="3">
        <v>0.19400000000000001</v>
      </c>
      <c r="M32">
        <v>0</v>
      </c>
      <c r="N32">
        <v>1</v>
      </c>
      <c r="O32">
        <v>1</v>
      </c>
    </row>
    <row r="33" spans="1:15" x14ac:dyDescent="0.3">
      <c r="A33">
        <v>32</v>
      </c>
      <c r="B33" s="1">
        <v>40545</v>
      </c>
      <c r="C33">
        <v>8</v>
      </c>
      <c r="D33" s="2" t="s">
        <v>43</v>
      </c>
      <c r="E33" t="s">
        <v>26</v>
      </c>
      <c r="F33" s="2" t="s">
        <v>31</v>
      </c>
      <c r="G33" t="s">
        <v>30</v>
      </c>
      <c r="H33" s="3">
        <v>0.4</v>
      </c>
      <c r="I33" s="2" t="s">
        <v>42</v>
      </c>
      <c r="J33" s="3">
        <v>0.40910000000000002</v>
      </c>
      <c r="K33" s="3">
        <v>0.71</v>
      </c>
      <c r="L33" s="3">
        <v>0.22389999999999999</v>
      </c>
      <c r="M33">
        <v>0</v>
      </c>
      <c r="N33">
        <v>8</v>
      </c>
      <c r="O33">
        <v>8</v>
      </c>
    </row>
    <row r="34" spans="1:15" x14ac:dyDescent="0.3">
      <c r="A34">
        <v>33</v>
      </c>
      <c r="B34" s="1">
        <v>40545</v>
      </c>
      <c r="C34">
        <v>9</v>
      </c>
      <c r="D34" s="2" t="s">
        <v>43</v>
      </c>
      <c r="E34" t="s">
        <v>26</v>
      </c>
      <c r="F34" s="2" t="s">
        <v>31</v>
      </c>
      <c r="G34" t="s">
        <v>29</v>
      </c>
      <c r="H34" s="3">
        <v>0.38</v>
      </c>
      <c r="I34" s="2" t="s">
        <v>42</v>
      </c>
      <c r="J34" s="3">
        <v>0.21195783619818026</v>
      </c>
      <c r="K34" s="3">
        <v>0.76</v>
      </c>
      <c r="L34" s="3">
        <v>0.22389999999999999</v>
      </c>
      <c r="M34">
        <v>1</v>
      </c>
      <c r="N34">
        <v>19</v>
      </c>
      <c r="O34">
        <v>20</v>
      </c>
    </row>
    <row r="35" spans="1:15" x14ac:dyDescent="0.3">
      <c r="A35">
        <v>34</v>
      </c>
      <c r="B35" s="1">
        <v>40545</v>
      </c>
      <c r="C35">
        <v>10</v>
      </c>
      <c r="D35" s="2" t="s">
        <v>43</v>
      </c>
      <c r="E35" t="s">
        <v>26</v>
      </c>
      <c r="F35" s="2" t="s">
        <v>31</v>
      </c>
      <c r="G35" t="s">
        <v>29</v>
      </c>
      <c r="H35" s="3">
        <v>0.36</v>
      </c>
      <c r="I35" s="2" t="s">
        <v>42</v>
      </c>
      <c r="J35" s="3">
        <v>0.34849999999999998</v>
      </c>
      <c r="K35" s="3">
        <v>0.81</v>
      </c>
      <c r="L35" s="3">
        <v>0.22389999999999999</v>
      </c>
      <c r="M35">
        <v>7</v>
      </c>
      <c r="N35">
        <v>46</v>
      </c>
      <c r="O35">
        <v>53</v>
      </c>
    </row>
    <row r="36" spans="1:15" x14ac:dyDescent="0.3">
      <c r="A36">
        <v>35</v>
      </c>
      <c r="B36" s="1">
        <v>40545</v>
      </c>
      <c r="C36">
        <v>11</v>
      </c>
      <c r="D36" s="2" t="s">
        <v>43</v>
      </c>
      <c r="E36" t="s">
        <v>26</v>
      </c>
      <c r="F36" s="2" t="s">
        <v>31</v>
      </c>
      <c r="G36" t="s">
        <v>29</v>
      </c>
      <c r="H36" s="3">
        <v>0.36</v>
      </c>
      <c r="I36" s="2" t="s">
        <v>42</v>
      </c>
      <c r="J36" s="3">
        <v>0.33329999999999999</v>
      </c>
      <c r="K36" s="3">
        <v>0.71</v>
      </c>
      <c r="L36" s="3">
        <v>0.25369999999999998</v>
      </c>
      <c r="M36">
        <v>16</v>
      </c>
      <c r="N36">
        <v>54</v>
      </c>
      <c r="O36">
        <v>70</v>
      </c>
    </row>
    <row r="37" spans="1:15" hidden="1" x14ac:dyDescent="0.3">
      <c r="A37">
        <v>36</v>
      </c>
      <c r="B37" s="1">
        <v>40545</v>
      </c>
      <c r="C37">
        <v>12</v>
      </c>
      <c r="D37" s="2" t="s">
        <v>45</v>
      </c>
      <c r="E37" t="s">
        <v>26</v>
      </c>
      <c r="F37" s="2" t="s">
        <v>31</v>
      </c>
      <c r="G37" t="s">
        <v>29</v>
      </c>
      <c r="H37" s="3">
        <v>0.36</v>
      </c>
      <c r="I37" s="2" t="s">
        <v>42</v>
      </c>
      <c r="J37" s="3">
        <v>0.33329999999999999</v>
      </c>
      <c r="K37" s="3">
        <v>0.66</v>
      </c>
      <c r="L37" s="3">
        <v>0.29849999999999999</v>
      </c>
      <c r="M37">
        <v>20</v>
      </c>
      <c r="N37">
        <v>73</v>
      </c>
      <c r="O37">
        <v>93</v>
      </c>
    </row>
    <row r="38" spans="1:15" hidden="1" x14ac:dyDescent="0.3">
      <c r="A38">
        <v>37</v>
      </c>
      <c r="B38" s="1">
        <v>40545</v>
      </c>
      <c r="C38">
        <v>13</v>
      </c>
      <c r="D38" s="2" t="s">
        <v>45</v>
      </c>
      <c r="E38" t="s">
        <v>26</v>
      </c>
      <c r="F38" s="2" t="s">
        <v>31</v>
      </c>
      <c r="G38" t="s">
        <v>29</v>
      </c>
      <c r="H38" s="3">
        <v>0.36</v>
      </c>
      <c r="I38" s="2" t="s">
        <v>42</v>
      </c>
      <c r="J38" s="3">
        <v>0.34849999999999998</v>
      </c>
      <c r="K38" s="3">
        <v>0.66</v>
      </c>
      <c r="L38" s="3">
        <v>0.1343</v>
      </c>
      <c r="M38">
        <v>11</v>
      </c>
      <c r="N38">
        <v>64</v>
      </c>
      <c r="O38">
        <v>75</v>
      </c>
    </row>
    <row r="39" spans="1:15" hidden="1" x14ac:dyDescent="0.3">
      <c r="A39">
        <v>38</v>
      </c>
      <c r="B39" s="1">
        <v>40545</v>
      </c>
      <c r="C39">
        <v>14</v>
      </c>
      <c r="D39" s="2" t="s">
        <v>45</v>
      </c>
      <c r="E39" t="s">
        <v>26</v>
      </c>
      <c r="F39" s="2" t="s">
        <v>31</v>
      </c>
      <c r="G39" t="s">
        <v>30</v>
      </c>
      <c r="H39" s="3">
        <v>0.36</v>
      </c>
      <c r="I39" s="2" t="s">
        <v>42</v>
      </c>
      <c r="J39" s="3">
        <v>0.21195783619818026</v>
      </c>
      <c r="K39" s="3">
        <v>0.76</v>
      </c>
      <c r="L39" s="3">
        <v>0.19400000000000001</v>
      </c>
      <c r="M39">
        <v>4</v>
      </c>
      <c r="N39">
        <v>55</v>
      </c>
      <c r="O39">
        <v>59</v>
      </c>
    </row>
    <row r="40" spans="1:15" hidden="1" x14ac:dyDescent="0.3">
      <c r="A40">
        <v>39</v>
      </c>
      <c r="B40" s="1">
        <v>40545</v>
      </c>
      <c r="C40">
        <v>15</v>
      </c>
      <c r="D40" s="2" t="s">
        <v>45</v>
      </c>
      <c r="E40" t="s">
        <v>26</v>
      </c>
      <c r="F40" s="2" t="s">
        <v>31</v>
      </c>
      <c r="G40" t="s">
        <v>30</v>
      </c>
      <c r="H40" s="3">
        <v>0.34</v>
      </c>
      <c r="I40" s="2" t="s">
        <v>42</v>
      </c>
      <c r="J40" s="3">
        <v>0.33329999999999999</v>
      </c>
      <c r="K40" s="3">
        <v>0.81</v>
      </c>
      <c r="L40" s="3">
        <v>0.16420000000000001</v>
      </c>
      <c r="M40">
        <v>19</v>
      </c>
      <c r="N40">
        <v>55</v>
      </c>
      <c r="O40">
        <v>74</v>
      </c>
    </row>
    <row r="41" spans="1:15" hidden="1" x14ac:dyDescent="0.3">
      <c r="A41">
        <v>40</v>
      </c>
      <c r="B41" s="1">
        <v>40545</v>
      </c>
      <c r="C41">
        <v>16</v>
      </c>
      <c r="D41" s="2" t="s">
        <v>45</v>
      </c>
      <c r="E41" t="s">
        <v>26</v>
      </c>
      <c r="F41" s="2" t="s">
        <v>31</v>
      </c>
      <c r="G41" t="s">
        <v>30</v>
      </c>
      <c r="H41" s="3">
        <v>0.34</v>
      </c>
      <c r="I41" s="2" t="s">
        <v>42</v>
      </c>
      <c r="J41" s="3">
        <v>0.33329999999999999</v>
      </c>
      <c r="K41" s="3">
        <v>0.71</v>
      </c>
      <c r="L41" s="3">
        <v>0.16420000000000001</v>
      </c>
      <c r="M41">
        <v>9</v>
      </c>
      <c r="N41">
        <v>67</v>
      </c>
      <c r="O41">
        <v>76</v>
      </c>
    </row>
    <row r="42" spans="1:15" hidden="1" x14ac:dyDescent="0.3">
      <c r="A42">
        <v>41</v>
      </c>
      <c r="B42" s="1">
        <v>40545</v>
      </c>
      <c r="C42">
        <v>17</v>
      </c>
      <c r="D42" s="2" t="s">
        <v>47</v>
      </c>
      <c r="E42" t="s">
        <v>26</v>
      </c>
      <c r="F42" s="2" t="s">
        <v>31</v>
      </c>
      <c r="G42" t="s">
        <v>28</v>
      </c>
      <c r="H42" s="3">
        <v>0.34</v>
      </c>
      <c r="I42" s="2" t="s">
        <v>42</v>
      </c>
      <c r="J42" s="3">
        <v>0.33329999999999999</v>
      </c>
      <c r="K42" s="3">
        <v>0.56999999999999995</v>
      </c>
      <c r="L42" s="3">
        <v>0.19400000000000001</v>
      </c>
      <c r="M42">
        <v>7</v>
      </c>
      <c r="N42">
        <v>58</v>
      </c>
      <c r="O42">
        <v>65</v>
      </c>
    </row>
    <row r="43" spans="1:15" hidden="1" x14ac:dyDescent="0.3">
      <c r="A43">
        <v>42</v>
      </c>
      <c r="B43" s="1">
        <v>40545</v>
      </c>
      <c r="C43">
        <v>18</v>
      </c>
      <c r="D43" s="2" t="s">
        <v>47</v>
      </c>
      <c r="E43" t="s">
        <v>26</v>
      </c>
      <c r="F43" s="2" t="s">
        <v>31</v>
      </c>
      <c r="G43" t="s">
        <v>29</v>
      </c>
      <c r="H43" s="3">
        <v>0.36</v>
      </c>
      <c r="I43" s="2" t="s">
        <v>42</v>
      </c>
      <c r="J43" s="3">
        <v>0.33329999999999999</v>
      </c>
      <c r="K43" s="3">
        <v>0.46</v>
      </c>
      <c r="L43" s="3">
        <v>0.32840000000000003</v>
      </c>
      <c r="M43">
        <v>10</v>
      </c>
      <c r="N43">
        <v>43</v>
      </c>
      <c r="O43">
        <v>53</v>
      </c>
    </row>
    <row r="44" spans="1:15" hidden="1" x14ac:dyDescent="0.3">
      <c r="A44">
        <v>43</v>
      </c>
      <c r="B44" s="1">
        <v>40545</v>
      </c>
      <c r="C44">
        <v>19</v>
      </c>
      <c r="D44" s="2" t="s">
        <v>47</v>
      </c>
      <c r="E44" t="s">
        <v>26</v>
      </c>
      <c r="F44" s="2" t="s">
        <v>31</v>
      </c>
      <c r="G44" t="s">
        <v>28</v>
      </c>
      <c r="H44" s="3">
        <v>0.32</v>
      </c>
      <c r="I44" s="2" t="s">
        <v>42</v>
      </c>
      <c r="J44" s="3">
        <v>0.28789999999999999</v>
      </c>
      <c r="K44" s="3">
        <v>0.42</v>
      </c>
      <c r="L44" s="3">
        <v>0.44779999999999998</v>
      </c>
      <c r="M44">
        <v>1</v>
      </c>
      <c r="N44">
        <v>29</v>
      </c>
      <c r="O44">
        <v>30</v>
      </c>
    </row>
    <row r="45" spans="1:15" hidden="1" x14ac:dyDescent="0.3">
      <c r="A45">
        <v>44</v>
      </c>
      <c r="B45" s="1">
        <v>40545</v>
      </c>
      <c r="C45">
        <v>20</v>
      </c>
      <c r="D45" s="2" t="s">
        <v>47</v>
      </c>
      <c r="E45" t="s">
        <v>26</v>
      </c>
      <c r="F45" s="2" t="s">
        <v>31</v>
      </c>
      <c r="G45" t="s">
        <v>28</v>
      </c>
      <c r="H45" s="3">
        <v>0.3</v>
      </c>
      <c r="I45" s="2" t="s">
        <v>42</v>
      </c>
      <c r="J45" s="3">
        <v>0.21195783619818026</v>
      </c>
      <c r="K45" s="3">
        <v>0.39</v>
      </c>
      <c r="L45" s="3">
        <v>0.35820000000000002</v>
      </c>
      <c r="M45">
        <v>5</v>
      </c>
      <c r="N45">
        <v>17</v>
      </c>
      <c r="O45">
        <v>22</v>
      </c>
    </row>
    <row r="46" spans="1:15" hidden="1" x14ac:dyDescent="0.3">
      <c r="A46">
        <v>45</v>
      </c>
      <c r="B46" s="1">
        <v>40545</v>
      </c>
      <c r="C46">
        <v>21</v>
      </c>
      <c r="D46" s="2" t="s">
        <v>41</v>
      </c>
      <c r="E46" t="s">
        <v>26</v>
      </c>
      <c r="F46" s="2" t="s">
        <v>31</v>
      </c>
      <c r="G46" t="s">
        <v>28</v>
      </c>
      <c r="H46" s="3">
        <v>0.26</v>
      </c>
      <c r="I46" s="2" t="s">
        <v>42</v>
      </c>
      <c r="J46" s="3">
        <v>0.2273</v>
      </c>
      <c r="K46" s="3">
        <v>0.44</v>
      </c>
      <c r="L46" s="3">
        <v>0.32840000000000003</v>
      </c>
      <c r="M46">
        <v>11</v>
      </c>
      <c r="N46">
        <v>20</v>
      </c>
      <c r="O46">
        <v>31</v>
      </c>
    </row>
    <row r="47" spans="1:15" hidden="1" x14ac:dyDescent="0.3">
      <c r="A47">
        <v>46</v>
      </c>
      <c r="B47" s="1">
        <v>40545</v>
      </c>
      <c r="C47">
        <v>22</v>
      </c>
      <c r="D47" s="2" t="s">
        <v>41</v>
      </c>
      <c r="E47" t="s">
        <v>26</v>
      </c>
      <c r="F47" s="2" t="s">
        <v>31</v>
      </c>
      <c r="G47" t="s">
        <v>28</v>
      </c>
      <c r="H47" s="3">
        <v>0.24</v>
      </c>
      <c r="I47" s="2" t="s">
        <v>42</v>
      </c>
      <c r="J47" s="3">
        <v>0.21210000000000001</v>
      </c>
      <c r="K47" s="3">
        <v>0.44</v>
      </c>
      <c r="L47" s="3">
        <v>0.29849999999999999</v>
      </c>
      <c r="M47">
        <v>0</v>
      </c>
      <c r="N47">
        <v>9</v>
      </c>
      <c r="O47">
        <v>9</v>
      </c>
    </row>
    <row r="48" spans="1:15" hidden="1" x14ac:dyDescent="0.3">
      <c r="A48">
        <v>47</v>
      </c>
      <c r="B48" s="1">
        <v>40545</v>
      </c>
      <c r="C48">
        <v>23</v>
      </c>
      <c r="D48" s="2" t="s">
        <v>41</v>
      </c>
      <c r="E48" t="s">
        <v>26</v>
      </c>
      <c r="F48" s="2" t="s">
        <v>31</v>
      </c>
      <c r="G48" t="s">
        <v>28</v>
      </c>
      <c r="H48" s="3">
        <v>0.22</v>
      </c>
      <c r="I48" s="2" t="s">
        <v>42</v>
      </c>
      <c r="J48" s="3">
        <v>0.2273</v>
      </c>
      <c r="K48" s="3">
        <v>0.47</v>
      </c>
      <c r="L48" s="3">
        <v>0.16420000000000001</v>
      </c>
      <c r="M48">
        <v>0</v>
      </c>
      <c r="N48">
        <v>8</v>
      </c>
      <c r="O48">
        <v>8</v>
      </c>
    </row>
    <row r="49" spans="1:15" hidden="1" x14ac:dyDescent="0.3">
      <c r="A49">
        <v>48</v>
      </c>
      <c r="B49" s="1">
        <v>40546</v>
      </c>
      <c r="C49">
        <v>0</v>
      </c>
      <c r="D49" s="2" t="s">
        <v>41</v>
      </c>
      <c r="E49" t="s">
        <v>26</v>
      </c>
      <c r="F49" s="2" t="s">
        <v>32</v>
      </c>
      <c r="G49" t="s">
        <v>28</v>
      </c>
      <c r="H49" s="3">
        <v>0.22</v>
      </c>
      <c r="I49" s="2" t="s">
        <v>42</v>
      </c>
      <c r="J49" s="3">
        <v>0.19700000000000001</v>
      </c>
      <c r="K49" s="3">
        <v>0.44</v>
      </c>
      <c r="L49" s="3">
        <v>0.35820000000000002</v>
      </c>
      <c r="M49">
        <v>0</v>
      </c>
      <c r="N49">
        <v>5</v>
      </c>
      <c r="O49">
        <v>5</v>
      </c>
    </row>
    <row r="50" spans="1:15" hidden="1" x14ac:dyDescent="0.3">
      <c r="A50">
        <v>49</v>
      </c>
      <c r="B50" s="1">
        <v>40546</v>
      </c>
      <c r="C50">
        <v>1</v>
      </c>
      <c r="D50" s="2" t="s">
        <v>41</v>
      </c>
      <c r="E50" t="s">
        <v>26</v>
      </c>
      <c r="F50" s="2" t="s">
        <v>32</v>
      </c>
      <c r="G50" t="s">
        <v>28</v>
      </c>
      <c r="H50" s="3">
        <v>0.2</v>
      </c>
      <c r="I50" s="2" t="s">
        <v>44</v>
      </c>
      <c r="J50" s="3">
        <v>0.21195783619818026</v>
      </c>
      <c r="K50" s="3">
        <v>0.44</v>
      </c>
      <c r="L50" s="3">
        <v>0.41789999999999999</v>
      </c>
      <c r="M50">
        <v>0</v>
      </c>
      <c r="N50">
        <v>2</v>
      </c>
      <c r="O50">
        <v>2</v>
      </c>
    </row>
    <row r="51" spans="1:15" hidden="1" x14ac:dyDescent="0.3">
      <c r="A51">
        <v>50</v>
      </c>
      <c r="B51" s="1">
        <v>40546</v>
      </c>
      <c r="C51">
        <v>4</v>
      </c>
      <c r="D51" s="2" t="s">
        <v>41</v>
      </c>
      <c r="E51" t="s">
        <v>26</v>
      </c>
      <c r="F51" s="2" t="s">
        <v>32</v>
      </c>
      <c r="G51" t="s">
        <v>28</v>
      </c>
      <c r="H51" s="3">
        <v>0.16</v>
      </c>
      <c r="I51" s="2" t="s">
        <v>44</v>
      </c>
      <c r="J51" s="3">
        <v>0.13639999999999999</v>
      </c>
      <c r="K51" s="3">
        <v>0.47</v>
      </c>
      <c r="L51" s="3">
        <v>0.3881</v>
      </c>
      <c r="M51">
        <v>0</v>
      </c>
      <c r="N51">
        <v>1</v>
      </c>
      <c r="O51">
        <v>1</v>
      </c>
    </row>
    <row r="52" spans="1:15" x14ac:dyDescent="0.3">
      <c r="A52">
        <v>51</v>
      </c>
      <c r="B52" s="1">
        <v>40546</v>
      </c>
      <c r="C52">
        <v>5</v>
      </c>
      <c r="D52" s="2" t="s">
        <v>43</v>
      </c>
      <c r="E52" t="s">
        <v>26</v>
      </c>
      <c r="F52" s="2" t="s">
        <v>32</v>
      </c>
      <c r="G52" t="s">
        <v>28</v>
      </c>
      <c r="H52" s="3">
        <v>0.16</v>
      </c>
      <c r="I52" s="2" t="s">
        <v>44</v>
      </c>
      <c r="J52" s="3">
        <v>0.13639999999999999</v>
      </c>
      <c r="K52" s="3">
        <v>0.47</v>
      </c>
      <c r="L52" s="3">
        <v>0.28360000000000002</v>
      </c>
      <c r="M52">
        <v>0</v>
      </c>
      <c r="N52">
        <v>3</v>
      </c>
      <c r="O52">
        <v>3</v>
      </c>
    </row>
    <row r="53" spans="1:15" x14ac:dyDescent="0.3">
      <c r="A53">
        <v>52</v>
      </c>
      <c r="B53" s="1">
        <v>40546</v>
      </c>
      <c r="C53">
        <v>6</v>
      </c>
      <c r="D53" s="2" t="s">
        <v>43</v>
      </c>
      <c r="E53" t="s">
        <v>26</v>
      </c>
      <c r="F53" s="2" t="s">
        <v>32</v>
      </c>
      <c r="G53" t="s">
        <v>28</v>
      </c>
      <c r="H53" s="3">
        <v>0.14000000000000001</v>
      </c>
      <c r="I53" s="2" t="s">
        <v>44</v>
      </c>
      <c r="J53" s="3">
        <v>0.1061</v>
      </c>
      <c r="K53" s="3">
        <v>0.5</v>
      </c>
      <c r="L53" s="3">
        <v>0.3881</v>
      </c>
      <c r="M53">
        <v>0</v>
      </c>
      <c r="N53">
        <v>30</v>
      </c>
      <c r="O53">
        <v>30</v>
      </c>
    </row>
    <row r="54" spans="1:15" x14ac:dyDescent="0.3">
      <c r="A54">
        <v>53</v>
      </c>
      <c r="B54" s="1">
        <v>40546</v>
      </c>
      <c r="C54">
        <v>7</v>
      </c>
      <c r="D54" s="2" t="s">
        <v>43</v>
      </c>
      <c r="E54" t="s">
        <v>26</v>
      </c>
      <c r="F54" s="2" t="s">
        <v>32</v>
      </c>
      <c r="G54" t="s">
        <v>28</v>
      </c>
      <c r="H54" s="3">
        <v>0.14000000000000001</v>
      </c>
      <c r="I54" s="2" t="s">
        <v>44</v>
      </c>
      <c r="J54" s="3">
        <v>0.13639999999999999</v>
      </c>
      <c r="K54" s="3">
        <v>0.5</v>
      </c>
      <c r="L54" s="3">
        <v>0.19400000000000001</v>
      </c>
      <c r="M54">
        <v>1</v>
      </c>
      <c r="N54">
        <v>63</v>
      </c>
      <c r="O54">
        <v>64</v>
      </c>
    </row>
    <row r="55" spans="1:15" x14ac:dyDescent="0.3">
      <c r="A55">
        <v>54</v>
      </c>
      <c r="B55" s="1">
        <v>40546</v>
      </c>
      <c r="C55">
        <v>8</v>
      </c>
      <c r="D55" s="2" t="s">
        <v>43</v>
      </c>
      <c r="E55" t="s">
        <v>26</v>
      </c>
      <c r="F55" s="2" t="s">
        <v>32</v>
      </c>
      <c r="G55" t="s">
        <v>28</v>
      </c>
      <c r="H55" s="3">
        <v>0.14000000000000001</v>
      </c>
      <c r="I55" s="2" t="s">
        <v>44</v>
      </c>
      <c r="J55" s="3">
        <v>0.1212</v>
      </c>
      <c r="K55" s="3">
        <v>0.5</v>
      </c>
      <c r="L55" s="3">
        <v>0.28360000000000002</v>
      </c>
      <c r="M55">
        <v>1</v>
      </c>
      <c r="N55">
        <v>153</v>
      </c>
      <c r="O55">
        <v>154</v>
      </c>
    </row>
    <row r="56" spans="1:15" x14ac:dyDescent="0.3">
      <c r="A56">
        <v>55</v>
      </c>
      <c r="B56" s="1">
        <v>40546</v>
      </c>
      <c r="C56">
        <v>9</v>
      </c>
      <c r="D56" s="2" t="s">
        <v>43</v>
      </c>
      <c r="E56" t="s">
        <v>26</v>
      </c>
      <c r="F56" s="2" t="s">
        <v>32</v>
      </c>
      <c r="G56" t="s">
        <v>28</v>
      </c>
      <c r="H56" s="3">
        <v>0.16</v>
      </c>
      <c r="I56" s="2" t="s">
        <v>44</v>
      </c>
      <c r="J56" s="3">
        <v>0.13639999999999999</v>
      </c>
      <c r="K56" s="3">
        <v>0.43</v>
      </c>
      <c r="L56" s="3">
        <v>0.3881</v>
      </c>
      <c r="M56">
        <v>7</v>
      </c>
      <c r="N56">
        <v>81</v>
      </c>
      <c r="O56">
        <v>88</v>
      </c>
    </row>
    <row r="57" spans="1:15" x14ac:dyDescent="0.3">
      <c r="A57">
        <v>56</v>
      </c>
      <c r="B57" s="1">
        <v>40546</v>
      </c>
      <c r="C57">
        <v>10</v>
      </c>
      <c r="D57" s="2" t="s">
        <v>43</v>
      </c>
      <c r="E57" t="s">
        <v>26</v>
      </c>
      <c r="F57" s="2" t="s">
        <v>32</v>
      </c>
      <c r="G57" t="s">
        <v>28</v>
      </c>
      <c r="H57" s="3">
        <v>0.18</v>
      </c>
      <c r="I57" s="2" t="s">
        <v>44</v>
      </c>
      <c r="J57" s="3">
        <v>0.16669999999999999</v>
      </c>
      <c r="K57" s="3">
        <v>0.43</v>
      </c>
      <c r="L57" s="3">
        <v>0.25369999999999998</v>
      </c>
      <c r="M57">
        <v>11</v>
      </c>
      <c r="N57">
        <v>33</v>
      </c>
      <c r="O57">
        <v>44</v>
      </c>
    </row>
    <row r="58" spans="1:15" x14ac:dyDescent="0.3">
      <c r="A58">
        <v>57</v>
      </c>
      <c r="B58" s="1">
        <v>40546</v>
      </c>
      <c r="C58">
        <v>11</v>
      </c>
      <c r="D58" s="2" t="s">
        <v>43</v>
      </c>
      <c r="E58" t="s">
        <v>26</v>
      </c>
      <c r="F58" s="2" t="s">
        <v>32</v>
      </c>
      <c r="G58" t="s">
        <v>28</v>
      </c>
      <c r="H58" s="3">
        <v>0.2</v>
      </c>
      <c r="I58" s="2" t="s">
        <v>44</v>
      </c>
      <c r="J58" s="3">
        <v>0.18179999999999999</v>
      </c>
      <c r="K58" s="3">
        <v>0.4</v>
      </c>
      <c r="L58" s="3">
        <v>0.32840000000000003</v>
      </c>
      <c r="M58">
        <v>10</v>
      </c>
      <c r="N58">
        <v>41</v>
      </c>
      <c r="O58">
        <v>51</v>
      </c>
    </row>
    <row r="59" spans="1:15" hidden="1" x14ac:dyDescent="0.3">
      <c r="A59">
        <v>58</v>
      </c>
      <c r="B59" s="1">
        <v>40546</v>
      </c>
      <c r="C59">
        <v>12</v>
      </c>
      <c r="D59" s="2" t="s">
        <v>45</v>
      </c>
      <c r="E59" t="s">
        <v>26</v>
      </c>
      <c r="F59" s="2" t="s">
        <v>32</v>
      </c>
      <c r="G59" t="s">
        <v>28</v>
      </c>
      <c r="H59" s="3">
        <v>0.22</v>
      </c>
      <c r="I59" s="2" t="s">
        <v>42</v>
      </c>
      <c r="J59" s="3">
        <v>0.21210000000000001</v>
      </c>
      <c r="K59" s="3">
        <v>0.35</v>
      </c>
      <c r="L59" s="3">
        <v>0.29849999999999999</v>
      </c>
      <c r="M59">
        <v>13</v>
      </c>
      <c r="N59">
        <v>48</v>
      </c>
      <c r="O59">
        <v>61</v>
      </c>
    </row>
    <row r="60" spans="1:15" hidden="1" x14ac:dyDescent="0.3">
      <c r="A60">
        <v>59</v>
      </c>
      <c r="B60" s="1">
        <v>40546</v>
      </c>
      <c r="C60">
        <v>13</v>
      </c>
      <c r="D60" s="2" t="s">
        <v>45</v>
      </c>
      <c r="E60" t="s">
        <v>26</v>
      </c>
      <c r="F60" s="2" t="s">
        <v>32</v>
      </c>
      <c r="G60" t="s">
        <v>28</v>
      </c>
      <c r="H60" s="3">
        <v>0.24</v>
      </c>
      <c r="I60" s="2" t="s">
        <v>42</v>
      </c>
      <c r="J60" s="3">
        <v>0.21195783619818026</v>
      </c>
      <c r="K60" s="3">
        <v>0.35</v>
      </c>
      <c r="L60" s="3">
        <v>0.28360000000000002</v>
      </c>
      <c r="M60">
        <v>8</v>
      </c>
      <c r="N60">
        <v>53</v>
      </c>
      <c r="O60">
        <v>61</v>
      </c>
    </row>
    <row r="61" spans="1:15" hidden="1" x14ac:dyDescent="0.3">
      <c r="A61">
        <v>60</v>
      </c>
      <c r="B61" s="1">
        <v>40546</v>
      </c>
      <c r="C61">
        <v>14</v>
      </c>
      <c r="D61" s="2" t="s">
        <v>45</v>
      </c>
      <c r="E61" t="s">
        <v>26</v>
      </c>
      <c r="F61" s="2" t="s">
        <v>32</v>
      </c>
      <c r="G61" t="s">
        <v>28</v>
      </c>
      <c r="H61" s="3">
        <v>0.26</v>
      </c>
      <c r="I61" s="2" t="s">
        <v>42</v>
      </c>
      <c r="J61" s="3">
        <v>0.2424</v>
      </c>
      <c r="K61" s="3">
        <v>0.3</v>
      </c>
      <c r="L61" s="3">
        <v>0.28360000000000002</v>
      </c>
      <c r="M61">
        <v>11</v>
      </c>
      <c r="N61">
        <v>66</v>
      </c>
      <c r="O61">
        <v>77</v>
      </c>
    </row>
    <row r="62" spans="1:15" hidden="1" x14ac:dyDescent="0.3">
      <c r="A62">
        <v>61</v>
      </c>
      <c r="B62" s="1">
        <v>40546</v>
      </c>
      <c r="C62">
        <v>15</v>
      </c>
      <c r="D62" s="2" t="s">
        <v>45</v>
      </c>
      <c r="E62" t="s">
        <v>26</v>
      </c>
      <c r="F62" s="2" t="s">
        <v>32</v>
      </c>
      <c r="G62" t="s">
        <v>28</v>
      </c>
      <c r="H62" s="3">
        <v>0.26</v>
      </c>
      <c r="I62" s="2" t="s">
        <v>42</v>
      </c>
      <c r="J62" s="3">
        <v>0.2424</v>
      </c>
      <c r="K62" s="3">
        <v>0.3</v>
      </c>
      <c r="L62" s="3">
        <v>0.25369999999999998</v>
      </c>
      <c r="M62">
        <v>14</v>
      </c>
      <c r="N62">
        <v>58</v>
      </c>
      <c r="O62">
        <v>72</v>
      </c>
    </row>
    <row r="63" spans="1:15" hidden="1" x14ac:dyDescent="0.3">
      <c r="A63">
        <v>62</v>
      </c>
      <c r="B63" s="1">
        <v>40546</v>
      </c>
      <c r="C63">
        <v>16</v>
      </c>
      <c r="D63" s="2" t="s">
        <v>45</v>
      </c>
      <c r="E63" t="s">
        <v>26</v>
      </c>
      <c r="F63" s="2" t="s">
        <v>32</v>
      </c>
      <c r="G63" t="s">
        <v>28</v>
      </c>
      <c r="H63" s="3">
        <v>0.26</v>
      </c>
      <c r="I63" s="2" t="s">
        <v>42</v>
      </c>
      <c r="J63" s="3">
        <v>0.2424</v>
      </c>
      <c r="K63" s="3">
        <v>0.3</v>
      </c>
      <c r="L63" s="3">
        <v>0.25369999999999998</v>
      </c>
      <c r="M63">
        <v>9</v>
      </c>
      <c r="N63">
        <v>67</v>
      </c>
      <c r="O63">
        <v>76</v>
      </c>
    </row>
    <row r="64" spans="1:15" hidden="1" x14ac:dyDescent="0.3">
      <c r="A64">
        <v>63</v>
      </c>
      <c r="B64" s="1">
        <v>40546</v>
      </c>
      <c r="C64">
        <v>17</v>
      </c>
      <c r="D64" s="2" t="s">
        <v>47</v>
      </c>
      <c r="E64" t="s">
        <v>26</v>
      </c>
      <c r="F64" s="2" t="s">
        <v>32</v>
      </c>
      <c r="G64" t="s">
        <v>28</v>
      </c>
      <c r="H64" s="3">
        <v>0.24</v>
      </c>
      <c r="I64" s="2" t="s">
        <v>42</v>
      </c>
      <c r="J64" s="3">
        <v>0.2273</v>
      </c>
      <c r="K64" s="3">
        <v>0.3</v>
      </c>
      <c r="L64" s="3">
        <v>0.22389999999999999</v>
      </c>
      <c r="M64">
        <v>11</v>
      </c>
      <c r="N64">
        <v>146</v>
      </c>
      <c r="O64">
        <v>157</v>
      </c>
    </row>
    <row r="65" spans="1:15" hidden="1" x14ac:dyDescent="0.3">
      <c r="A65">
        <v>64</v>
      </c>
      <c r="B65" s="1">
        <v>40546</v>
      </c>
      <c r="C65">
        <v>18</v>
      </c>
      <c r="D65" s="2" t="s">
        <v>47</v>
      </c>
      <c r="E65" t="s">
        <v>26</v>
      </c>
      <c r="F65" s="2" t="s">
        <v>32</v>
      </c>
      <c r="G65" t="s">
        <v>28</v>
      </c>
      <c r="H65" s="3">
        <v>0.24</v>
      </c>
      <c r="I65" s="2" t="s">
        <v>42</v>
      </c>
      <c r="J65" s="3">
        <v>0.2576</v>
      </c>
      <c r="K65" s="3">
        <v>0.32</v>
      </c>
      <c r="L65" s="3">
        <v>0.1045</v>
      </c>
      <c r="M65">
        <v>9</v>
      </c>
      <c r="N65">
        <v>148</v>
      </c>
      <c r="O65">
        <v>157</v>
      </c>
    </row>
    <row r="66" spans="1:15" hidden="1" x14ac:dyDescent="0.3">
      <c r="A66">
        <v>65</v>
      </c>
      <c r="B66" s="1">
        <v>40546</v>
      </c>
      <c r="C66">
        <v>19</v>
      </c>
      <c r="D66" s="2" t="s">
        <v>47</v>
      </c>
      <c r="E66" t="s">
        <v>26</v>
      </c>
      <c r="F66" s="2" t="s">
        <v>32</v>
      </c>
      <c r="G66" t="s">
        <v>28</v>
      </c>
      <c r="H66" s="3">
        <v>0.2</v>
      </c>
      <c r="I66" s="2" t="s">
        <v>44</v>
      </c>
      <c r="J66" s="3">
        <v>0.2576</v>
      </c>
      <c r="K66" s="3">
        <v>0.47</v>
      </c>
      <c r="L66" s="3">
        <v>0</v>
      </c>
      <c r="M66">
        <v>8</v>
      </c>
      <c r="N66">
        <v>102</v>
      </c>
      <c r="O66">
        <v>110</v>
      </c>
    </row>
    <row r="67" spans="1:15" hidden="1" x14ac:dyDescent="0.3">
      <c r="A67">
        <v>66</v>
      </c>
      <c r="B67" s="1">
        <v>40546</v>
      </c>
      <c r="C67">
        <v>20</v>
      </c>
      <c r="D67" s="2" t="s">
        <v>47</v>
      </c>
      <c r="E67" t="s">
        <v>26</v>
      </c>
      <c r="F67" s="2" t="s">
        <v>32</v>
      </c>
      <c r="G67" t="s">
        <v>28</v>
      </c>
      <c r="H67" s="3">
        <v>0.2</v>
      </c>
      <c r="I67" s="2" t="s">
        <v>44</v>
      </c>
      <c r="J67" s="3">
        <v>0.21195783619818026</v>
      </c>
      <c r="K67" s="3">
        <v>0.47</v>
      </c>
      <c r="L67" s="3">
        <v>0.1045</v>
      </c>
      <c r="M67">
        <v>3</v>
      </c>
      <c r="N67">
        <v>49</v>
      </c>
      <c r="O67">
        <v>52</v>
      </c>
    </row>
    <row r="68" spans="1:15" hidden="1" x14ac:dyDescent="0.3">
      <c r="A68">
        <v>67</v>
      </c>
      <c r="B68" s="1">
        <v>40546</v>
      </c>
      <c r="C68">
        <v>21</v>
      </c>
      <c r="D68" s="2" t="s">
        <v>41</v>
      </c>
      <c r="E68" t="s">
        <v>26</v>
      </c>
      <c r="F68" s="2" t="s">
        <v>32</v>
      </c>
      <c r="G68" t="s">
        <v>28</v>
      </c>
      <c r="H68" s="3">
        <v>0.18</v>
      </c>
      <c r="I68" s="2" t="s">
        <v>44</v>
      </c>
      <c r="J68" s="3">
        <v>0.19700000000000001</v>
      </c>
      <c r="K68" s="3">
        <v>0.64</v>
      </c>
      <c r="L68" s="3">
        <v>0.1343</v>
      </c>
      <c r="M68">
        <v>3</v>
      </c>
      <c r="N68">
        <v>49</v>
      </c>
      <c r="O68">
        <v>52</v>
      </c>
    </row>
    <row r="69" spans="1:15" hidden="1" x14ac:dyDescent="0.3">
      <c r="A69">
        <v>68</v>
      </c>
      <c r="B69" s="1">
        <v>40546</v>
      </c>
      <c r="C69">
        <v>22</v>
      </c>
      <c r="D69" s="2" t="s">
        <v>41</v>
      </c>
      <c r="E69" t="s">
        <v>26</v>
      </c>
      <c r="F69" s="2" t="s">
        <v>32</v>
      </c>
      <c r="G69" t="s">
        <v>28</v>
      </c>
      <c r="H69" s="3">
        <v>0.14000000000000001</v>
      </c>
      <c r="I69" s="2" t="s">
        <v>44</v>
      </c>
      <c r="J69" s="3">
        <v>0.1515</v>
      </c>
      <c r="K69" s="3">
        <v>0.69</v>
      </c>
      <c r="L69" s="3">
        <v>0.1343</v>
      </c>
      <c r="M69">
        <v>0</v>
      </c>
      <c r="N69">
        <v>20</v>
      </c>
      <c r="O69">
        <v>20</v>
      </c>
    </row>
    <row r="70" spans="1:15" hidden="1" x14ac:dyDescent="0.3">
      <c r="A70">
        <v>69</v>
      </c>
      <c r="B70" s="1">
        <v>40546</v>
      </c>
      <c r="C70">
        <v>23</v>
      </c>
      <c r="D70" s="2" t="s">
        <v>41</v>
      </c>
      <c r="E70" t="s">
        <v>26</v>
      </c>
      <c r="F70" s="2" t="s">
        <v>32</v>
      </c>
      <c r="G70" t="s">
        <v>28</v>
      </c>
      <c r="H70" s="3">
        <v>0.18</v>
      </c>
      <c r="I70" s="2" t="s">
        <v>44</v>
      </c>
      <c r="J70" s="3">
        <v>0.21210000000000001</v>
      </c>
      <c r="K70" s="3">
        <v>0.55000000000000004</v>
      </c>
      <c r="L70" s="3">
        <v>0.1045</v>
      </c>
      <c r="M70">
        <v>1</v>
      </c>
      <c r="N70">
        <v>11</v>
      </c>
      <c r="O70">
        <v>12</v>
      </c>
    </row>
    <row r="71" spans="1:15" hidden="1" x14ac:dyDescent="0.3">
      <c r="A71">
        <v>70</v>
      </c>
      <c r="B71" s="1">
        <v>40547</v>
      </c>
      <c r="C71">
        <v>0</v>
      </c>
      <c r="D71" s="2" t="s">
        <v>41</v>
      </c>
      <c r="E71" t="s">
        <v>26</v>
      </c>
      <c r="F71" s="2" t="s">
        <v>33</v>
      </c>
      <c r="G71" t="s">
        <v>28</v>
      </c>
      <c r="H71" s="3">
        <v>0.16</v>
      </c>
      <c r="I71" s="2" t="s">
        <v>44</v>
      </c>
      <c r="J71" s="3">
        <v>0.21195783619818026</v>
      </c>
      <c r="K71" s="3">
        <v>0.55000000000000004</v>
      </c>
      <c r="L71" s="3">
        <v>0.1045</v>
      </c>
      <c r="M71">
        <v>0</v>
      </c>
      <c r="N71">
        <v>5</v>
      </c>
      <c r="O71">
        <v>5</v>
      </c>
    </row>
    <row r="72" spans="1:15" hidden="1" x14ac:dyDescent="0.3">
      <c r="A72">
        <v>71</v>
      </c>
      <c r="B72" s="1">
        <v>40547</v>
      </c>
      <c r="C72">
        <v>1</v>
      </c>
      <c r="D72" s="2" t="s">
        <v>41</v>
      </c>
      <c r="E72" t="s">
        <v>26</v>
      </c>
      <c r="F72" s="2" t="s">
        <v>33</v>
      </c>
      <c r="G72" t="s">
        <v>28</v>
      </c>
      <c r="H72" s="3">
        <v>0.16</v>
      </c>
      <c r="I72" s="2" t="s">
        <v>44</v>
      </c>
      <c r="J72" s="3">
        <v>0.18179999999999999</v>
      </c>
      <c r="K72" s="3">
        <v>0.59</v>
      </c>
      <c r="L72" s="3">
        <v>0.1045</v>
      </c>
      <c r="M72">
        <v>0</v>
      </c>
      <c r="N72">
        <v>2</v>
      </c>
      <c r="O72">
        <v>2</v>
      </c>
    </row>
    <row r="73" spans="1:15" hidden="1" x14ac:dyDescent="0.3">
      <c r="A73">
        <v>72</v>
      </c>
      <c r="B73" s="1">
        <v>40547</v>
      </c>
      <c r="C73">
        <v>2</v>
      </c>
      <c r="D73" s="2" t="s">
        <v>41</v>
      </c>
      <c r="E73" t="s">
        <v>26</v>
      </c>
      <c r="F73" s="2" t="s">
        <v>33</v>
      </c>
      <c r="G73" t="s">
        <v>28</v>
      </c>
      <c r="H73" s="3">
        <v>0.14000000000000001</v>
      </c>
      <c r="I73" s="2" t="s">
        <v>44</v>
      </c>
      <c r="J73" s="3">
        <v>0.1515</v>
      </c>
      <c r="K73" s="3">
        <v>0.63</v>
      </c>
      <c r="L73" s="3">
        <v>0.1343</v>
      </c>
      <c r="M73">
        <v>0</v>
      </c>
      <c r="N73">
        <v>1</v>
      </c>
      <c r="O73">
        <v>1</v>
      </c>
    </row>
    <row r="74" spans="1:15" hidden="1" x14ac:dyDescent="0.3">
      <c r="A74">
        <v>73</v>
      </c>
      <c r="B74" s="1">
        <v>40547</v>
      </c>
      <c r="C74">
        <v>4</v>
      </c>
      <c r="D74" s="2" t="s">
        <v>41</v>
      </c>
      <c r="E74" t="s">
        <v>26</v>
      </c>
      <c r="F74" s="2" t="s">
        <v>33</v>
      </c>
      <c r="G74" t="s">
        <v>28</v>
      </c>
      <c r="H74" s="3">
        <v>0.14000000000000001</v>
      </c>
      <c r="I74" s="2" t="s">
        <v>44</v>
      </c>
      <c r="J74" s="3">
        <v>0.18179999999999999</v>
      </c>
      <c r="K74" s="3">
        <v>0.63</v>
      </c>
      <c r="L74" s="3">
        <v>8.9599999999999999E-2</v>
      </c>
      <c r="M74">
        <v>0</v>
      </c>
      <c r="N74">
        <v>2</v>
      </c>
      <c r="O74">
        <v>2</v>
      </c>
    </row>
    <row r="75" spans="1:15" x14ac:dyDescent="0.3">
      <c r="A75">
        <v>74</v>
      </c>
      <c r="B75" s="1">
        <v>40547</v>
      </c>
      <c r="C75">
        <v>5</v>
      </c>
      <c r="D75" s="2" t="s">
        <v>43</v>
      </c>
      <c r="E75" t="s">
        <v>26</v>
      </c>
      <c r="F75" s="2" t="s">
        <v>33</v>
      </c>
      <c r="G75" t="s">
        <v>28</v>
      </c>
      <c r="H75" s="3">
        <v>0.12</v>
      </c>
      <c r="I75" s="2" t="s">
        <v>44</v>
      </c>
      <c r="J75" s="3">
        <v>0.1515</v>
      </c>
      <c r="K75" s="3">
        <v>0.68</v>
      </c>
      <c r="L75" s="3">
        <v>0.1045</v>
      </c>
      <c r="M75">
        <v>0</v>
      </c>
      <c r="N75">
        <v>4</v>
      </c>
      <c r="O75">
        <v>4</v>
      </c>
    </row>
    <row r="76" spans="1:15" x14ac:dyDescent="0.3">
      <c r="A76">
        <v>75</v>
      </c>
      <c r="B76" s="1">
        <v>40547</v>
      </c>
      <c r="C76">
        <v>6</v>
      </c>
      <c r="D76" s="2" t="s">
        <v>43</v>
      </c>
      <c r="E76" t="s">
        <v>26</v>
      </c>
      <c r="F76" s="2" t="s">
        <v>33</v>
      </c>
      <c r="G76" t="s">
        <v>28</v>
      </c>
      <c r="H76" s="3">
        <v>0.12</v>
      </c>
      <c r="I76" s="2" t="s">
        <v>44</v>
      </c>
      <c r="J76" s="3">
        <v>0.1515</v>
      </c>
      <c r="K76" s="3">
        <v>0.74</v>
      </c>
      <c r="L76" s="3">
        <v>0.1045</v>
      </c>
      <c r="M76">
        <v>0</v>
      </c>
      <c r="N76">
        <v>36</v>
      </c>
      <c r="O76">
        <v>36</v>
      </c>
    </row>
    <row r="77" spans="1:15" x14ac:dyDescent="0.3">
      <c r="A77">
        <v>76</v>
      </c>
      <c r="B77" s="1">
        <v>40547</v>
      </c>
      <c r="C77">
        <v>7</v>
      </c>
      <c r="D77" s="2" t="s">
        <v>43</v>
      </c>
      <c r="E77" t="s">
        <v>26</v>
      </c>
      <c r="F77" s="2" t="s">
        <v>33</v>
      </c>
      <c r="G77" t="s">
        <v>28</v>
      </c>
      <c r="H77" s="3">
        <v>0.12</v>
      </c>
      <c r="I77" s="2" t="s">
        <v>44</v>
      </c>
      <c r="J77" s="3">
        <v>0.1515</v>
      </c>
      <c r="K77" s="3">
        <v>0.74</v>
      </c>
      <c r="L77" s="3">
        <v>0.1343</v>
      </c>
      <c r="M77">
        <v>2</v>
      </c>
      <c r="N77">
        <v>92</v>
      </c>
      <c r="O77">
        <v>94</v>
      </c>
    </row>
    <row r="78" spans="1:15" x14ac:dyDescent="0.3">
      <c r="A78">
        <v>77</v>
      </c>
      <c r="B78" s="1">
        <v>40547</v>
      </c>
      <c r="C78">
        <v>8</v>
      </c>
      <c r="D78" s="2" t="s">
        <v>43</v>
      </c>
      <c r="E78" t="s">
        <v>26</v>
      </c>
      <c r="F78" s="2" t="s">
        <v>33</v>
      </c>
      <c r="G78" t="s">
        <v>28</v>
      </c>
      <c r="H78" s="3">
        <v>0.14000000000000001</v>
      </c>
      <c r="I78" s="2" t="s">
        <v>44</v>
      </c>
      <c r="J78" s="3">
        <v>0.1515</v>
      </c>
      <c r="K78" s="3">
        <v>0.69</v>
      </c>
      <c r="L78" s="3">
        <v>0.16420000000000001</v>
      </c>
      <c r="M78">
        <v>2</v>
      </c>
      <c r="N78">
        <v>177</v>
      </c>
      <c r="O78">
        <v>179</v>
      </c>
    </row>
    <row r="79" spans="1:15" x14ac:dyDescent="0.3">
      <c r="A79">
        <v>78</v>
      </c>
      <c r="B79" s="1">
        <v>40547</v>
      </c>
      <c r="C79">
        <v>9</v>
      </c>
      <c r="D79" s="2" t="s">
        <v>43</v>
      </c>
      <c r="E79" t="s">
        <v>26</v>
      </c>
      <c r="F79" s="2" t="s">
        <v>33</v>
      </c>
      <c r="G79" t="s">
        <v>28</v>
      </c>
      <c r="H79" s="3">
        <v>0.16</v>
      </c>
      <c r="I79" s="2" t="s">
        <v>44</v>
      </c>
      <c r="J79" s="3">
        <v>0.1515</v>
      </c>
      <c r="K79" s="3">
        <v>0.64</v>
      </c>
      <c r="L79" s="3">
        <v>0.22389999999999999</v>
      </c>
      <c r="M79">
        <v>2</v>
      </c>
      <c r="N79">
        <v>98</v>
      </c>
      <c r="O79">
        <v>100</v>
      </c>
    </row>
    <row r="80" spans="1:15" x14ac:dyDescent="0.3">
      <c r="A80">
        <v>79</v>
      </c>
      <c r="B80" s="1">
        <v>40547</v>
      </c>
      <c r="C80">
        <v>10</v>
      </c>
      <c r="D80" s="2" t="s">
        <v>43</v>
      </c>
      <c r="E80" t="s">
        <v>26</v>
      </c>
      <c r="F80" s="2" t="s">
        <v>33</v>
      </c>
      <c r="G80" t="s">
        <v>29</v>
      </c>
      <c r="H80" s="3">
        <v>0.16</v>
      </c>
      <c r="I80" s="2" t="s">
        <v>44</v>
      </c>
      <c r="J80" s="3">
        <v>0.13639999999999999</v>
      </c>
      <c r="K80" s="3">
        <v>0.69</v>
      </c>
      <c r="L80" s="3">
        <v>0.32840000000000003</v>
      </c>
      <c r="M80">
        <v>5</v>
      </c>
      <c r="N80">
        <v>37</v>
      </c>
      <c r="O80">
        <v>42</v>
      </c>
    </row>
    <row r="81" spans="1:15" x14ac:dyDescent="0.3">
      <c r="A81">
        <v>80</v>
      </c>
      <c r="B81" s="1">
        <v>40547</v>
      </c>
      <c r="C81">
        <v>11</v>
      </c>
      <c r="D81" s="2" t="s">
        <v>43</v>
      </c>
      <c r="E81" t="s">
        <v>26</v>
      </c>
      <c r="F81" s="2" t="s">
        <v>33</v>
      </c>
      <c r="G81" t="s">
        <v>28</v>
      </c>
      <c r="H81" s="3">
        <v>0.22</v>
      </c>
      <c r="I81" s="2" t="s">
        <v>42</v>
      </c>
      <c r="J81" s="3">
        <v>0.21210000000000001</v>
      </c>
      <c r="K81" s="3">
        <v>0.51</v>
      </c>
      <c r="L81" s="3">
        <v>0.29849999999999999</v>
      </c>
      <c r="M81">
        <v>7</v>
      </c>
      <c r="N81">
        <v>50</v>
      </c>
      <c r="O81">
        <v>57</v>
      </c>
    </row>
    <row r="82" spans="1:15" hidden="1" x14ac:dyDescent="0.3">
      <c r="A82">
        <v>81</v>
      </c>
      <c r="B82" s="1">
        <v>40547</v>
      </c>
      <c r="C82">
        <v>12</v>
      </c>
      <c r="D82" s="2" t="s">
        <v>45</v>
      </c>
      <c r="E82" t="s">
        <v>26</v>
      </c>
      <c r="F82" s="2" t="s">
        <v>33</v>
      </c>
      <c r="G82" t="s">
        <v>28</v>
      </c>
      <c r="H82" s="3">
        <v>0.22</v>
      </c>
      <c r="I82" s="2" t="s">
        <v>42</v>
      </c>
      <c r="J82" s="3">
        <v>0.2273</v>
      </c>
      <c r="K82" s="3">
        <v>0.51</v>
      </c>
      <c r="L82" s="3">
        <v>0.16420000000000001</v>
      </c>
      <c r="M82">
        <v>12</v>
      </c>
      <c r="N82">
        <v>66</v>
      </c>
      <c r="O82">
        <v>78</v>
      </c>
    </row>
    <row r="83" spans="1:15" hidden="1" x14ac:dyDescent="0.3">
      <c r="A83">
        <v>82</v>
      </c>
      <c r="B83" s="1">
        <v>40547</v>
      </c>
      <c r="C83">
        <v>13</v>
      </c>
      <c r="D83" s="2" t="s">
        <v>45</v>
      </c>
      <c r="E83" t="s">
        <v>26</v>
      </c>
      <c r="F83" s="2" t="s">
        <v>33</v>
      </c>
      <c r="G83" t="s">
        <v>28</v>
      </c>
      <c r="H83" s="3">
        <v>0.24</v>
      </c>
      <c r="I83" s="2" t="s">
        <v>42</v>
      </c>
      <c r="J83" s="3">
        <v>0.2273</v>
      </c>
      <c r="K83" s="3">
        <v>0.56000000000000005</v>
      </c>
      <c r="L83" s="3">
        <v>0.19400000000000001</v>
      </c>
      <c r="M83">
        <v>18</v>
      </c>
      <c r="N83">
        <v>79</v>
      </c>
      <c r="O83">
        <v>97</v>
      </c>
    </row>
    <row r="84" spans="1:15" hidden="1" x14ac:dyDescent="0.3">
      <c r="A84">
        <v>83</v>
      </c>
      <c r="B84" s="1">
        <v>40547</v>
      </c>
      <c r="C84">
        <v>14</v>
      </c>
      <c r="D84" s="2" t="s">
        <v>45</v>
      </c>
      <c r="E84" t="s">
        <v>26</v>
      </c>
      <c r="F84" s="2" t="s">
        <v>33</v>
      </c>
      <c r="G84" t="s">
        <v>28</v>
      </c>
      <c r="H84" s="3">
        <v>0.26</v>
      </c>
      <c r="I84" s="2" t="s">
        <v>42</v>
      </c>
      <c r="J84" s="3">
        <v>0.2576</v>
      </c>
      <c r="K84" s="3">
        <v>0.52</v>
      </c>
      <c r="L84" s="3">
        <v>0.22389999999999999</v>
      </c>
      <c r="M84">
        <v>9</v>
      </c>
      <c r="N84">
        <v>54</v>
      </c>
      <c r="O84">
        <v>63</v>
      </c>
    </row>
    <row r="85" spans="1:15" hidden="1" x14ac:dyDescent="0.3">
      <c r="A85">
        <v>84</v>
      </c>
      <c r="B85" s="1">
        <v>40547</v>
      </c>
      <c r="C85">
        <v>15</v>
      </c>
      <c r="D85" s="2" t="s">
        <v>45</v>
      </c>
      <c r="E85" t="s">
        <v>26</v>
      </c>
      <c r="F85" s="2" t="s">
        <v>33</v>
      </c>
      <c r="G85" t="s">
        <v>28</v>
      </c>
      <c r="H85" s="3">
        <v>0.28000000000000003</v>
      </c>
      <c r="I85" s="2" t="s">
        <v>42</v>
      </c>
      <c r="J85" s="3">
        <v>0.2727</v>
      </c>
      <c r="K85" s="3">
        <v>0.52</v>
      </c>
      <c r="L85" s="3">
        <v>0.25369999999999998</v>
      </c>
      <c r="M85">
        <v>17</v>
      </c>
      <c r="N85">
        <v>48</v>
      </c>
      <c r="O85">
        <v>65</v>
      </c>
    </row>
    <row r="86" spans="1:15" hidden="1" x14ac:dyDescent="0.3">
      <c r="A86">
        <v>85</v>
      </c>
      <c r="B86" s="1">
        <v>40547</v>
      </c>
      <c r="C86">
        <v>16</v>
      </c>
      <c r="D86" s="2" t="s">
        <v>45</v>
      </c>
      <c r="E86" t="s">
        <v>26</v>
      </c>
      <c r="F86" s="2" t="s">
        <v>33</v>
      </c>
      <c r="G86" t="s">
        <v>28</v>
      </c>
      <c r="H86" s="3">
        <v>0.3</v>
      </c>
      <c r="I86" s="2" t="s">
        <v>42</v>
      </c>
      <c r="J86" s="3">
        <v>0.28789999999999999</v>
      </c>
      <c r="K86" s="3">
        <v>0.49</v>
      </c>
      <c r="L86" s="3">
        <v>0.25369999999999998</v>
      </c>
      <c r="M86">
        <v>15</v>
      </c>
      <c r="N86">
        <v>68</v>
      </c>
      <c r="O86">
        <v>83</v>
      </c>
    </row>
    <row r="87" spans="1:15" hidden="1" x14ac:dyDescent="0.3">
      <c r="A87">
        <v>86</v>
      </c>
      <c r="B87" s="1">
        <v>40547</v>
      </c>
      <c r="C87">
        <v>17</v>
      </c>
      <c r="D87" s="2" t="s">
        <v>47</v>
      </c>
      <c r="E87" t="s">
        <v>26</v>
      </c>
      <c r="F87" s="2" t="s">
        <v>33</v>
      </c>
      <c r="G87" t="s">
        <v>28</v>
      </c>
      <c r="H87" s="3">
        <v>0.28000000000000003</v>
      </c>
      <c r="I87" s="2" t="s">
        <v>42</v>
      </c>
      <c r="J87" s="3">
        <v>0.2727</v>
      </c>
      <c r="K87" s="3">
        <v>0.48</v>
      </c>
      <c r="L87" s="3">
        <v>0.22389999999999999</v>
      </c>
      <c r="M87">
        <v>10</v>
      </c>
      <c r="N87">
        <v>202</v>
      </c>
      <c r="O87">
        <v>212</v>
      </c>
    </row>
    <row r="88" spans="1:15" hidden="1" x14ac:dyDescent="0.3">
      <c r="A88">
        <v>87</v>
      </c>
      <c r="B88" s="1">
        <v>40547</v>
      </c>
      <c r="C88">
        <v>18</v>
      </c>
      <c r="D88" s="2" t="s">
        <v>47</v>
      </c>
      <c r="E88" t="s">
        <v>26</v>
      </c>
      <c r="F88" s="2" t="s">
        <v>33</v>
      </c>
      <c r="G88" t="s">
        <v>28</v>
      </c>
      <c r="H88" s="3">
        <v>0.26</v>
      </c>
      <c r="I88" s="2" t="s">
        <v>42</v>
      </c>
      <c r="J88" s="3">
        <v>0.2576</v>
      </c>
      <c r="K88" s="3">
        <v>0.48</v>
      </c>
      <c r="L88" s="3">
        <v>0.19400000000000001</v>
      </c>
      <c r="M88">
        <v>3</v>
      </c>
      <c r="N88">
        <v>179</v>
      </c>
      <c r="O88">
        <v>182</v>
      </c>
    </row>
    <row r="89" spans="1:15" hidden="1" x14ac:dyDescent="0.3">
      <c r="A89">
        <v>88</v>
      </c>
      <c r="B89" s="1">
        <v>40547</v>
      </c>
      <c r="C89">
        <v>19</v>
      </c>
      <c r="D89" s="2" t="s">
        <v>47</v>
      </c>
      <c r="E89" t="s">
        <v>26</v>
      </c>
      <c r="F89" s="2" t="s">
        <v>33</v>
      </c>
      <c r="G89" t="s">
        <v>28</v>
      </c>
      <c r="H89" s="3">
        <v>0.24</v>
      </c>
      <c r="I89" s="2" t="s">
        <v>42</v>
      </c>
      <c r="J89" s="3">
        <v>0.2576</v>
      </c>
      <c r="K89" s="3">
        <v>0.48</v>
      </c>
      <c r="L89" s="3">
        <v>0.1045</v>
      </c>
      <c r="M89">
        <v>2</v>
      </c>
      <c r="N89">
        <v>110</v>
      </c>
      <c r="O89">
        <v>112</v>
      </c>
    </row>
    <row r="90" spans="1:15" hidden="1" x14ac:dyDescent="0.3">
      <c r="A90">
        <v>89</v>
      </c>
      <c r="B90" s="1">
        <v>40547</v>
      </c>
      <c r="C90">
        <v>20</v>
      </c>
      <c r="D90" s="2" t="s">
        <v>47</v>
      </c>
      <c r="E90" t="s">
        <v>26</v>
      </c>
      <c r="F90" s="2" t="s">
        <v>33</v>
      </c>
      <c r="G90" t="s">
        <v>28</v>
      </c>
      <c r="H90" s="3">
        <v>0.24</v>
      </c>
      <c r="I90" s="2" t="s">
        <v>42</v>
      </c>
      <c r="J90" s="3">
        <v>0.2576</v>
      </c>
      <c r="K90" s="3">
        <v>0.48</v>
      </c>
      <c r="L90" s="3">
        <v>0.1045</v>
      </c>
      <c r="M90">
        <v>1</v>
      </c>
      <c r="N90">
        <v>53</v>
      </c>
      <c r="O90">
        <v>54</v>
      </c>
    </row>
    <row r="91" spans="1:15" hidden="1" x14ac:dyDescent="0.3">
      <c r="A91">
        <v>90</v>
      </c>
      <c r="B91" s="1">
        <v>40547</v>
      </c>
      <c r="C91">
        <v>21</v>
      </c>
      <c r="D91" s="2" t="s">
        <v>41</v>
      </c>
      <c r="E91" t="s">
        <v>26</v>
      </c>
      <c r="F91" s="2" t="s">
        <v>33</v>
      </c>
      <c r="G91" t="s">
        <v>28</v>
      </c>
      <c r="H91" s="3">
        <v>0.22</v>
      </c>
      <c r="I91" s="2" t="s">
        <v>42</v>
      </c>
      <c r="J91" s="3">
        <v>0.2727</v>
      </c>
      <c r="K91" s="3">
        <v>0.64</v>
      </c>
      <c r="L91" s="3">
        <v>0</v>
      </c>
      <c r="M91">
        <v>0</v>
      </c>
      <c r="N91">
        <v>48</v>
      </c>
      <c r="O91">
        <v>48</v>
      </c>
    </row>
    <row r="92" spans="1:15" hidden="1" x14ac:dyDescent="0.3">
      <c r="A92">
        <v>91</v>
      </c>
      <c r="B92" s="1">
        <v>40547</v>
      </c>
      <c r="C92">
        <v>22</v>
      </c>
      <c r="D92" s="2" t="s">
        <v>41</v>
      </c>
      <c r="E92" t="s">
        <v>26</v>
      </c>
      <c r="F92" s="2" t="s">
        <v>33</v>
      </c>
      <c r="G92" t="s">
        <v>28</v>
      </c>
      <c r="H92" s="3">
        <v>0.22</v>
      </c>
      <c r="I92" s="2" t="s">
        <v>42</v>
      </c>
      <c r="J92" s="3">
        <v>0.2576</v>
      </c>
      <c r="K92" s="3">
        <v>0.64</v>
      </c>
      <c r="L92" s="3">
        <v>8.9599999999999999E-2</v>
      </c>
      <c r="M92">
        <v>1</v>
      </c>
      <c r="N92">
        <v>34</v>
      </c>
      <c r="O92">
        <v>35</v>
      </c>
    </row>
    <row r="93" spans="1:15" hidden="1" x14ac:dyDescent="0.3">
      <c r="A93">
        <v>92</v>
      </c>
      <c r="B93" s="1">
        <v>40547</v>
      </c>
      <c r="C93">
        <v>23</v>
      </c>
      <c r="D93" s="2" t="s">
        <v>41</v>
      </c>
      <c r="E93" t="s">
        <v>26</v>
      </c>
      <c r="F93" s="2" t="s">
        <v>33</v>
      </c>
      <c r="G93" t="s">
        <v>28</v>
      </c>
      <c r="H93" s="3">
        <v>0.2</v>
      </c>
      <c r="I93" s="2" t="s">
        <v>44</v>
      </c>
      <c r="J93" s="3">
        <v>0.2273</v>
      </c>
      <c r="K93" s="3">
        <v>0.69</v>
      </c>
      <c r="L93" s="3">
        <v>8.9599999999999999E-2</v>
      </c>
      <c r="M93">
        <v>2</v>
      </c>
      <c r="N93">
        <v>9</v>
      </c>
      <c r="O93">
        <v>11</v>
      </c>
    </row>
    <row r="94" spans="1:15" hidden="1" x14ac:dyDescent="0.3">
      <c r="A94">
        <v>93</v>
      </c>
      <c r="B94" s="1">
        <v>40548</v>
      </c>
      <c r="C94">
        <v>0</v>
      </c>
      <c r="D94" s="2" t="s">
        <v>41</v>
      </c>
      <c r="E94" t="s">
        <v>26</v>
      </c>
      <c r="F94" s="2" t="s">
        <v>34</v>
      </c>
      <c r="G94" t="s">
        <v>28</v>
      </c>
      <c r="H94" s="3">
        <v>0.2</v>
      </c>
      <c r="I94" s="2" t="s">
        <v>44</v>
      </c>
      <c r="J94" s="3">
        <v>0.2576</v>
      </c>
      <c r="K94" s="3">
        <v>0.64</v>
      </c>
      <c r="L94" s="3">
        <v>0</v>
      </c>
      <c r="M94">
        <v>0</v>
      </c>
      <c r="N94">
        <v>6</v>
      </c>
      <c r="O94">
        <v>6</v>
      </c>
    </row>
    <row r="95" spans="1:15" hidden="1" x14ac:dyDescent="0.3">
      <c r="A95">
        <v>94</v>
      </c>
      <c r="B95" s="1">
        <v>40548</v>
      </c>
      <c r="C95">
        <v>1</v>
      </c>
      <c r="D95" s="2" t="s">
        <v>41</v>
      </c>
      <c r="E95" t="s">
        <v>26</v>
      </c>
      <c r="F95" s="2" t="s">
        <v>34</v>
      </c>
      <c r="G95" t="s">
        <v>28</v>
      </c>
      <c r="H95" s="3">
        <v>0.16</v>
      </c>
      <c r="I95" s="2" t="s">
        <v>44</v>
      </c>
      <c r="J95" s="3">
        <v>0.19700000000000001</v>
      </c>
      <c r="K95" s="3">
        <v>0.74</v>
      </c>
      <c r="L95" s="3">
        <v>8.9599999999999999E-2</v>
      </c>
      <c r="M95">
        <v>0</v>
      </c>
      <c r="N95">
        <v>6</v>
      </c>
      <c r="O95">
        <v>6</v>
      </c>
    </row>
    <row r="96" spans="1:15" hidden="1" x14ac:dyDescent="0.3">
      <c r="A96">
        <v>95</v>
      </c>
      <c r="B96" s="1">
        <v>40548</v>
      </c>
      <c r="C96">
        <v>2</v>
      </c>
      <c r="D96" s="2" t="s">
        <v>41</v>
      </c>
      <c r="E96" t="s">
        <v>26</v>
      </c>
      <c r="F96" s="2" t="s">
        <v>34</v>
      </c>
      <c r="G96" t="s">
        <v>28</v>
      </c>
      <c r="H96" s="3">
        <v>0.16</v>
      </c>
      <c r="I96" s="2" t="s">
        <v>44</v>
      </c>
      <c r="J96" s="3">
        <v>0.19700000000000001</v>
      </c>
      <c r="K96" s="3">
        <v>0.74</v>
      </c>
      <c r="L96" s="3">
        <v>8.9599999999999999E-2</v>
      </c>
      <c r="M96">
        <v>0</v>
      </c>
      <c r="N96">
        <v>2</v>
      </c>
      <c r="O96">
        <v>2</v>
      </c>
    </row>
    <row r="97" spans="1:15" hidden="1" x14ac:dyDescent="0.3">
      <c r="A97">
        <v>96</v>
      </c>
      <c r="B97" s="1">
        <v>40548</v>
      </c>
      <c r="C97">
        <v>4</v>
      </c>
      <c r="D97" s="2" t="s">
        <v>41</v>
      </c>
      <c r="E97" t="s">
        <v>26</v>
      </c>
      <c r="F97" s="2" t="s">
        <v>34</v>
      </c>
      <c r="G97" t="s">
        <v>28</v>
      </c>
      <c r="H97" s="3">
        <v>0.24</v>
      </c>
      <c r="I97" s="2" t="s">
        <v>42</v>
      </c>
      <c r="J97" s="3">
        <v>0.2273</v>
      </c>
      <c r="K97" s="3">
        <v>0.48</v>
      </c>
      <c r="L97" s="3">
        <v>0.22389999999999999</v>
      </c>
      <c r="M97">
        <v>0</v>
      </c>
      <c r="N97">
        <v>2</v>
      </c>
      <c r="O97">
        <v>2</v>
      </c>
    </row>
    <row r="98" spans="1:15" x14ac:dyDescent="0.3">
      <c r="A98">
        <v>97</v>
      </c>
      <c r="B98" s="1">
        <v>40548</v>
      </c>
      <c r="C98">
        <v>5</v>
      </c>
      <c r="D98" s="2" t="s">
        <v>43</v>
      </c>
      <c r="E98" t="s">
        <v>26</v>
      </c>
      <c r="F98" s="2" t="s">
        <v>34</v>
      </c>
      <c r="G98" t="s">
        <v>28</v>
      </c>
      <c r="H98" s="3">
        <v>0.22</v>
      </c>
      <c r="I98" s="2" t="s">
        <v>42</v>
      </c>
      <c r="J98" s="3">
        <v>0.2273</v>
      </c>
      <c r="K98" s="3">
        <v>0.47</v>
      </c>
      <c r="L98" s="3">
        <v>0.16420000000000001</v>
      </c>
      <c r="M98">
        <v>0</v>
      </c>
      <c r="N98">
        <v>3</v>
      </c>
      <c r="O98">
        <v>3</v>
      </c>
    </row>
    <row r="99" spans="1:15" x14ac:dyDescent="0.3">
      <c r="A99">
        <v>98</v>
      </c>
      <c r="B99" s="1">
        <v>40548</v>
      </c>
      <c r="C99">
        <v>6</v>
      </c>
      <c r="D99" s="2" t="s">
        <v>43</v>
      </c>
      <c r="E99" t="s">
        <v>26</v>
      </c>
      <c r="F99" s="2" t="s">
        <v>34</v>
      </c>
      <c r="G99" t="s">
        <v>28</v>
      </c>
      <c r="H99" s="3">
        <v>0.2</v>
      </c>
      <c r="I99" s="2" t="s">
        <v>44</v>
      </c>
      <c r="J99" s="3">
        <v>0.19700000000000001</v>
      </c>
      <c r="K99" s="3">
        <v>0.47</v>
      </c>
      <c r="L99" s="3">
        <v>0.22389999999999999</v>
      </c>
      <c r="M99">
        <v>0</v>
      </c>
      <c r="N99">
        <v>33</v>
      </c>
      <c r="O99">
        <v>33</v>
      </c>
    </row>
    <row r="100" spans="1:15" x14ac:dyDescent="0.3">
      <c r="A100">
        <v>99</v>
      </c>
      <c r="B100" s="1">
        <v>40548</v>
      </c>
      <c r="C100">
        <v>7</v>
      </c>
      <c r="D100" s="2" t="s">
        <v>43</v>
      </c>
      <c r="E100" t="s">
        <v>26</v>
      </c>
      <c r="F100" s="2" t="s">
        <v>34</v>
      </c>
      <c r="G100" t="s">
        <v>28</v>
      </c>
      <c r="H100" s="3">
        <v>0.18</v>
      </c>
      <c r="I100" s="2" t="s">
        <v>44</v>
      </c>
      <c r="J100" s="3">
        <v>0.18179999999999999</v>
      </c>
      <c r="K100" s="3">
        <v>0.43</v>
      </c>
      <c r="L100" s="3">
        <v>0.19400000000000001</v>
      </c>
      <c r="M100">
        <v>1</v>
      </c>
      <c r="N100">
        <v>87</v>
      </c>
      <c r="O100">
        <v>88</v>
      </c>
    </row>
    <row r="101" spans="1:15" x14ac:dyDescent="0.3">
      <c r="A101">
        <v>100</v>
      </c>
      <c r="B101" s="1">
        <v>40548</v>
      </c>
      <c r="C101">
        <v>8</v>
      </c>
      <c r="D101" s="2" t="s">
        <v>43</v>
      </c>
      <c r="E101" t="s">
        <v>26</v>
      </c>
      <c r="F101" s="2" t="s">
        <v>34</v>
      </c>
      <c r="G101" t="s">
        <v>28</v>
      </c>
      <c r="H101" s="3">
        <v>0.2</v>
      </c>
      <c r="I101" s="2" t="s">
        <v>44</v>
      </c>
      <c r="J101" s="3">
        <v>0.18179999999999999</v>
      </c>
      <c r="K101" s="3">
        <v>0.4</v>
      </c>
      <c r="L101" s="3">
        <v>0.29849999999999999</v>
      </c>
      <c r="M101">
        <v>3</v>
      </c>
      <c r="N101">
        <v>192</v>
      </c>
      <c r="O101">
        <v>195</v>
      </c>
    </row>
    <row r="102" spans="1:15" x14ac:dyDescent="0.3">
      <c r="A102">
        <v>101</v>
      </c>
      <c r="B102" s="1">
        <v>40548</v>
      </c>
      <c r="C102">
        <v>9</v>
      </c>
      <c r="D102" s="2" t="s">
        <v>43</v>
      </c>
      <c r="E102" t="s">
        <v>26</v>
      </c>
      <c r="F102" s="2" t="s">
        <v>34</v>
      </c>
      <c r="G102" t="s">
        <v>28</v>
      </c>
      <c r="H102" s="3">
        <v>0.22</v>
      </c>
      <c r="I102" s="2" t="s">
        <v>42</v>
      </c>
      <c r="J102" s="3">
        <v>0.19700000000000001</v>
      </c>
      <c r="K102" s="3">
        <v>0.37</v>
      </c>
      <c r="L102" s="3">
        <v>0.32840000000000003</v>
      </c>
      <c r="M102">
        <v>6</v>
      </c>
      <c r="N102">
        <v>109</v>
      </c>
      <c r="O102">
        <v>115</v>
      </c>
    </row>
    <row r="103" spans="1:15" x14ac:dyDescent="0.3">
      <c r="A103">
        <v>102</v>
      </c>
      <c r="B103" s="1">
        <v>40548</v>
      </c>
      <c r="C103">
        <v>10</v>
      </c>
      <c r="D103" s="2" t="s">
        <v>43</v>
      </c>
      <c r="E103" t="s">
        <v>26</v>
      </c>
      <c r="F103" s="2" t="s">
        <v>34</v>
      </c>
      <c r="G103" t="s">
        <v>28</v>
      </c>
      <c r="H103" s="3">
        <v>0.22</v>
      </c>
      <c r="I103" s="2" t="s">
        <v>42</v>
      </c>
      <c r="J103" s="3">
        <v>0.19700000000000001</v>
      </c>
      <c r="K103" s="3">
        <v>0.37</v>
      </c>
      <c r="L103" s="3">
        <v>0.32840000000000003</v>
      </c>
      <c r="M103">
        <v>4</v>
      </c>
      <c r="N103">
        <v>53</v>
      </c>
      <c r="O103">
        <v>57</v>
      </c>
    </row>
    <row r="104" spans="1:15" x14ac:dyDescent="0.3">
      <c r="A104">
        <v>103</v>
      </c>
      <c r="B104" s="1">
        <v>40548</v>
      </c>
      <c r="C104">
        <v>11</v>
      </c>
      <c r="D104" s="2" t="s">
        <v>43</v>
      </c>
      <c r="E104" t="s">
        <v>26</v>
      </c>
      <c r="F104" s="2" t="s">
        <v>34</v>
      </c>
      <c r="G104" t="s">
        <v>28</v>
      </c>
      <c r="H104" s="3">
        <v>0.26</v>
      </c>
      <c r="I104" s="2" t="s">
        <v>42</v>
      </c>
      <c r="J104" s="3">
        <v>0.2273</v>
      </c>
      <c r="K104" s="3">
        <v>0.33</v>
      </c>
      <c r="L104" s="3">
        <v>0.32840000000000003</v>
      </c>
      <c r="M104">
        <v>12</v>
      </c>
      <c r="N104">
        <v>34</v>
      </c>
      <c r="O104">
        <v>46</v>
      </c>
    </row>
    <row r="105" spans="1:15" hidden="1" x14ac:dyDescent="0.3">
      <c r="A105">
        <v>104</v>
      </c>
      <c r="B105" s="1">
        <v>40548</v>
      </c>
      <c r="C105">
        <v>12</v>
      </c>
      <c r="D105" s="2" t="s">
        <v>45</v>
      </c>
      <c r="E105" t="s">
        <v>26</v>
      </c>
      <c r="F105" s="2" t="s">
        <v>34</v>
      </c>
      <c r="G105" t="s">
        <v>28</v>
      </c>
      <c r="H105" s="3">
        <v>0.26</v>
      </c>
      <c r="I105" s="2" t="s">
        <v>42</v>
      </c>
      <c r="J105" s="3">
        <v>0.2273</v>
      </c>
      <c r="K105" s="3">
        <v>0.33</v>
      </c>
      <c r="L105" s="3">
        <v>0.32840000000000003</v>
      </c>
      <c r="M105">
        <v>5</v>
      </c>
      <c r="N105">
        <v>74</v>
      </c>
      <c r="O105">
        <v>79</v>
      </c>
    </row>
    <row r="106" spans="1:15" hidden="1" x14ac:dyDescent="0.3">
      <c r="A106">
        <v>105</v>
      </c>
      <c r="B106" s="1">
        <v>40548</v>
      </c>
      <c r="C106">
        <v>13</v>
      </c>
      <c r="D106" s="2" t="s">
        <v>45</v>
      </c>
      <c r="E106" t="s">
        <v>26</v>
      </c>
      <c r="F106" s="2" t="s">
        <v>34</v>
      </c>
      <c r="G106" t="s">
        <v>28</v>
      </c>
      <c r="H106" s="3">
        <v>0.28000000000000003</v>
      </c>
      <c r="I106" s="2" t="s">
        <v>42</v>
      </c>
      <c r="J106" s="3">
        <v>0.2576</v>
      </c>
      <c r="K106" s="3">
        <v>0.3</v>
      </c>
      <c r="L106" s="3">
        <v>0.29849999999999999</v>
      </c>
      <c r="M106">
        <v>6</v>
      </c>
      <c r="N106">
        <v>65</v>
      </c>
      <c r="O106">
        <v>71</v>
      </c>
    </row>
    <row r="107" spans="1:15" hidden="1" x14ac:dyDescent="0.3">
      <c r="A107">
        <v>106</v>
      </c>
      <c r="B107" s="1">
        <v>40548</v>
      </c>
      <c r="C107">
        <v>14</v>
      </c>
      <c r="D107" s="2" t="s">
        <v>45</v>
      </c>
      <c r="E107" t="s">
        <v>26</v>
      </c>
      <c r="F107" s="2" t="s">
        <v>34</v>
      </c>
      <c r="G107" t="s">
        <v>28</v>
      </c>
      <c r="H107" s="3">
        <v>0.3</v>
      </c>
      <c r="I107" s="2" t="s">
        <v>42</v>
      </c>
      <c r="J107" s="3">
        <v>0.28789999999999999</v>
      </c>
      <c r="K107" s="3">
        <v>0.28000000000000003</v>
      </c>
      <c r="L107" s="3">
        <v>0.19400000000000001</v>
      </c>
      <c r="M107">
        <v>10</v>
      </c>
      <c r="N107">
        <v>52</v>
      </c>
      <c r="O107">
        <v>62</v>
      </c>
    </row>
    <row r="108" spans="1:15" hidden="1" x14ac:dyDescent="0.3">
      <c r="A108">
        <v>107</v>
      </c>
      <c r="B108" s="1">
        <v>40548</v>
      </c>
      <c r="C108">
        <v>15</v>
      </c>
      <c r="D108" s="2" t="s">
        <v>45</v>
      </c>
      <c r="E108" t="s">
        <v>26</v>
      </c>
      <c r="F108" s="2" t="s">
        <v>34</v>
      </c>
      <c r="G108" t="s">
        <v>28</v>
      </c>
      <c r="H108" s="3">
        <v>0.3</v>
      </c>
      <c r="I108" s="2" t="s">
        <v>42</v>
      </c>
      <c r="J108" s="3">
        <v>0.28789999999999999</v>
      </c>
      <c r="K108" s="3">
        <v>0.28000000000000003</v>
      </c>
      <c r="L108" s="3">
        <v>0.19400000000000001</v>
      </c>
      <c r="M108">
        <v>7</v>
      </c>
      <c r="N108">
        <v>55</v>
      </c>
      <c r="O108">
        <v>62</v>
      </c>
    </row>
    <row r="109" spans="1:15" hidden="1" x14ac:dyDescent="0.3">
      <c r="A109">
        <v>108</v>
      </c>
      <c r="B109" s="1">
        <v>40548</v>
      </c>
      <c r="C109">
        <v>16</v>
      </c>
      <c r="D109" s="2" t="s">
        <v>45</v>
      </c>
      <c r="E109" t="s">
        <v>26</v>
      </c>
      <c r="F109" s="2" t="s">
        <v>34</v>
      </c>
      <c r="G109" t="s">
        <v>28</v>
      </c>
      <c r="H109" s="3">
        <v>0.3</v>
      </c>
      <c r="I109" s="2" t="s">
        <v>42</v>
      </c>
      <c r="J109" s="3">
        <v>0.31819999999999998</v>
      </c>
      <c r="K109" s="3">
        <v>0.28000000000000003</v>
      </c>
      <c r="L109" s="3">
        <v>8.9599999999999999E-2</v>
      </c>
      <c r="M109">
        <v>4</v>
      </c>
      <c r="N109">
        <v>85</v>
      </c>
      <c r="O109">
        <v>89</v>
      </c>
    </row>
    <row r="110" spans="1:15" hidden="1" x14ac:dyDescent="0.3">
      <c r="A110">
        <v>109</v>
      </c>
      <c r="B110" s="1">
        <v>40548</v>
      </c>
      <c r="C110">
        <v>17</v>
      </c>
      <c r="D110" s="2" t="s">
        <v>47</v>
      </c>
      <c r="E110" t="s">
        <v>26</v>
      </c>
      <c r="F110" s="2" t="s">
        <v>34</v>
      </c>
      <c r="G110" t="s">
        <v>28</v>
      </c>
      <c r="H110" s="3">
        <v>0.24</v>
      </c>
      <c r="I110" s="2" t="s">
        <v>42</v>
      </c>
      <c r="J110" s="3">
        <v>0.2273</v>
      </c>
      <c r="K110" s="3">
        <v>0.38</v>
      </c>
      <c r="L110" s="3">
        <v>0.19400000000000001</v>
      </c>
      <c r="M110">
        <v>4</v>
      </c>
      <c r="N110">
        <v>186</v>
      </c>
      <c r="O110">
        <v>190</v>
      </c>
    </row>
    <row r="111" spans="1:15" hidden="1" x14ac:dyDescent="0.3">
      <c r="A111">
        <v>110</v>
      </c>
      <c r="B111" s="1">
        <v>40548</v>
      </c>
      <c r="C111">
        <v>18</v>
      </c>
      <c r="D111" s="2" t="s">
        <v>47</v>
      </c>
      <c r="E111" t="s">
        <v>26</v>
      </c>
      <c r="F111" s="2" t="s">
        <v>34</v>
      </c>
      <c r="G111" t="s">
        <v>28</v>
      </c>
      <c r="H111" s="3">
        <v>0.24</v>
      </c>
      <c r="I111" s="2" t="s">
        <v>42</v>
      </c>
      <c r="J111" s="3">
        <v>0.2424</v>
      </c>
      <c r="K111" s="3">
        <v>0.38</v>
      </c>
      <c r="L111" s="3">
        <v>0.1343</v>
      </c>
      <c r="M111">
        <v>3</v>
      </c>
      <c r="N111">
        <v>166</v>
      </c>
      <c r="O111">
        <v>169</v>
      </c>
    </row>
    <row r="112" spans="1:15" hidden="1" x14ac:dyDescent="0.3">
      <c r="A112">
        <v>111</v>
      </c>
      <c r="B112" s="1">
        <v>40548</v>
      </c>
      <c r="C112">
        <v>19</v>
      </c>
      <c r="D112" s="2" t="s">
        <v>47</v>
      </c>
      <c r="E112" t="s">
        <v>26</v>
      </c>
      <c r="F112" s="2" t="s">
        <v>34</v>
      </c>
      <c r="G112" t="s">
        <v>28</v>
      </c>
      <c r="H112" s="3">
        <v>0.24</v>
      </c>
      <c r="I112" s="2" t="s">
        <v>42</v>
      </c>
      <c r="J112" s="3">
        <v>0.2576</v>
      </c>
      <c r="K112" s="3">
        <v>0.38</v>
      </c>
      <c r="L112" s="3">
        <v>0.1045</v>
      </c>
      <c r="M112">
        <v>5</v>
      </c>
      <c r="N112">
        <v>127</v>
      </c>
      <c r="O112">
        <v>132</v>
      </c>
    </row>
    <row r="113" spans="1:15" hidden="1" x14ac:dyDescent="0.3">
      <c r="A113">
        <v>112</v>
      </c>
      <c r="B113" s="1">
        <v>40548</v>
      </c>
      <c r="C113">
        <v>20</v>
      </c>
      <c r="D113" s="2" t="s">
        <v>47</v>
      </c>
      <c r="E113" t="s">
        <v>26</v>
      </c>
      <c r="F113" s="2" t="s">
        <v>34</v>
      </c>
      <c r="G113" t="s">
        <v>28</v>
      </c>
      <c r="H113" s="3">
        <v>0.22</v>
      </c>
      <c r="I113" s="2" t="s">
        <v>42</v>
      </c>
      <c r="J113" s="3">
        <v>0.2273</v>
      </c>
      <c r="K113" s="3">
        <v>0.47</v>
      </c>
      <c r="L113" s="3">
        <v>0.16420000000000001</v>
      </c>
      <c r="M113">
        <v>7</v>
      </c>
      <c r="N113">
        <v>82</v>
      </c>
      <c r="O113">
        <v>89</v>
      </c>
    </row>
    <row r="114" spans="1:15" hidden="1" x14ac:dyDescent="0.3">
      <c r="A114">
        <v>113</v>
      </c>
      <c r="B114" s="1">
        <v>40548</v>
      </c>
      <c r="C114">
        <v>21</v>
      </c>
      <c r="D114" s="2" t="s">
        <v>41</v>
      </c>
      <c r="E114" t="s">
        <v>26</v>
      </c>
      <c r="F114" s="2" t="s">
        <v>34</v>
      </c>
      <c r="G114" t="s">
        <v>28</v>
      </c>
      <c r="H114" s="3">
        <v>0.2</v>
      </c>
      <c r="I114" s="2" t="s">
        <v>44</v>
      </c>
      <c r="J114" s="3">
        <v>0.19700000000000001</v>
      </c>
      <c r="K114" s="3">
        <v>0.51</v>
      </c>
      <c r="L114" s="3">
        <v>0.19400000000000001</v>
      </c>
      <c r="M114">
        <v>3</v>
      </c>
      <c r="N114">
        <v>40</v>
      </c>
      <c r="O114">
        <v>43</v>
      </c>
    </row>
    <row r="115" spans="1:15" hidden="1" x14ac:dyDescent="0.3">
      <c r="A115">
        <v>114</v>
      </c>
      <c r="B115" s="1">
        <v>40548</v>
      </c>
      <c r="C115">
        <v>22</v>
      </c>
      <c r="D115" s="2" t="s">
        <v>41</v>
      </c>
      <c r="E115" t="s">
        <v>26</v>
      </c>
      <c r="F115" s="2" t="s">
        <v>34</v>
      </c>
      <c r="G115" t="s">
        <v>28</v>
      </c>
      <c r="H115" s="3">
        <v>0.18</v>
      </c>
      <c r="I115" s="2" t="s">
        <v>44</v>
      </c>
      <c r="J115" s="3">
        <v>0.19700000000000001</v>
      </c>
      <c r="K115" s="3">
        <v>0.55000000000000004</v>
      </c>
      <c r="L115" s="3">
        <v>0.1343</v>
      </c>
      <c r="M115">
        <v>1</v>
      </c>
      <c r="N115">
        <v>41</v>
      </c>
      <c r="O115">
        <v>42</v>
      </c>
    </row>
    <row r="116" spans="1:15" hidden="1" x14ac:dyDescent="0.3">
      <c r="A116">
        <v>115</v>
      </c>
      <c r="B116" s="1">
        <v>40548</v>
      </c>
      <c r="C116">
        <v>23</v>
      </c>
      <c r="D116" s="2" t="s">
        <v>41</v>
      </c>
      <c r="E116" t="s">
        <v>26</v>
      </c>
      <c r="F116" s="2" t="s">
        <v>34</v>
      </c>
      <c r="G116" t="s">
        <v>28</v>
      </c>
      <c r="H116" s="3">
        <v>0.2</v>
      </c>
      <c r="I116" s="2" t="s">
        <v>44</v>
      </c>
      <c r="J116" s="3">
        <v>0.2576</v>
      </c>
      <c r="K116" s="3">
        <v>0.47</v>
      </c>
      <c r="L116" s="3">
        <v>0</v>
      </c>
      <c r="M116">
        <v>1</v>
      </c>
      <c r="N116">
        <v>18</v>
      </c>
      <c r="O116">
        <v>19</v>
      </c>
    </row>
    <row r="117" spans="1:15" hidden="1" x14ac:dyDescent="0.3">
      <c r="A117">
        <v>116</v>
      </c>
      <c r="B117" s="1">
        <v>40549</v>
      </c>
      <c r="C117">
        <v>0</v>
      </c>
      <c r="D117" s="2" t="s">
        <v>41</v>
      </c>
      <c r="E117" t="s">
        <v>26</v>
      </c>
      <c r="F117" s="2" t="s">
        <v>35</v>
      </c>
      <c r="G117" t="s">
        <v>28</v>
      </c>
      <c r="H117" s="3">
        <v>0.18</v>
      </c>
      <c r="I117" s="2" t="s">
        <v>44</v>
      </c>
      <c r="J117" s="3">
        <v>0.2424</v>
      </c>
      <c r="K117" s="3">
        <v>0.55000000000000004</v>
      </c>
      <c r="L117" s="3">
        <v>0</v>
      </c>
      <c r="M117">
        <v>0</v>
      </c>
      <c r="N117">
        <v>11</v>
      </c>
      <c r="O117">
        <v>11</v>
      </c>
    </row>
    <row r="118" spans="1:15" hidden="1" x14ac:dyDescent="0.3">
      <c r="A118">
        <v>117</v>
      </c>
      <c r="B118" s="1">
        <v>40549</v>
      </c>
      <c r="C118">
        <v>1</v>
      </c>
      <c r="D118" s="2" t="s">
        <v>41</v>
      </c>
      <c r="E118" t="s">
        <v>26</v>
      </c>
      <c r="F118" s="2" t="s">
        <v>35</v>
      </c>
      <c r="G118" t="s">
        <v>28</v>
      </c>
      <c r="H118" s="3">
        <v>0.16</v>
      </c>
      <c r="I118" s="2" t="s">
        <v>44</v>
      </c>
      <c r="J118" s="3">
        <v>0.2273</v>
      </c>
      <c r="K118" s="3">
        <v>0.64</v>
      </c>
      <c r="L118" s="3">
        <v>0</v>
      </c>
      <c r="M118">
        <v>0</v>
      </c>
      <c r="N118">
        <v>4</v>
      </c>
      <c r="O118">
        <v>4</v>
      </c>
    </row>
    <row r="119" spans="1:15" hidden="1" x14ac:dyDescent="0.3">
      <c r="A119">
        <v>118</v>
      </c>
      <c r="B119" s="1">
        <v>40549</v>
      </c>
      <c r="C119">
        <v>2</v>
      </c>
      <c r="D119" s="2" t="s">
        <v>41</v>
      </c>
      <c r="E119" t="s">
        <v>26</v>
      </c>
      <c r="F119" s="2" t="s">
        <v>35</v>
      </c>
      <c r="G119" t="s">
        <v>28</v>
      </c>
      <c r="H119" s="3">
        <v>0.16</v>
      </c>
      <c r="I119" s="2" t="s">
        <v>44</v>
      </c>
      <c r="J119" s="3">
        <v>0.2273</v>
      </c>
      <c r="K119" s="3">
        <v>0.64</v>
      </c>
      <c r="L119" s="3">
        <v>0</v>
      </c>
      <c r="M119">
        <v>0</v>
      </c>
      <c r="N119">
        <v>2</v>
      </c>
      <c r="O119">
        <v>2</v>
      </c>
    </row>
    <row r="120" spans="1:15" hidden="1" x14ac:dyDescent="0.3">
      <c r="A120">
        <v>119</v>
      </c>
      <c r="B120" s="1">
        <v>40549</v>
      </c>
      <c r="C120">
        <v>4</v>
      </c>
      <c r="D120" s="2" t="s">
        <v>41</v>
      </c>
      <c r="E120" t="s">
        <v>26</v>
      </c>
      <c r="F120" s="2" t="s">
        <v>35</v>
      </c>
      <c r="G120" t="s">
        <v>29</v>
      </c>
      <c r="H120" s="3">
        <v>0.16</v>
      </c>
      <c r="I120" s="2" t="s">
        <v>44</v>
      </c>
      <c r="J120" s="3">
        <v>0.19700000000000001</v>
      </c>
      <c r="K120" s="3">
        <v>0.64</v>
      </c>
      <c r="L120" s="3">
        <v>8.9599999999999999E-2</v>
      </c>
      <c r="M120">
        <v>0</v>
      </c>
      <c r="N120">
        <v>1</v>
      </c>
      <c r="O120">
        <v>1</v>
      </c>
    </row>
    <row r="121" spans="1:15" x14ac:dyDescent="0.3">
      <c r="A121">
        <v>120</v>
      </c>
      <c r="B121" s="1">
        <v>40549</v>
      </c>
      <c r="C121">
        <v>5</v>
      </c>
      <c r="D121" s="2" t="s">
        <v>43</v>
      </c>
      <c r="E121" t="s">
        <v>26</v>
      </c>
      <c r="F121" s="2" t="s">
        <v>35</v>
      </c>
      <c r="G121" t="s">
        <v>29</v>
      </c>
      <c r="H121" s="3">
        <v>0.14000000000000001</v>
      </c>
      <c r="I121" s="2" t="s">
        <v>44</v>
      </c>
      <c r="J121" s="3">
        <v>0.18179999999999999</v>
      </c>
      <c r="K121" s="3">
        <v>0.69</v>
      </c>
      <c r="L121" s="3">
        <v>8.9599999999999999E-2</v>
      </c>
      <c r="M121">
        <v>0</v>
      </c>
      <c r="N121">
        <v>4</v>
      </c>
      <c r="O121">
        <v>4</v>
      </c>
    </row>
    <row r="122" spans="1:15" x14ac:dyDescent="0.3">
      <c r="A122">
        <v>121</v>
      </c>
      <c r="B122" s="1">
        <v>40549</v>
      </c>
      <c r="C122">
        <v>6</v>
      </c>
      <c r="D122" s="2" t="s">
        <v>43</v>
      </c>
      <c r="E122" t="s">
        <v>26</v>
      </c>
      <c r="F122" s="2" t="s">
        <v>35</v>
      </c>
      <c r="G122" t="s">
        <v>29</v>
      </c>
      <c r="H122" s="3">
        <v>0.14000000000000001</v>
      </c>
      <c r="I122" s="2" t="s">
        <v>44</v>
      </c>
      <c r="J122" s="3">
        <v>0.16669999999999999</v>
      </c>
      <c r="K122" s="3">
        <v>0.63</v>
      </c>
      <c r="L122" s="3">
        <v>0.1045</v>
      </c>
      <c r="M122">
        <v>0</v>
      </c>
      <c r="N122">
        <v>36</v>
      </c>
      <c r="O122">
        <v>36</v>
      </c>
    </row>
    <row r="123" spans="1:15" x14ac:dyDescent="0.3">
      <c r="A123">
        <v>122</v>
      </c>
      <c r="B123" s="1">
        <v>40549</v>
      </c>
      <c r="C123">
        <v>7</v>
      </c>
      <c r="D123" s="2" t="s">
        <v>43</v>
      </c>
      <c r="E123" t="s">
        <v>26</v>
      </c>
      <c r="F123" s="2" t="s">
        <v>35</v>
      </c>
      <c r="G123" t="s">
        <v>29</v>
      </c>
      <c r="H123" s="3">
        <v>0.16</v>
      </c>
      <c r="I123" s="2" t="s">
        <v>44</v>
      </c>
      <c r="J123" s="3">
        <v>0.2273</v>
      </c>
      <c r="K123" s="3">
        <v>0.59</v>
      </c>
      <c r="L123" s="3">
        <v>0</v>
      </c>
      <c r="M123">
        <v>0</v>
      </c>
      <c r="N123">
        <v>95</v>
      </c>
      <c r="O123">
        <v>95</v>
      </c>
    </row>
    <row r="124" spans="1:15" x14ac:dyDescent="0.3">
      <c r="A124">
        <v>123</v>
      </c>
      <c r="B124" s="1">
        <v>40549</v>
      </c>
      <c r="C124">
        <v>8</v>
      </c>
      <c r="D124" s="2" t="s">
        <v>43</v>
      </c>
      <c r="E124" t="s">
        <v>26</v>
      </c>
      <c r="F124" s="2" t="s">
        <v>35</v>
      </c>
      <c r="G124" t="s">
        <v>28</v>
      </c>
      <c r="H124" s="3">
        <v>0.16</v>
      </c>
      <c r="I124" s="2" t="s">
        <v>44</v>
      </c>
      <c r="J124" s="3">
        <v>0.2273</v>
      </c>
      <c r="K124" s="3">
        <v>0.59</v>
      </c>
      <c r="L124" s="3">
        <v>0</v>
      </c>
      <c r="M124">
        <v>3</v>
      </c>
      <c r="N124">
        <v>216</v>
      </c>
      <c r="O124">
        <v>219</v>
      </c>
    </row>
    <row r="125" spans="1:15" x14ac:dyDescent="0.3">
      <c r="A125">
        <v>124</v>
      </c>
      <c r="B125" s="1">
        <v>40549</v>
      </c>
      <c r="C125">
        <v>9</v>
      </c>
      <c r="D125" s="2" t="s">
        <v>43</v>
      </c>
      <c r="E125" t="s">
        <v>26</v>
      </c>
      <c r="F125" s="2" t="s">
        <v>35</v>
      </c>
      <c r="G125" t="s">
        <v>29</v>
      </c>
      <c r="H125" s="3">
        <v>0.18</v>
      </c>
      <c r="I125" s="2" t="s">
        <v>44</v>
      </c>
      <c r="J125" s="3">
        <v>0.2424</v>
      </c>
      <c r="K125" s="3">
        <v>0.51</v>
      </c>
      <c r="L125" s="3">
        <v>0</v>
      </c>
      <c r="M125">
        <v>6</v>
      </c>
      <c r="N125">
        <v>116</v>
      </c>
      <c r="O125">
        <v>122</v>
      </c>
    </row>
    <row r="126" spans="1:15" x14ac:dyDescent="0.3">
      <c r="A126">
        <v>125</v>
      </c>
      <c r="B126" s="1">
        <v>40549</v>
      </c>
      <c r="C126">
        <v>10</v>
      </c>
      <c r="D126" s="2" t="s">
        <v>43</v>
      </c>
      <c r="E126" t="s">
        <v>26</v>
      </c>
      <c r="F126" s="2" t="s">
        <v>35</v>
      </c>
      <c r="G126" t="s">
        <v>28</v>
      </c>
      <c r="H126" s="3">
        <v>0.2</v>
      </c>
      <c r="I126" s="2" t="s">
        <v>44</v>
      </c>
      <c r="J126" s="3">
        <v>0.2576</v>
      </c>
      <c r="K126" s="3">
        <v>0.47</v>
      </c>
      <c r="L126" s="3">
        <v>0</v>
      </c>
      <c r="M126">
        <v>3</v>
      </c>
      <c r="N126">
        <v>42</v>
      </c>
      <c r="O126">
        <v>45</v>
      </c>
    </row>
    <row r="127" spans="1:15" x14ac:dyDescent="0.3">
      <c r="A127">
        <v>126</v>
      </c>
      <c r="B127" s="1">
        <v>40549</v>
      </c>
      <c r="C127">
        <v>11</v>
      </c>
      <c r="D127" s="2" t="s">
        <v>43</v>
      </c>
      <c r="E127" t="s">
        <v>26</v>
      </c>
      <c r="F127" s="2" t="s">
        <v>35</v>
      </c>
      <c r="G127" t="s">
        <v>28</v>
      </c>
      <c r="H127" s="3">
        <v>0.22</v>
      </c>
      <c r="I127" s="2" t="s">
        <v>42</v>
      </c>
      <c r="J127" s="3">
        <v>0.2576</v>
      </c>
      <c r="K127" s="3">
        <v>0.44</v>
      </c>
      <c r="L127" s="3">
        <v>8.9599999999999999E-2</v>
      </c>
      <c r="M127">
        <v>2</v>
      </c>
      <c r="N127">
        <v>57</v>
      </c>
      <c r="O127">
        <v>59</v>
      </c>
    </row>
    <row r="128" spans="1:15" hidden="1" x14ac:dyDescent="0.3">
      <c r="A128">
        <v>127</v>
      </c>
      <c r="B128" s="1">
        <v>40549</v>
      </c>
      <c r="C128">
        <v>12</v>
      </c>
      <c r="D128" s="2" t="s">
        <v>45</v>
      </c>
      <c r="E128" t="s">
        <v>26</v>
      </c>
      <c r="F128" s="2" t="s">
        <v>35</v>
      </c>
      <c r="G128" t="s">
        <v>28</v>
      </c>
      <c r="H128" s="3">
        <v>0.26</v>
      </c>
      <c r="I128" s="2" t="s">
        <v>42</v>
      </c>
      <c r="J128" s="3">
        <v>0.28789999999999999</v>
      </c>
      <c r="K128" s="3">
        <v>0.35</v>
      </c>
      <c r="L128" s="3">
        <v>0</v>
      </c>
      <c r="M128">
        <v>6</v>
      </c>
      <c r="N128">
        <v>78</v>
      </c>
      <c r="O128">
        <v>84</v>
      </c>
    </row>
    <row r="129" spans="1:15" hidden="1" x14ac:dyDescent="0.3">
      <c r="A129">
        <v>128</v>
      </c>
      <c r="B129" s="1">
        <v>40549</v>
      </c>
      <c r="C129">
        <v>13</v>
      </c>
      <c r="D129" s="2" t="s">
        <v>45</v>
      </c>
      <c r="E129" t="s">
        <v>26</v>
      </c>
      <c r="F129" s="2" t="s">
        <v>35</v>
      </c>
      <c r="G129" t="s">
        <v>28</v>
      </c>
      <c r="H129" s="3">
        <v>0.26</v>
      </c>
      <c r="I129" s="2" t="s">
        <v>42</v>
      </c>
      <c r="J129" s="3">
        <v>0.2727</v>
      </c>
      <c r="K129" s="3">
        <v>0.35</v>
      </c>
      <c r="L129" s="3">
        <v>0.1045</v>
      </c>
      <c r="M129">
        <v>12</v>
      </c>
      <c r="N129">
        <v>55</v>
      </c>
      <c r="O129">
        <v>67</v>
      </c>
    </row>
    <row r="130" spans="1:15" hidden="1" x14ac:dyDescent="0.3">
      <c r="A130">
        <v>129</v>
      </c>
      <c r="B130" s="1">
        <v>40549</v>
      </c>
      <c r="C130">
        <v>14</v>
      </c>
      <c r="D130" s="2" t="s">
        <v>45</v>
      </c>
      <c r="E130" t="s">
        <v>26</v>
      </c>
      <c r="F130" s="2" t="s">
        <v>35</v>
      </c>
      <c r="G130" t="s">
        <v>28</v>
      </c>
      <c r="H130" s="3">
        <v>0.28000000000000003</v>
      </c>
      <c r="I130" s="2" t="s">
        <v>42</v>
      </c>
      <c r="J130" s="3">
        <v>0.2727</v>
      </c>
      <c r="K130" s="3">
        <v>0.36</v>
      </c>
      <c r="L130" s="3">
        <v>0.16420000000000001</v>
      </c>
      <c r="M130">
        <v>11</v>
      </c>
      <c r="N130">
        <v>59</v>
      </c>
      <c r="O130">
        <v>70</v>
      </c>
    </row>
    <row r="131" spans="1:15" hidden="1" x14ac:dyDescent="0.3">
      <c r="A131">
        <v>130</v>
      </c>
      <c r="B131" s="1">
        <v>40549</v>
      </c>
      <c r="C131">
        <v>15</v>
      </c>
      <c r="D131" s="2" t="s">
        <v>45</v>
      </c>
      <c r="E131" t="s">
        <v>26</v>
      </c>
      <c r="F131" s="2" t="s">
        <v>35</v>
      </c>
      <c r="G131" t="s">
        <v>28</v>
      </c>
      <c r="H131" s="3">
        <v>0.28000000000000003</v>
      </c>
      <c r="I131" s="2" t="s">
        <v>42</v>
      </c>
      <c r="J131" s="3">
        <v>0.2727</v>
      </c>
      <c r="K131" s="3">
        <v>0.36</v>
      </c>
      <c r="L131" s="3">
        <v>0</v>
      </c>
      <c r="M131">
        <v>8</v>
      </c>
      <c r="N131">
        <v>54</v>
      </c>
      <c r="O131">
        <v>62</v>
      </c>
    </row>
    <row r="132" spans="1:15" hidden="1" x14ac:dyDescent="0.3">
      <c r="A132">
        <v>131</v>
      </c>
      <c r="B132" s="1">
        <v>40549</v>
      </c>
      <c r="C132">
        <v>16</v>
      </c>
      <c r="D132" s="2" t="s">
        <v>45</v>
      </c>
      <c r="E132" t="s">
        <v>26</v>
      </c>
      <c r="F132" s="2" t="s">
        <v>35</v>
      </c>
      <c r="G132" t="s">
        <v>28</v>
      </c>
      <c r="H132" s="3">
        <v>0.26</v>
      </c>
      <c r="I132" s="2" t="s">
        <v>42</v>
      </c>
      <c r="J132" s="3">
        <v>0.2576</v>
      </c>
      <c r="K132" s="3">
        <v>0.38</v>
      </c>
      <c r="L132" s="3">
        <v>0.16420000000000001</v>
      </c>
      <c r="M132">
        <v>12</v>
      </c>
      <c r="N132">
        <v>74</v>
      </c>
      <c r="O132">
        <v>86</v>
      </c>
    </row>
    <row r="133" spans="1:15" hidden="1" x14ac:dyDescent="0.3">
      <c r="A133">
        <v>132</v>
      </c>
      <c r="B133" s="1">
        <v>40549</v>
      </c>
      <c r="C133">
        <v>17</v>
      </c>
      <c r="D133" s="2" t="s">
        <v>47</v>
      </c>
      <c r="E133" t="s">
        <v>26</v>
      </c>
      <c r="F133" s="2" t="s">
        <v>35</v>
      </c>
      <c r="G133" t="s">
        <v>28</v>
      </c>
      <c r="H133" s="3">
        <v>0.22</v>
      </c>
      <c r="I133" s="2" t="s">
        <v>42</v>
      </c>
      <c r="J133" s="3">
        <v>0.2273</v>
      </c>
      <c r="K133" s="3">
        <v>0.51</v>
      </c>
      <c r="L133" s="3">
        <v>0.16420000000000001</v>
      </c>
      <c r="M133">
        <v>9</v>
      </c>
      <c r="N133">
        <v>163</v>
      </c>
      <c r="O133">
        <v>172</v>
      </c>
    </row>
    <row r="134" spans="1:15" hidden="1" x14ac:dyDescent="0.3">
      <c r="A134">
        <v>133</v>
      </c>
      <c r="B134" s="1">
        <v>40549</v>
      </c>
      <c r="C134">
        <v>18</v>
      </c>
      <c r="D134" s="2" t="s">
        <v>47</v>
      </c>
      <c r="E134" t="s">
        <v>26</v>
      </c>
      <c r="F134" s="2" t="s">
        <v>35</v>
      </c>
      <c r="G134" t="s">
        <v>28</v>
      </c>
      <c r="H134" s="3">
        <v>0.22</v>
      </c>
      <c r="I134" s="2" t="s">
        <v>42</v>
      </c>
      <c r="J134" s="3">
        <v>0.2273</v>
      </c>
      <c r="K134" s="3">
        <v>0.51</v>
      </c>
      <c r="L134" s="3">
        <v>0.1343</v>
      </c>
      <c r="M134">
        <v>5</v>
      </c>
      <c r="N134">
        <v>158</v>
      </c>
      <c r="O134">
        <v>163</v>
      </c>
    </row>
    <row r="135" spans="1:15" hidden="1" x14ac:dyDescent="0.3">
      <c r="A135">
        <v>134</v>
      </c>
      <c r="B135" s="1">
        <v>40549</v>
      </c>
      <c r="C135">
        <v>19</v>
      </c>
      <c r="D135" s="2" t="s">
        <v>47</v>
      </c>
      <c r="E135" t="s">
        <v>26</v>
      </c>
      <c r="F135" s="2" t="s">
        <v>35</v>
      </c>
      <c r="G135" t="s">
        <v>28</v>
      </c>
      <c r="H135" s="3">
        <v>0.22</v>
      </c>
      <c r="I135" s="2" t="s">
        <v>42</v>
      </c>
      <c r="J135" s="3">
        <v>0.2576</v>
      </c>
      <c r="K135" s="3">
        <v>0.55000000000000004</v>
      </c>
      <c r="L135" s="3">
        <v>8.9599999999999999E-2</v>
      </c>
      <c r="M135">
        <v>3</v>
      </c>
      <c r="N135">
        <v>109</v>
      </c>
      <c r="O135">
        <v>112</v>
      </c>
    </row>
    <row r="136" spans="1:15" hidden="1" x14ac:dyDescent="0.3">
      <c r="A136">
        <v>135</v>
      </c>
      <c r="B136" s="1">
        <v>40549</v>
      </c>
      <c r="C136">
        <v>20</v>
      </c>
      <c r="D136" s="2" t="s">
        <v>47</v>
      </c>
      <c r="E136" t="s">
        <v>26</v>
      </c>
      <c r="F136" s="2" t="s">
        <v>35</v>
      </c>
      <c r="G136" t="s">
        <v>28</v>
      </c>
      <c r="H136" s="3">
        <v>0.2</v>
      </c>
      <c r="I136" s="2" t="s">
        <v>44</v>
      </c>
      <c r="J136" s="3">
        <v>0.21210000000000001</v>
      </c>
      <c r="K136" s="3">
        <v>0.51</v>
      </c>
      <c r="L136" s="3">
        <v>0.16420000000000001</v>
      </c>
      <c r="M136">
        <v>3</v>
      </c>
      <c r="N136">
        <v>66</v>
      </c>
      <c r="O136">
        <v>69</v>
      </c>
    </row>
    <row r="137" spans="1:15" hidden="1" x14ac:dyDescent="0.3">
      <c r="A137">
        <v>136</v>
      </c>
      <c r="B137" s="1">
        <v>40549</v>
      </c>
      <c r="C137">
        <v>21</v>
      </c>
      <c r="D137" s="2" t="s">
        <v>41</v>
      </c>
      <c r="E137" t="s">
        <v>26</v>
      </c>
      <c r="F137" s="2" t="s">
        <v>35</v>
      </c>
      <c r="G137" t="s">
        <v>29</v>
      </c>
      <c r="H137" s="3">
        <v>0.22</v>
      </c>
      <c r="I137" s="2" t="s">
        <v>42</v>
      </c>
      <c r="J137" s="3">
        <v>0.21210000000000001</v>
      </c>
      <c r="K137" s="3">
        <v>0.55000000000000004</v>
      </c>
      <c r="L137" s="3">
        <v>0.22389999999999999</v>
      </c>
      <c r="M137">
        <v>0</v>
      </c>
      <c r="N137">
        <v>48</v>
      </c>
      <c r="O137">
        <v>48</v>
      </c>
    </row>
    <row r="138" spans="1:15" hidden="1" x14ac:dyDescent="0.3">
      <c r="A138">
        <v>137</v>
      </c>
      <c r="B138" s="1">
        <v>40549</v>
      </c>
      <c r="C138">
        <v>22</v>
      </c>
      <c r="D138" s="2" t="s">
        <v>41</v>
      </c>
      <c r="E138" t="s">
        <v>26</v>
      </c>
      <c r="F138" s="2" t="s">
        <v>35</v>
      </c>
      <c r="G138" t="s">
        <v>29</v>
      </c>
      <c r="H138" s="3">
        <v>0.22</v>
      </c>
      <c r="I138" s="2" t="s">
        <v>42</v>
      </c>
      <c r="J138" s="3">
        <v>0.21210000000000001</v>
      </c>
      <c r="K138" s="3">
        <v>0.51</v>
      </c>
      <c r="L138" s="3">
        <v>0.28360000000000002</v>
      </c>
      <c r="M138">
        <v>1</v>
      </c>
      <c r="N138">
        <v>51</v>
      </c>
      <c r="O138">
        <v>52</v>
      </c>
    </row>
    <row r="139" spans="1:15" hidden="1" x14ac:dyDescent="0.3">
      <c r="A139">
        <v>138</v>
      </c>
      <c r="B139" s="1">
        <v>40549</v>
      </c>
      <c r="C139">
        <v>23</v>
      </c>
      <c r="D139" s="2" t="s">
        <v>41</v>
      </c>
      <c r="E139" t="s">
        <v>26</v>
      </c>
      <c r="F139" s="2" t="s">
        <v>35</v>
      </c>
      <c r="G139" t="s">
        <v>29</v>
      </c>
      <c r="H139" s="3">
        <v>0.2</v>
      </c>
      <c r="I139" s="2" t="s">
        <v>44</v>
      </c>
      <c r="J139" s="3">
        <v>0.19700000000000001</v>
      </c>
      <c r="K139" s="3">
        <v>0.59</v>
      </c>
      <c r="L139" s="3">
        <v>0.19400000000000001</v>
      </c>
      <c r="M139">
        <v>4</v>
      </c>
      <c r="N139">
        <v>19</v>
      </c>
      <c r="O139">
        <v>23</v>
      </c>
    </row>
    <row r="140" spans="1:15" hidden="1" x14ac:dyDescent="0.3">
      <c r="A140">
        <v>139</v>
      </c>
      <c r="B140" s="1">
        <v>40550</v>
      </c>
      <c r="C140">
        <v>0</v>
      </c>
      <c r="D140" s="2" t="s">
        <v>41</v>
      </c>
      <c r="E140" t="s">
        <v>26</v>
      </c>
      <c r="F140" s="2" t="s">
        <v>36</v>
      </c>
      <c r="G140" t="s">
        <v>29</v>
      </c>
      <c r="H140" s="3">
        <v>0.2</v>
      </c>
      <c r="I140" s="2" t="s">
        <v>44</v>
      </c>
      <c r="J140" s="3">
        <v>0.19700000000000001</v>
      </c>
      <c r="K140" s="3">
        <v>0.64</v>
      </c>
      <c r="L140" s="3">
        <v>0.19400000000000001</v>
      </c>
      <c r="M140">
        <v>4</v>
      </c>
      <c r="N140">
        <v>13</v>
      </c>
      <c r="O140">
        <v>17</v>
      </c>
    </row>
    <row r="141" spans="1:15" hidden="1" x14ac:dyDescent="0.3">
      <c r="A141">
        <v>140</v>
      </c>
      <c r="B141" s="1">
        <v>40550</v>
      </c>
      <c r="C141">
        <v>1</v>
      </c>
      <c r="D141" s="2" t="s">
        <v>41</v>
      </c>
      <c r="E141" t="s">
        <v>26</v>
      </c>
      <c r="F141" s="2" t="s">
        <v>36</v>
      </c>
      <c r="G141" t="s">
        <v>29</v>
      </c>
      <c r="H141" s="3">
        <v>0.2</v>
      </c>
      <c r="I141" s="2" t="s">
        <v>44</v>
      </c>
      <c r="J141" s="3">
        <v>0.19700000000000001</v>
      </c>
      <c r="K141" s="3">
        <v>0.69</v>
      </c>
      <c r="L141" s="3">
        <v>0.22389999999999999</v>
      </c>
      <c r="M141">
        <v>2</v>
      </c>
      <c r="N141">
        <v>5</v>
      </c>
      <c r="O141">
        <v>7</v>
      </c>
    </row>
    <row r="142" spans="1:15" hidden="1" x14ac:dyDescent="0.3">
      <c r="A142">
        <v>141</v>
      </c>
      <c r="B142" s="1">
        <v>40550</v>
      </c>
      <c r="C142">
        <v>2</v>
      </c>
      <c r="D142" s="2" t="s">
        <v>41</v>
      </c>
      <c r="E142" t="s">
        <v>26</v>
      </c>
      <c r="F142" s="2" t="s">
        <v>36</v>
      </c>
      <c r="G142" t="s">
        <v>29</v>
      </c>
      <c r="H142" s="3">
        <v>0.2</v>
      </c>
      <c r="I142" s="2" t="s">
        <v>44</v>
      </c>
      <c r="J142" s="3">
        <v>0.19700000000000001</v>
      </c>
      <c r="K142" s="3">
        <v>0.69</v>
      </c>
      <c r="L142" s="3">
        <v>0.22389999999999999</v>
      </c>
      <c r="M142">
        <v>0</v>
      </c>
      <c r="N142">
        <v>1</v>
      </c>
      <c r="O142">
        <v>1</v>
      </c>
    </row>
    <row r="143" spans="1:15" hidden="1" x14ac:dyDescent="0.3">
      <c r="A143">
        <v>142</v>
      </c>
      <c r="B143" s="1">
        <v>40550</v>
      </c>
      <c r="C143">
        <v>4</v>
      </c>
      <c r="D143" s="2" t="s">
        <v>41</v>
      </c>
      <c r="E143" t="s">
        <v>26</v>
      </c>
      <c r="F143" s="2" t="s">
        <v>36</v>
      </c>
      <c r="G143" t="s">
        <v>29</v>
      </c>
      <c r="H143" s="3">
        <v>0.2</v>
      </c>
      <c r="I143" s="2" t="s">
        <v>44</v>
      </c>
      <c r="J143" s="3">
        <v>0.21210000000000001</v>
      </c>
      <c r="K143" s="3">
        <v>0.69</v>
      </c>
      <c r="L143" s="3">
        <v>0.1343</v>
      </c>
      <c r="M143">
        <v>0</v>
      </c>
      <c r="N143">
        <v>1</v>
      </c>
      <c r="O143">
        <v>1</v>
      </c>
    </row>
    <row r="144" spans="1:15" x14ac:dyDescent="0.3">
      <c r="A144">
        <v>143</v>
      </c>
      <c r="B144" s="1">
        <v>40550</v>
      </c>
      <c r="C144">
        <v>5</v>
      </c>
      <c r="D144" s="2" t="s">
        <v>43</v>
      </c>
      <c r="E144" t="s">
        <v>26</v>
      </c>
      <c r="F144" s="2" t="s">
        <v>36</v>
      </c>
      <c r="G144" t="s">
        <v>30</v>
      </c>
      <c r="H144" s="3">
        <v>0.22</v>
      </c>
      <c r="I144" s="2" t="s">
        <v>42</v>
      </c>
      <c r="J144" s="3">
        <v>0.2727</v>
      </c>
      <c r="K144" s="3">
        <v>0.55000000000000004</v>
      </c>
      <c r="L144" s="3">
        <v>0</v>
      </c>
      <c r="M144">
        <v>0</v>
      </c>
      <c r="N144">
        <v>5</v>
      </c>
      <c r="O144">
        <v>5</v>
      </c>
    </row>
    <row r="145" spans="1:15" x14ac:dyDescent="0.3">
      <c r="A145">
        <v>144</v>
      </c>
      <c r="B145" s="1">
        <v>40550</v>
      </c>
      <c r="C145">
        <v>6</v>
      </c>
      <c r="D145" s="2" t="s">
        <v>43</v>
      </c>
      <c r="E145" t="s">
        <v>26</v>
      </c>
      <c r="F145" s="2" t="s">
        <v>36</v>
      </c>
      <c r="G145" t="s">
        <v>29</v>
      </c>
      <c r="H145" s="3">
        <v>0.2</v>
      </c>
      <c r="I145" s="2" t="s">
        <v>44</v>
      </c>
      <c r="J145" s="3">
        <v>0.2576</v>
      </c>
      <c r="K145" s="3">
        <v>0.69</v>
      </c>
      <c r="L145" s="3">
        <v>0</v>
      </c>
      <c r="M145">
        <v>8</v>
      </c>
      <c r="N145">
        <v>26</v>
      </c>
      <c r="O145">
        <v>34</v>
      </c>
    </row>
    <row r="146" spans="1:15" x14ac:dyDescent="0.3">
      <c r="A146">
        <v>145</v>
      </c>
      <c r="B146" s="1">
        <v>40550</v>
      </c>
      <c r="C146">
        <v>7</v>
      </c>
      <c r="D146" s="2" t="s">
        <v>43</v>
      </c>
      <c r="E146" t="s">
        <v>26</v>
      </c>
      <c r="F146" s="2" t="s">
        <v>36</v>
      </c>
      <c r="G146" t="s">
        <v>28</v>
      </c>
      <c r="H146" s="3">
        <v>0.2</v>
      </c>
      <c r="I146" s="2" t="s">
        <v>44</v>
      </c>
      <c r="J146" s="3">
        <v>0.21210000000000001</v>
      </c>
      <c r="K146" s="3">
        <v>0.69</v>
      </c>
      <c r="L146" s="3">
        <v>0.1343</v>
      </c>
      <c r="M146">
        <v>8</v>
      </c>
      <c r="N146">
        <v>76</v>
      </c>
      <c r="O146">
        <v>84</v>
      </c>
    </row>
    <row r="147" spans="1:15" x14ac:dyDescent="0.3">
      <c r="A147">
        <v>146</v>
      </c>
      <c r="B147" s="1">
        <v>40550</v>
      </c>
      <c r="C147">
        <v>8</v>
      </c>
      <c r="D147" s="2" t="s">
        <v>43</v>
      </c>
      <c r="E147" t="s">
        <v>26</v>
      </c>
      <c r="F147" s="2" t="s">
        <v>36</v>
      </c>
      <c r="G147" t="s">
        <v>28</v>
      </c>
      <c r="H147" s="3">
        <v>0.2</v>
      </c>
      <c r="I147" s="2" t="s">
        <v>44</v>
      </c>
      <c r="J147" s="3">
        <v>0.19700000000000001</v>
      </c>
      <c r="K147" s="3">
        <v>0.51</v>
      </c>
      <c r="L147" s="3">
        <v>0.25369999999999998</v>
      </c>
      <c r="M147">
        <v>20</v>
      </c>
      <c r="N147">
        <v>190</v>
      </c>
      <c r="O147">
        <v>210</v>
      </c>
    </row>
    <row r="148" spans="1:15" x14ac:dyDescent="0.3">
      <c r="A148">
        <v>147</v>
      </c>
      <c r="B148" s="1">
        <v>40550</v>
      </c>
      <c r="C148">
        <v>9</v>
      </c>
      <c r="D148" s="2" t="s">
        <v>43</v>
      </c>
      <c r="E148" t="s">
        <v>26</v>
      </c>
      <c r="F148" s="2" t="s">
        <v>36</v>
      </c>
      <c r="G148" t="s">
        <v>28</v>
      </c>
      <c r="H148" s="3">
        <v>0.2</v>
      </c>
      <c r="I148" s="2" t="s">
        <v>44</v>
      </c>
      <c r="J148" s="3">
        <v>0.18179999999999999</v>
      </c>
      <c r="K148" s="3">
        <v>0.47</v>
      </c>
      <c r="L148" s="3">
        <v>0.29849999999999999</v>
      </c>
      <c r="M148">
        <v>9</v>
      </c>
      <c r="N148">
        <v>125</v>
      </c>
      <c r="O148">
        <v>134</v>
      </c>
    </row>
    <row r="149" spans="1:15" x14ac:dyDescent="0.3">
      <c r="A149">
        <v>148</v>
      </c>
      <c r="B149" s="1">
        <v>40550</v>
      </c>
      <c r="C149">
        <v>10</v>
      </c>
      <c r="D149" s="2" t="s">
        <v>43</v>
      </c>
      <c r="E149" t="s">
        <v>26</v>
      </c>
      <c r="F149" s="2" t="s">
        <v>36</v>
      </c>
      <c r="G149" t="s">
        <v>28</v>
      </c>
      <c r="H149" s="3">
        <v>0.22</v>
      </c>
      <c r="I149" s="2" t="s">
        <v>42</v>
      </c>
      <c r="J149" s="3">
        <v>0.19700000000000001</v>
      </c>
      <c r="K149" s="3">
        <v>0.37</v>
      </c>
      <c r="L149" s="3">
        <v>0.32840000000000003</v>
      </c>
      <c r="M149">
        <v>16</v>
      </c>
      <c r="N149">
        <v>47</v>
      </c>
      <c r="O149">
        <v>63</v>
      </c>
    </row>
    <row r="150" spans="1:15" x14ac:dyDescent="0.3">
      <c r="A150">
        <v>149</v>
      </c>
      <c r="B150" s="1">
        <v>40550</v>
      </c>
      <c r="C150">
        <v>11</v>
      </c>
      <c r="D150" s="2" t="s">
        <v>43</v>
      </c>
      <c r="E150" t="s">
        <v>26</v>
      </c>
      <c r="F150" s="2" t="s">
        <v>36</v>
      </c>
      <c r="G150" t="s">
        <v>29</v>
      </c>
      <c r="H150" s="3">
        <v>0.2</v>
      </c>
      <c r="I150" s="2" t="s">
        <v>44</v>
      </c>
      <c r="J150" s="3">
        <v>0.19700000000000001</v>
      </c>
      <c r="K150" s="3">
        <v>0.4</v>
      </c>
      <c r="L150" s="3">
        <v>0.22389999999999999</v>
      </c>
      <c r="M150">
        <v>19</v>
      </c>
      <c r="N150">
        <v>48</v>
      </c>
      <c r="O150">
        <v>67</v>
      </c>
    </row>
    <row r="151" spans="1:15" hidden="1" x14ac:dyDescent="0.3">
      <c r="A151">
        <v>150</v>
      </c>
      <c r="B151" s="1">
        <v>40550</v>
      </c>
      <c r="C151">
        <v>12</v>
      </c>
      <c r="D151" s="2" t="s">
        <v>45</v>
      </c>
      <c r="E151" t="s">
        <v>26</v>
      </c>
      <c r="F151" s="2" t="s">
        <v>36</v>
      </c>
      <c r="G151" t="s">
        <v>29</v>
      </c>
      <c r="H151" s="3">
        <v>0.2</v>
      </c>
      <c r="I151" s="2" t="s">
        <v>44</v>
      </c>
      <c r="J151" s="3">
        <v>0.19700000000000001</v>
      </c>
      <c r="K151" s="3">
        <v>0.37</v>
      </c>
      <c r="L151" s="3">
        <v>0.25369999999999998</v>
      </c>
      <c r="M151">
        <v>9</v>
      </c>
      <c r="N151">
        <v>50</v>
      </c>
      <c r="O151">
        <v>59</v>
      </c>
    </row>
    <row r="152" spans="1:15" hidden="1" x14ac:dyDescent="0.3">
      <c r="A152">
        <v>151</v>
      </c>
      <c r="B152" s="1">
        <v>40550</v>
      </c>
      <c r="C152">
        <v>13</v>
      </c>
      <c r="D152" s="2" t="s">
        <v>45</v>
      </c>
      <c r="E152" t="s">
        <v>26</v>
      </c>
      <c r="F152" s="2" t="s">
        <v>36</v>
      </c>
      <c r="G152" t="s">
        <v>29</v>
      </c>
      <c r="H152" s="3">
        <v>0.2</v>
      </c>
      <c r="I152" s="2" t="s">
        <v>44</v>
      </c>
      <c r="J152" s="3">
        <v>0.18179999999999999</v>
      </c>
      <c r="K152" s="3">
        <v>0.37</v>
      </c>
      <c r="L152" s="3">
        <v>0.28360000000000002</v>
      </c>
      <c r="M152">
        <v>9</v>
      </c>
      <c r="N152">
        <v>64</v>
      </c>
      <c r="O152">
        <v>73</v>
      </c>
    </row>
    <row r="153" spans="1:15" hidden="1" x14ac:dyDescent="0.3">
      <c r="A153">
        <v>152</v>
      </c>
      <c r="B153" s="1">
        <v>40550</v>
      </c>
      <c r="C153">
        <v>14</v>
      </c>
      <c r="D153" s="2" t="s">
        <v>45</v>
      </c>
      <c r="E153" t="s">
        <v>26</v>
      </c>
      <c r="F153" s="2" t="s">
        <v>36</v>
      </c>
      <c r="G153" t="s">
        <v>29</v>
      </c>
      <c r="H153" s="3">
        <v>0.2</v>
      </c>
      <c r="I153" s="2" t="s">
        <v>44</v>
      </c>
      <c r="J153" s="3">
        <v>0.19700000000000001</v>
      </c>
      <c r="K153" s="3">
        <v>0.4</v>
      </c>
      <c r="L153" s="3">
        <v>0.25369999999999998</v>
      </c>
      <c r="M153">
        <v>7</v>
      </c>
      <c r="N153">
        <v>43</v>
      </c>
      <c r="O153">
        <v>50</v>
      </c>
    </row>
    <row r="154" spans="1:15" hidden="1" x14ac:dyDescent="0.3">
      <c r="A154">
        <v>153</v>
      </c>
      <c r="B154" s="1">
        <v>40550</v>
      </c>
      <c r="C154">
        <v>15</v>
      </c>
      <c r="D154" s="2" t="s">
        <v>45</v>
      </c>
      <c r="E154" t="s">
        <v>26</v>
      </c>
      <c r="F154" s="2" t="s">
        <v>36</v>
      </c>
      <c r="G154" t="s">
        <v>29</v>
      </c>
      <c r="H154" s="3">
        <v>0.2</v>
      </c>
      <c r="I154" s="2" t="s">
        <v>44</v>
      </c>
      <c r="J154" s="3">
        <v>0.21210000000000001</v>
      </c>
      <c r="K154" s="3">
        <v>0.37</v>
      </c>
      <c r="L154" s="3">
        <v>0.16420000000000001</v>
      </c>
      <c r="M154">
        <v>9</v>
      </c>
      <c r="N154">
        <v>63</v>
      </c>
      <c r="O154">
        <v>72</v>
      </c>
    </row>
    <row r="155" spans="1:15" hidden="1" x14ac:dyDescent="0.3">
      <c r="A155">
        <v>154</v>
      </c>
      <c r="B155" s="1">
        <v>40550</v>
      </c>
      <c r="C155">
        <v>16</v>
      </c>
      <c r="D155" s="2" t="s">
        <v>45</v>
      </c>
      <c r="E155" t="s">
        <v>26</v>
      </c>
      <c r="F155" s="2" t="s">
        <v>36</v>
      </c>
      <c r="G155" t="s">
        <v>29</v>
      </c>
      <c r="H155" s="3">
        <v>0.2</v>
      </c>
      <c r="I155" s="2" t="s">
        <v>44</v>
      </c>
      <c r="J155" s="3">
        <v>0.21210000000000001</v>
      </c>
      <c r="K155" s="3">
        <v>0.37</v>
      </c>
      <c r="L155" s="3">
        <v>0.16420000000000001</v>
      </c>
      <c r="M155">
        <v>5</v>
      </c>
      <c r="N155">
        <v>82</v>
      </c>
      <c r="O155">
        <v>87</v>
      </c>
    </row>
    <row r="156" spans="1:15" hidden="1" x14ac:dyDescent="0.3">
      <c r="A156">
        <v>155</v>
      </c>
      <c r="B156" s="1">
        <v>40550</v>
      </c>
      <c r="C156">
        <v>17</v>
      </c>
      <c r="D156" s="2" t="s">
        <v>47</v>
      </c>
      <c r="E156" t="s">
        <v>26</v>
      </c>
      <c r="F156" s="2" t="s">
        <v>36</v>
      </c>
      <c r="G156" t="s">
        <v>29</v>
      </c>
      <c r="H156" s="3">
        <v>0.2</v>
      </c>
      <c r="I156" s="2" t="s">
        <v>44</v>
      </c>
      <c r="J156" s="3">
        <v>0.2576</v>
      </c>
      <c r="K156" s="3">
        <v>0.37</v>
      </c>
      <c r="L156" s="3">
        <v>0</v>
      </c>
      <c r="M156">
        <v>9</v>
      </c>
      <c r="N156">
        <v>178</v>
      </c>
      <c r="O156">
        <v>187</v>
      </c>
    </row>
    <row r="157" spans="1:15" hidden="1" x14ac:dyDescent="0.3">
      <c r="A157">
        <v>156</v>
      </c>
      <c r="B157" s="1">
        <v>40550</v>
      </c>
      <c r="C157">
        <v>18</v>
      </c>
      <c r="D157" s="2" t="s">
        <v>47</v>
      </c>
      <c r="E157" t="s">
        <v>26</v>
      </c>
      <c r="F157" s="2" t="s">
        <v>36</v>
      </c>
      <c r="G157" t="s">
        <v>28</v>
      </c>
      <c r="H157" s="3">
        <v>0.2</v>
      </c>
      <c r="I157" s="2" t="s">
        <v>44</v>
      </c>
      <c r="J157" s="3">
        <v>0.2273</v>
      </c>
      <c r="K157" s="3">
        <v>0.4</v>
      </c>
      <c r="L157" s="3">
        <v>8.9599999999999999E-2</v>
      </c>
      <c r="M157">
        <v>7</v>
      </c>
      <c r="N157">
        <v>116</v>
      </c>
      <c r="O157">
        <v>123</v>
      </c>
    </row>
    <row r="158" spans="1:15" hidden="1" x14ac:dyDescent="0.3">
      <c r="A158">
        <v>157</v>
      </c>
      <c r="B158" s="1">
        <v>40550</v>
      </c>
      <c r="C158">
        <v>19</v>
      </c>
      <c r="D158" s="2" t="s">
        <v>47</v>
      </c>
      <c r="E158" t="s">
        <v>26</v>
      </c>
      <c r="F158" s="2" t="s">
        <v>36</v>
      </c>
      <c r="G158" t="s">
        <v>28</v>
      </c>
      <c r="H158" s="3">
        <v>0.16</v>
      </c>
      <c r="I158" s="2" t="s">
        <v>44</v>
      </c>
      <c r="J158" s="3">
        <v>0.19700000000000001</v>
      </c>
      <c r="K158" s="3">
        <v>0.55000000000000004</v>
      </c>
      <c r="L158" s="3">
        <v>8.9599999999999999E-2</v>
      </c>
      <c r="M158">
        <v>3</v>
      </c>
      <c r="N158">
        <v>92</v>
      </c>
      <c r="O158">
        <v>95</v>
      </c>
    </row>
    <row r="159" spans="1:15" hidden="1" x14ac:dyDescent="0.3">
      <c r="A159">
        <v>158</v>
      </c>
      <c r="B159" s="1">
        <v>40550</v>
      </c>
      <c r="C159">
        <v>20</v>
      </c>
      <c r="D159" s="2" t="s">
        <v>47</v>
      </c>
      <c r="E159" t="s">
        <v>26</v>
      </c>
      <c r="F159" s="2" t="s">
        <v>36</v>
      </c>
      <c r="G159" t="s">
        <v>28</v>
      </c>
      <c r="H159" s="3">
        <v>0.18</v>
      </c>
      <c r="I159" s="2" t="s">
        <v>44</v>
      </c>
      <c r="J159" s="3">
        <v>0.21210000000000001</v>
      </c>
      <c r="K159" s="3">
        <v>0.47</v>
      </c>
      <c r="L159" s="3">
        <v>0.1045</v>
      </c>
      <c r="M159">
        <v>1</v>
      </c>
      <c r="N159">
        <v>50</v>
      </c>
      <c r="O159">
        <v>51</v>
      </c>
    </row>
    <row r="160" spans="1:15" hidden="1" x14ac:dyDescent="0.3">
      <c r="A160">
        <v>159</v>
      </c>
      <c r="B160" s="1">
        <v>40550</v>
      </c>
      <c r="C160">
        <v>21</v>
      </c>
      <c r="D160" s="2" t="s">
        <v>41</v>
      </c>
      <c r="E160" t="s">
        <v>26</v>
      </c>
      <c r="F160" s="2" t="s">
        <v>36</v>
      </c>
      <c r="G160" t="s">
        <v>28</v>
      </c>
      <c r="H160" s="3">
        <v>0.18</v>
      </c>
      <c r="I160" s="2" t="s">
        <v>44</v>
      </c>
      <c r="J160" s="3">
        <v>0.19700000000000001</v>
      </c>
      <c r="K160" s="3">
        <v>0.47</v>
      </c>
      <c r="L160" s="3">
        <v>0.1343</v>
      </c>
      <c r="M160">
        <v>0</v>
      </c>
      <c r="N160">
        <v>39</v>
      </c>
      <c r="O160">
        <v>39</v>
      </c>
    </row>
    <row r="161" spans="1:15" hidden="1" x14ac:dyDescent="0.3">
      <c r="A161">
        <v>160</v>
      </c>
      <c r="B161" s="1">
        <v>40550</v>
      </c>
      <c r="C161">
        <v>22</v>
      </c>
      <c r="D161" s="2" t="s">
        <v>41</v>
      </c>
      <c r="E161" t="s">
        <v>26</v>
      </c>
      <c r="F161" s="2" t="s">
        <v>36</v>
      </c>
      <c r="G161" t="s">
        <v>29</v>
      </c>
      <c r="H161" s="3">
        <v>0.18</v>
      </c>
      <c r="I161" s="2" t="s">
        <v>44</v>
      </c>
      <c r="J161" s="3">
        <v>0.19700000000000001</v>
      </c>
      <c r="K161" s="3">
        <v>0.43</v>
      </c>
      <c r="L161" s="3">
        <v>0.16420000000000001</v>
      </c>
      <c r="M161">
        <v>2</v>
      </c>
      <c r="N161">
        <v>34</v>
      </c>
      <c r="O161">
        <v>36</v>
      </c>
    </row>
    <row r="162" spans="1:15" hidden="1" x14ac:dyDescent="0.3">
      <c r="A162">
        <v>161</v>
      </c>
      <c r="B162" s="1">
        <v>40550</v>
      </c>
      <c r="C162">
        <v>23</v>
      </c>
      <c r="D162" s="2" t="s">
        <v>41</v>
      </c>
      <c r="E162" t="s">
        <v>26</v>
      </c>
      <c r="F162" s="2" t="s">
        <v>36</v>
      </c>
      <c r="G162" t="s">
        <v>29</v>
      </c>
      <c r="H162" s="3">
        <v>0.18</v>
      </c>
      <c r="I162" s="2" t="s">
        <v>44</v>
      </c>
      <c r="J162" s="3">
        <v>0.19700000000000001</v>
      </c>
      <c r="K162" s="3">
        <v>0.51</v>
      </c>
      <c r="L162" s="3">
        <v>0.16420000000000001</v>
      </c>
      <c r="M162">
        <v>1</v>
      </c>
      <c r="N162">
        <v>14</v>
      </c>
      <c r="O162">
        <v>15</v>
      </c>
    </row>
    <row r="163" spans="1:15" hidden="1" x14ac:dyDescent="0.3">
      <c r="A163">
        <v>162</v>
      </c>
      <c r="B163" s="1">
        <v>40551</v>
      </c>
      <c r="C163">
        <v>0</v>
      </c>
      <c r="D163" s="2" t="s">
        <v>41</v>
      </c>
      <c r="E163" t="s">
        <v>26</v>
      </c>
      <c r="F163" s="2" t="s">
        <v>27</v>
      </c>
      <c r="G163" t="s">
        <v>29</v>
      </c>
      <c r="H163" s="3">
        <v>0.18</v>
      </c>
      <c r="I163" s="2" t="s">
        <v>44</v>
      </c>
      <c r="J163" s="3">
        <v>0.19700000000000001</v>
      </c>
      <c r="K163" s="3">
        <v>0.51</v>
      </c>
      <c r="L163" s="3">
        <v>0.16420000000000001</v>
      </c>
      <c r="M163">
        <v>1</v>
      </c>
      <c r="N163">
        <v>24</v>
      </c>
      <c r="O163">
        <v>25</v>
      </c>
    </row>
    <row r="164" spans="1:15" hidden="1" x14ac:dyDescent="0.3">
      <c r="A164">
        <v>163</v>
      </c>
      <c r="B164" s="1">
        <v>40551</v>
      </c>
      <c r="C164">
        <v>1</v>
      </c>
      <c r="D164" s="2" t="s">
        <v>41</v>
      </c>
      <c r="E164" t="s">
        <v>26</v>
      </c>
      <c r="F164" s="2" t="s">
        <v>27</v>
      </c>
      <c r="G164" t="s">
        <v>29</v>
      </c>
      <c r="H164" s="3">
        <v>0.18</v>
      </c>
      <c r="I164" s="2" t="s">
        <v>44</v>
      </c>
      <c r="J164" s="3">
        <v>0.21210000000000001</v>
      </c>
      <c r="K164" s="3">
        <v>0.55000000000000004</v>
      </c>
      <c r="L164" s="3">
        <v>8.9599999999999999E-2</v>
      </c>
      <c r="M164">
        <v>1</v>
      </c>
      <c r="N164">
        <v>15</v>
      </c>
      <c r="O164">
        <v>16</v>
      </c>
    </row>
    <row r="165" spans="1:15" hidden="1" x14ac:dyDescent="0.3">
      <c r="A165">
        <v>164</v>
      </c>
      <c r="B165" s="1">
        <v>40551</v>
      </c>
      <c r="C165">
        <v>2</v>
      </c>
      <c r="D165" s="2" t="s">
        <v>41</v>
      </c>
      <c r="E165" t="s">
        <v>26</v>
      </c>
      <c r="F165" s="2" t="s">
        <v>27</v>
      </c>
      <c r="G165" t="s">
        <v>29</v>
      </c>
      <c r="H165" s="3">
        <v>0.18</v>
      </c>
      <c r="I165" s="2" t="s">
        <v>44</v>
      </c>
      <c r="J165" s="3">
        <v>0.2424</v>
      </c>
      <c r="K165" s="3">
        <v>0.55000000000000004</v>
      </c>
      <c r="L165" s="3">
        <v>0</v>
      </c>
      <c r="M165">
        <v>3</v>
      </c>
      <c r="N165">
        <v>13</v>
      </c>
      <c r="O165">
        <v>16</v>
      </c>
    </row>
    <row r="166" spans="1:15" hidden="1" x14ac:dyDescent="0.3">
      <c r="A166">
        <v>165</v>
      </c>
      <c r="B166" s="1">
        <v>40551</v>
      </c>
      <c r="C166">
        <v>3</v>
      </c>
      <c r="D166" s="2" t="s">
        <v>41</v>
      </c>
      <c r="E166" t="s">
        <v>26</v>
      </c>
      <c r="F166" s="2" t="s">
        <v>27</v>
      </c>
      <c r="G166" t="s">
        <v>30</v>
      </c>
      <c r="H166" s="3">
        <v>0.18</v>
      </c>
      <c r="I166" s="2" t="s">
        <v>44</v>
      </c>
      <c r="J166" s="3">
        <v>0.19700000000000001</v>
      </c>
      <c r="K166" s="3">
        <v>0.55000000000000004</v>
      </c>
      <c r="L166" s="3">
        <v>0.16420000000000001</v>
      </c>
      <c r="M166">
        <v>0</v>
      </c>
      <c r="N166">
        <v>7</v>
      </c>
      <c r="O166">
        <v>7</v>
      </c>
    </row>
    <row r="167" spans="1:15" hidden="1" x14ac:dyDescent="0.3">
      <c r="A167">
        <v>166</v>
      </c>
      <c r="B167" s="1">
        <v>40551</v>
      </c>
      <c r="C167">
        <v>4</v>
      </c>
      <c r="D167" s="2" t="s">
        <v>41</v>
      </c>
      <c r="E167" t="s">
        <v>26</v>
      </c>
      <c r="F167" s="2" t="s">
        <v>27</v>
      </c>
      <c r="G167" t="s">
        <v>30</v>
      </c>
      <c r="H167" s="3">
        <v>0.18</v>
      </c>
      <c r="I167" s="2" t="s">
        <v>44</v>
      </c>
      <c r="J167" s="3">
        <v>0.19700000000000001</v>
      </c>
      <c r="K167" s="3">
        <v>0.55000000000000004</v>
      </c>
      <c r="L167" s="3">
        <v>0.16420000000000001</v>
      </c>
      <c r="M167">
        <v>0</v>
      </c>
      <c r="N167">
        <v>1</v>
      </c>
      <c r="O167">
        <v>1</v>
      </c>
    </row>
    <row r="168" spans="1:15" x14ac:dyDescent="0.3">
      <c r="A168">
        <v>167</v>
      </c>
      <c r="B168" s="1">
        <v>40551</v>
      </c>
      <c r="C168">
        <v>5</v>
      </c>
      <c r="D168" s="2" t="s">
        <v>43</v>
      </c>
      <c r="E168" t="s">
        <v>26</v>
      </c>
      <c r="F168" s="2" t="s">
        <v>27</v>
      </c>
      <c r="G168" t="s">
        <v>29</v>
      </c>
      <c r="H168" s="3">
        <v>0.16</v>
      </c>
      <c r="I168" s="2" t="s">
        <v>44</v>
      </c>
      <c r="J168" s="3">
        <v>0.16669999999999999</v>
      </c>
      <c r="K168" s="3">
        <v>0.74</v>
      </c>
      <c r="L168" s="3">
        <v>0.16420000000000001</v>
      </c>
      <c r="M168">
        <v>0</v>
      </c>
      <c r="N168">
        <v>5</v>
      </c>
      <c r="O168">
        <v>5</v>
      </c>
    </row>
    <row r="169" spans="1:15" x14ac:dyDescent="0.3">
      <c r="A169">
        <v>168</v>
      </c>
      <c r="B169" s="1">
        <v>40551</v>
      </c>
      <c r="C169">
        <v>6</v>
      </c>
      <c r="D169" s="2" t="s">
        <v>43</v>
      </c>
      <c r="E169" t="s">
        <v>26</v>
      </c>
      <c r="F169" s="2" t="s">
        <v>27</v>
      </c>
      <c r="G169" t="s">
        <v>29</v>
      </c>
      <c r="H169" s="3">
        <v>0.16</v>
      </c>
      <c r="I169" s="2" t="s">
        <v>44</v>
      </c>
      <c r="J169" s="3">
        <v>0.16669999999999999</v>
      </c>
      <c r="K169" s="3">
        <v>0.74</v>
      </c>
      <c r="L169" s="3">
        <v>0.16420000000000001</v>
      </c>
      <c r="M169">
        <v>0</v>
      </c>
      <c r="N169">
        <v>2</v>
      </c>
      <c r="O169">
        <v>2</v>
      </c>
    </row>
    <row r="170" spans="1:15" x14ac:dyDescent="0.3">
      <c r="A170">
        <v>169</v>
      </c>
      <c r="B170" s="1">
        <v>40551</v>
      </c>
      <c r="C170">
        <v>7</v>
      </c>
      <c r="D170" s="2" t="s">
        <v>43</v>
      </c>
      <c r="E170" t="s">
        <v>26</v>
      </c>
      <c r="F170" s="2" t="s">
        <v>27</v>
      </c>
      <c r="G170" t="s">
        <v>29</v>
      </c>
      <c r="H170" s="3">
        <v>0.16</v>
      </c>
      <c r="I170" s="2" t="s">
        <v>44</v>
      </c>
      <c r="J170" s="3">
        <v>0.18179999999999999</v>
      </c>
      <c r="K170" s="3">
        <v>0.74</v>
      </c>
      <c r="L170" s="3">
        <v>0.1045</v>
      </c>
      <c r="M170">
        <v>1</v>
      </c>
      <c r="N170">
        <v>8</v>
      </c>
      <c r="O170">
        <v>9</v>
      </c>
    </row>
    <row r="171" spans="1:15" x14ac:dyDescent="0.3">
      <c r="A171">
        <v>170</v>
      </c>
      <c r="B171" s="1">
        <v>40551</v>
      </c>
      <c r="C171">
        <v>8</v>
      </c>
      <c r="D171" s="2" t="s">
        <v>43</v>
      </c>
      <c r="E171" t="s">
        <v>26</v>
      </c>
      <c r="F171" s="2" t="s">
        <v>27</v>
      </c>
      <c r="G171" t="s">
        <v>30</v>
      </c>
      <c r="H171" s="3">
        <v>0.16</v>
      </c>
      <c r="I171" s="2" t="s">
        <v>44</v>
      </c>
      <c r="J171" s="3">
        <v>0.18179999999999999</v>
      </c>
      <c r="K171" s="3">
        <v>0.93</v>
      </c>
      <c r="L171" s="3">
        <v>0.1045</v>
      </c>
      <c r="M171">
        <v>0</v>
      </c>
      <c r="N171">
        <v>15</v>
      </c>
      <c r="O171">
        <v>15</v>
      </c>
    </row>
    <row r="172" spans="1:15" x14ac:dyDescent="0.3">
      <c r="A172">
        <v>171</v>
      </c>
      <c r="B172" s="1">
        <v>40551</v>
      </c>
      <c r="C172">
        <v>9</v>
      </c>
      <c r="D172" s="2" t="s">
        <v>43</v>
      </c>
      <c r="E172" t="s">
        <v>26</v>
      </c>
      <c r="F172" s="2" t="s">
        <v>27</v>
      </c>
      <c r="G172" t="s">
        <v>30</v>
      </c>
      <c r="H172" s="3">
        <v>0.16</v>
      </c>
      <c r="I172" s="2" t="s">
        <v>44</v>
      </c>
      <c r="J172" s="3">
        <v>0.18179999999999999</v>
      </c>
      <c r="K172" s="3">
        <v>0.93</v>
      </c>
      <c r="L172" s="3">
        <v>0.1045</v>
      </c>
      <c r="M172">
        <v>0</v>
      </c>
      <c r="N172">
        <v>20</v>
      </c>
      <c r="O172">
        <v>20</v>
      </c>
    </row>
    <row r="173" spans="1:15" x14ac:dyDescent="0.3">
      <c r="A173">
        <v>172</v>
      </c>
      <c r="B173" s="1">
        <v>40551</v>
      </c>
      <c r="C173">
        <v>10</v>
      </c>
      <c r="D173" s="2" t="s">
        <v>43</v>
      </c>
      <c r="E173" t="s">
        <v>26</v>
      </c>
      <c r="F173" s="2" t="s">
        <v>27</v>
      </c>
      <c r="G173" t="s">
        <v>29</v>
      </c>
      <c r="H173" s="3">
        <v>0.18</v>
      </c>
      <c r="I173" s="2" t="s">
        <v>44</v>
      </c>
      <c r="J173" s="3">
        <v>0.19700000000000001</v>
      </c>
      <c r="K173" s="3">
        <v>0.8</v>
      </c>
      <c r="L173" s="3">
        <v>0.16420000000000001</v>
      </c>
      <c r="M173">
        <v>5</v>
      </c>
      <c r="N173">
        <v>56</v>
      </c>
      <c r="O173">
        <v>61</v>
      </c>
    </row>
    <row r="174" spans="1:15" x14ac:dyDescent="0.3">
      <c r="A174">
        <v>173</v>
      </c>
      <c r="B174" s="1">
        <v>40551</v>
      </c>
      <c r="C174">
        <v>11</v>
      </c>
      <c r="D174" s="2" t="s">
        <v>43</v>
      </c>
      <c r="E174" t="s">
        <v>26</v>
      </c>
      <c r="F174" s="2" t="s">
        <v>27</v>
      </c>
      <c r="G174" t="s">
        <v>29</v>
      </c>
      <c r="H174" s="3">
        <v>0.2</v>
      </c>
      <c r="I174" s="2" t="s">
        <v>44</v>
      </c>
      <c r="J174" s="3">
        <v>0.18179999999999999</v>
      </c>
      <c r="K174" s="3">
        <v>0.69</v>
      </c>
      <c r="L174" s="3">
        <v>0.3881</v>
      </c>
      <c r="M174">
        <v>2</v>
      </c>
      <c r="N174">
        <v>60</v>
      </c>
      <c r="O174">
        <v>62</v>
      </c>
    </row>
    <row r="175" spans="1:15" hidden="1" x14ac:dyDescent="0.3">
      <c r="A175">
        <v>174</v>
      </c>
      <c r="B175" s="1">
        <v>40551</v>
      </c>
      <c r="C175">
        <v>12</v>
      </c>
      <c r="D175" s="2" t="s">
        <v>45</v>
      </c>
      <c r="E175" t="s">
        <v>26</v>
      </c>
      <c r="F175" s="2" t="s">
        <v>27</v>
      </c>
      <c r="G175" t="s">
        <v>29</v>
      </c>
      <c r="H175" s="3">
        <v>0.2</v>
      </c>
      <c r="I175" s="2" t="s">
        <v>44</v>
      </c>
      <c r="J175" s="3">
        <v>0.18179999999999999</v>
      </c>
      <c r="K175" s="3">
        <v>0.59</v>
      </c>
      <c r="L175" s="3">
        <v>0.35820000000000002</v>
      </c>
      <c r="M175">
        <v>8</v>
      </c>
      <c r="N175">
        <v>90</v>
      </c>
      <c r="O175">
        <v>98</v>
      </c>
    </row>
    <row r="176" spans="1:15" hidden="1" x14ac:dyDescent="0.3">
      <c r="A176">
        <v>175</v>
      </c>
      <c r="B176" s="1">
        <v>40551</v>
      </c>
      <c r="C176">
        <v>13</v>
      </c>
      <c r="D176" s="2" t="s">
        <v>45</v>
      </c>
      <c r="E176" t="s">
        <v>26</v>
      </c>
      <c r="F176" s="2" t="s">
        <v>27</v>
      </c>
      <c r="G176" t="s">
        <v>28</v>
      </c>
      <c r="H176" s="3">
        <v>0.2</v>
      </c>
      <c r="I176" s="2" t="s">
        <v>44</v>
      </c>
      <c r="J176" s="3">
        <v>0.18179999999999999</v>
      </c>
      <c r="K176" s="3">
        <v>0.44</v>
      </c>
      <c r="L176" s="3">
        <v>0.32840000000000003</v>
      </c>
      <c r="M176">
        <v>7</v>
      </c>
      <c r="N176">
        <v>95</v>
      </c>
      <c r="O176">
        <v>102</v>
      </c>
    </row>
    <row r="177" spans="1:15" hidden="1" x14ac:dyDescent="0.3">
      <c r="A177">
        <v>176</v>
      </c>
      <c r="B177" s="1">
        <v>40551</v>
      </c>
      <c r="C177">
        <v>14</v>
      </c>
      <c r="D177" s="2" t="s">
        <v>45</v>
      </c>
      <c r="E177" t="s">
        <v>26</v>
      </c>
      <c r="F177" s="2" t="s">
        <v>27</v>
      </c>
      <c r="G177" t="s">
        <v>28</v>
      </c>
      <c r="H177" s="3">
        <v>0.2</v>
      </c>
      <c r="I177" s="2" t="s">
        <v>44</v>
      </c>
      <c r="J177" s="3">
        <v>0.16669999999999999</v>
      </c>
      <c r="K177" s="3">
        <v>0.32</v>
      </c>
      <c r="L177" s="3">
        <v>0.49249999999999999</v>
      </c>
      <c r="M177">
        <v>12</v>
      </c>
      <c r="N177">
        <v>83</v>
      </c>
      <c r="O177">
        <v>95</v>
      </c>
    </row>
    <row r="178" spans="1:15" hidden="1" x14ac:dyDescent="0.3">
      <c r="A178">
        <v>177</v>
      </c>
      <c r="B178" s="1">
        <v>40551</v>
      </c>
      <c r="C178">
        <v>15</v>
      </c>
      <c r="D178" s="2" t="s">
        <v>45</v>
      </c>
      <c r="E178" t="s">
        <v>26</v>
      </c>
      <c r="F178" s="2" t="s">
        <v>27</v>
      </c>
      <c r="G178" t="s">
        <v>28</v>
      </c>
      <c r="H178" s="3">
        <v>0.2</v>
      </c>
      <c r="I178" s="2" t="s">
        <v>44</v>
      </c>
      <c r="J178" s="3">
        <v>0.16669999999999999</v>
      </c>
      <c r="K178" s="3">
        <v>0.32</v>
      </c>
      <c r="L178" s="3">
        <v>0.44779999999999998</v>
      </c>
      <c r="M178">
        <v>5</v>
      </c>
      <c r="N178">
        <v>69</v>
      </c>
      <c r="O178">
        <v>74</v>
      </c>
    </row>
    <row r="179" spans="1:15" hidden="1" x14ac:dyDescent="0.3">
      <c r="A179">
        <v>178</v>
      </c>
      <c r="B179" s="1">
        <v>40551</v>
      </c>
      <c r="C179">
        <v>16</v>
      </c>
      <c r="D179" s="2" t="s">
        <v>45</v>
      </c>
      <c r="E179" t="s">
        <v>26</v>
      </c>
      <c r="F179" s="2" t="s">
        <v>27</v>
      </c>
      <c r="G179" t="s">
        <v>28</v>
      </c>
      <c r="H179" s="3">
        <v>0.18</v>
      </c>
      <c r="I179" s="2" t="s">
        <v>44</v>
      </c>
      <c r="J179" s="3">
        <v>0.13639999999999999</v>
      </c>
      <c r="K179" s="3">
        <v>0.28999999999999998</v>
      </c>
      <c r="L179" s="3">
        <v>0.44779999999999998</v>
      </c>
      <c r="M179">
        <v>8</v>
      </c>
      <c r="N179">
        <v>68</v>
      </c>
      <c r="O179">
        <v>76</v>
      </c>
    </row>
    <row r="180" spans="1:15" hidden="1" x14ac:dyDescent="0.3">
      <c r="A180">
        <v>179</v>
      </c>
      <c r="B180" s="1">
        <v>40551</v>
      </c>
      <c r="C180">
        <v>17</v>
      </c>
      <c r="D180" s="2" t="s">
        <v>47</v>
      </c>
      <c r="E180" t="s">
        <v>26</v>
      </c>
      <c r="F180" s="2" t="s">
        <v>27</v>
      </c>
      <c r="G180" t="s">
        <v>28</v>
      </c>
      <c r="H180" s="3">
        <v>0.16</v>
      </c>
      <c r="I180" s="2" t="s">
        <v>44</v>
      </c>
      <c r="J180" s="3">
        <v>0.1212</v>
      </c>
      <c r="K180" s="3">
        <v>0.37</v>
      </c>
      <c r="L180" s="3">
        <v>0.55220000000000002</v>
      </c>
      <c r="M180">
        <v>5</v>
      </c>
      <c r="N180">
        <v>64</v>
      </c>
      <c r="O180">
        <v>69</v>
      </c>
    </row>
    <row r="181" spans="1:15" hidden="1" x14ac:dyDescent="0.3">
      <c r="A181">
        <v>180</v>
      </c>
      <c r="B181" s="1">
        <v>40551</v>
      </c>
      <c r="C181">
        <v>18</v>
      </c>
      <c r="D181" s="2" t="s">
        <v>47</v>
      </c>
      <c r="E181" t="s">
        <v>26</v>
      </c>
      <c r="F181" s="2" t="s">
        <v>27</v>
      </c>
      <c r="G181" t="s">
        <v>28</v>
      </c>
      <c r="H181" s="3">
        <v>0.14000000000000001</v>
      </c>
      <c r="I181" s="2" t="s">
        <v>44</v>
      </c>
      <c r="J181" s="3">
        <v>0.1212</v>
      </c>
      <c r="K181" s="3">
        <v>0.39</v>
      </c>
      <c r="L181" s="3">
        <v>0.29849999999999999</v>
      </c>
      <c r="M181">
        <v>3</v>
      </c>
      <c r="N181">
        <v>52</v>
      </c>
      <c r="O181">
        <v>55</v>
      </c>
    </row>
    <row r="182" spans="1:15" hidden="1" x14ac:dyDescent="0.3">
      <c r="A182">
        <v>181</v>
      </c>
      <c r="B182" s="1">
        <v>40551</v>
      </c>
      <c r="C182">
        <v>19</v>
      </c>
      <c r="D182" s="2" t="s">
        <v>47</v>
      </c>
      <c r="E182" t="s">
        <v>26</v>
      </c>
      <c r="F182" s="2" t="s">
        <v>27</v>
      </c>
      <c r="G182" t="s">
        <v>28</v>
      </c>
      <c r="H182" s="3">
        <v>0.14000000000000001</v>
      </c>
      <c r="I182" s="2" t="s">
        <v>44</v>
      </c>
      <c r="J182" s="3">
        <v>0.1212</v>
      </c>
      <c r="K182" s="3">
        <v>0.36</v>
      </c>
      <c r="L182" s="3">
        <v>0.25369999999999998</v>
      </c>
      <c r="M182">
        <v>4</v>
      </c>
      <c r="N182">
        <v>26</v>
      </c>
      <c r="O182">
        <v>30</v>
      </c>
    </row>
    <row r="183" spans="1:15" hidden="1" x14ac:dyDescent="0.3">
      <c r="A183">
        <v>182</v>
      </c>
      <c r="B183" s="1">
        <v>40551</v>
      </c>
      <c r="C183">
        <v>20</v>
      </c>
      <c r="D183" s="2" t="s">
        <v>47</v>
      </c>
      <c r="E183" t="s">
        <v>26</v>
      </c>
      <c r="F183" s="2" t="s">
        <v>27</v>
      </c>
      <c r="G183" t="s">
        <v>28</v>
      </c>
      <c r="H183" s="3">
        <v>0.12</v>
      </c>
      <c r="I183" s="2" t="s">
        <v>44</v>
      </c>
      <c r="J183" s="3">
        <v>0.1212</v>
      </c>
      <c r="K183" s="3">
        <v>0.36</v>
      </c>
      <c r="L183" s="3">
        <v>0.25369999999999998</v>
      </c>
      <c r="M183">
        <v>0</v>
      </c>
      <c r="N183">
        <v>28</v>
      </c>
      <c r="O183">
        <v>28</v>
      </c>
    </row>
    <row r="184" spans="1:15" hidden="1" x14ac:dyDescent="0.3">
      <c r="A184">
        <v>183</v>
      </c>
      <c r="B184" s="1">
        <v>40551</v>
      </c>
      <c r="C184">
        <v>21</v>
      </c>
      <c r="D184" s="2" t="s">
        <v>41</v>
      </c>
      <c r="E184" t="s">
        <v>26</v>
      </c>
      <c r="F184" s="2" t="s">
        <v>27</v>
      </c>
      <c r="G184" t="s">
        <v>28</v>
      </c>
      <c r="H184" s="3">
        <v>0.12</v>
      </c>
      <c r="I184" s="2" t="s">
        <v>44</v>
      </c>
      <c r="J184" s="3">
        <v>0.1061</v>
      </c>
      <c r="K184" s="3">
        <v>0.39</v>
      </c>
      <c r="L184" s="3">
        <v>0.35820000000000002</v>
      </c>
      <c r="M184">
        <v>2</v>
      </c>
      <c r="N184">
        <v>35</v>
      </c>
      <c r="O184">
        <v>37</v>
      </c>
    </row>
    <row r="185" spans="1:15" hidden="1" x14ac:dyDescent="0.3">
      <c r="A185">
        <v>184</v>
      </c>
      <c r="B185" s="1">
        <v>40551</v>
      </c>
      <c r="C185">
        <v>22</v>
      </c>
      <c r="D185" s="2" t="s">
        <v>41</v>
      </c>
      <c r="E185" t="s">
        <v>26</v>
      </c>
      <c r="F185" s="2" t="s">
        <v>27</v>
      </c>
      <c r="G185" t="s">
        <v>28</v>
      </c>
      <c r="H185" s="3">
        <v>0.12</v>
      </c>
      <c r="I185" s="2" t="s">
        <v>44</v>
      </c>
      <c r="J185" s="3">
        <v>0.1061</v>
      </c>
      <c r="K185" s="3">
        <v>0.36</v>
      </c>
      <c r="L185" s="3">
        <v>0.3881</v>
      </c>
      <c r="M185">
        <v>1</v>
      </c>
      <c r="N185">
        <v>33</v>
      </c>
      <c r="O185">
        <v>34</v>
      </c>
    </row>
    <row r="186" spans="1:15" hidden="1" x14ac:dyDescent="0.3">
      <c r="A186">
        <v>185</v>
      </c>
      <c r="B186" s="1">
        <v>40551</v>
      </c>
      <c r="C186">
        <v>23</v>
      </c>
      <c r="D186" s="2" t="s">
        <v>41</v>
      </c>
      <c r="E186" t="s">
        <v>26</v>
      </c>
      <c r="F186" s="2" t="s">
        <v>27</v>
      </c>
      <c r="G186" t="s">
        <v>28</v>
      </c>
      <c r="H186" s="3">
        <v>0.1</v>
      </c>
      <c r="I186" s="2" t="s">
        <v>44</v>
      </c>
      <c r="J186" s="3">
        <v>6.0600000000000001E-2</v>
      </c>
      <c r="K186" s="3">
        <v>0.39</v>
      </c>
      <c r="L186" s="3">
        <v>0.44779999999999998</v>
      </c>
      <c r="M186">
        <v>0</v>
      </c>
      <c r="N186">
        <v>22</v>
      </c>
      <c r="O186">
        <v>22</v>
      </c>
    </row>
    <row r="187" spans="1:15" hidden="1" x14ac:dyDescent="0.3">
      <c r="A187">
        <v>186</v>
      </c>
      <c r="B187" s="1">
        <v>40552</v>
      </c>
      <c r="C187">
        <v>0</v>
      </c>
      <c r="D187" s="2" t="s">
        <v>41</v>
      </c>
      <c r="E187" t="s">
        <v>26</v>
      </c>
      <c r="F187" s="2" t="s">
        <v>31</v>
      </c>
      <c r="G187" t="s">
        <v>28</v>
      </c>
      <c r="H187" s="3">
        <v>0.1</v>
      </c>
      <c r="I187" s="2" t="s">
        <v>44</v>
      </c>
      <c r="J187" s="3">
        <v>7.5800000000000006E-2</v>
      </c>
      <c r="K187" s="3">
        <v>0.42</v>
      </c>
      <c r="L187" s="3">
        <v>0.3881</v>
      </c>
      <c r="M187">
        <v>1</v>
      </c>
      <c r="N187">
        <v>24</v>
      </c>
      <c r="O187">
        <v>25</v>
      </c>
    </row>
    <row r="188" spans="1:15" hidden="1" x14ac:dyDescent="0.3">
      <c r="A188">
        <v>187</v>
      </c>
      <c r="B188" s="1">
        <v>40552</v>
      </c>
      <c r="C188">
        <v>1</v>
      </c>
      <c r="D188" s="2" t="s">
        <v>41</v>
      </c>
      <c r="E188" t="s">
        <v>26</v>
      </c>
      <c r="F188" s="2" t="s">
        <v>31</v>
      </c>
      <c r="G188" t="s">
        <v>28</v>
      </c>
      <c r="H188" s="3">
        <v>0.1</v>
      </c>
      <c r="I188" s="2" t="s">
        <v>44</v>
      </c>
      <c r="J188" s="3">
        <v>6.0600000000000001E-2</v>
      </c>
      <c r="K188" s="3">
        <v>0.42</v>
      </c>
      <c r="L188" s="3">
        <v>0.4627</v>
      </c>
      <c r="M188">
        <v>0</v>
      </c>
      <c r="N188">
        <v>12</v>
      </c>
      <c r="O188">
        <v>12</v>
      </c>
    </row>
    <row r="189" spans="1:15" hidden="1" x14ac:dyDescent="0.3">
      <c r="A189">
        <v>188</v>
      </c>
      <c r="B189" s="1">
        <v>40552</v>
      </c>
      <c r="C189">
        <v>2</v>
      </c>
      <c r="D189" s="2" t="s">
        <v>41</v>
      </c>
      <c r="E189" t="s">
        <v>26</v>
      </c>
      <c r="F189" s="2" t="s">
        <v>31</v>
      </c>
      <c r="G189" t="s">
        <v>28</v>
      </c>
      <c r="H189" s="3">
        <v>0.1</v>
      </c>
      <c r="I189" s="2" t="s">
        <v>44</v>
      </c>
      <c r="J189" s="3">
        <v>6.0600000000000001E-2</v>
      </c>
      <c r="K189" s="3">
        <v>0.46</v>
      </c>
      <c r="L189" s="3">
        <v>0.4627</v>
      </c>
      <c r="M189">
        <v>0</v>
      </c>
      <c r="N189">
        <v>11</v>
      </c>
      <c r="O189">
        <v>11</v>
      </c>
    </row>
    <row r="190" spans="1:15" hidden="1" x14ac:dyDescent="0.3">
      <c r="A190">
        <v>189</v>
      </c>
      <c r="B190" s="1">
        <v>40552</v>
      </c>
      <c r="C190">
        <v>3</v>
      </c>
      <c r="D190" s="2" t="s">
        <v>41</v>
      </c>
      <c r="E190" t="s">
        <v>26</v>
      </c>
      <c r="F190" s="2" t="s">
        <v>31</v>
      </c>
      <c r="G190" t="s">
        <v>28</v>
      </c>
      <c r="H190" s="3">
        <v>0.1</v>
      </c>
      <c r="I190" s="2" t="s">
        <v>44</v>
      </c>
      <c r="J190" s="3">
        <v>7.5800000000000006E-2</v>
      </c>
      <c r="K190" s="3">
        <v>0.46</v>
      </c>
      <c r="L190" s="3">
        <v>0.41789999999999999</v>
      </c>
      <c r="M190">
        <v>0</v>
      </c>
      <c r="N190">
        <v>4</v>
      </c>
      <c r="O190">
        <v>4</v>
      </c>
    </row>
    <row r="191" spans="1:15" hidden="1" x14ac:dyDescent="0.3">
      <c r="A191">
        <v>190</v>
      </c>
      <c r="B191" s="1">
        <v>40552</v>
      </c>
      <c r="C191">
        <v>4</v>
      </c>
      <c r="D191" s="2" t="s">
        <v>41</v>
      </c>
      <c r="E191" t="s">
        <v>26</v>
      </c>
      <c r="F191" s="2" t="s">
        <v>31</v>
      </c>
      <c r="G191" t="s">
        <v>28</v>
      </c>
      <c r="H191" s="3">
        <v>0.08</v>
      </c>
      <c r="I191" s="2" t="s">
        <v>44</v>
      </c>
      <c r="J191" s="3">
        <v>9.0899999999999995E-2</v>
      </c>
      <c r="K191" s="3">
        <v>0.53</v>
      </c>
      <c r="L191" s="3">
        <v>0.19400000000000001</v>
      </c>
      <c r="M191">
        <v>0</v>
      </c>
      <c r="N191">
        <v>1</v>
      </c>
      <c r="O191">
        <v>1</v>
      </c>
    </row>
    <row r="192" spans="1:15" x14ac:dyDescent="0.3">
      <c r="A192">
        <v>191</v>
      </c>
      <c r="B192" s="1">
        <v>40552</v>
      </c>
      <c r="C192">
        <v>5</v>
      </c>
      <c r="D192" s="2" t="s">
        <v>43</v>
      </c>
      <c r="E192" t="s">
        <v>26</v>
      </c>
      <c r="F192" s="2" t="s">
        <v>31</v>
      </c>
      <c r="G192" t="s">
        <v>28</v>
      </c>
      <c r="H192" s="3">
        <v>0.08</v>
      </c>
      <c r="I192" s="2" t="s">
        <v>44</v>
      </c>
      <c r="J192" s="3">
        <v>9.0899999999999995E-2</v>
      </c>
      <c r="K192" s="3">
        <v>0.53</v>
      </c>
      <c r="L192" s="3">
        <v>0.19400000000000001</v>
      </c>
      <c r="M192">
        <v>0</v>
      </c>
      <c r="N192">
        <v>1</v>
      </c>
      <c r="O192">
        <v>1</v>
      </c>
    </row>
    <row r="193" spans="1:15" x14ac:dyDescent="0.3">
      <c r="A193">
        <v>192</v>
      </c>
      <c r="B193" s="1">
        <v>40552</v>
      </c>
      <c r="C193">
        <v>6</v>
      </c>
      <c r="D193" s="2" t="s">
        <v>43</v>
      </c>
      <c r="E193" t="s">
        <v>26</v>
      </c>
      <c r="F193" s="2" t="s">
        <v>31</v>
      </c>
      <c r="G193" t="s">
        <v>28</v>
      </c>
      <c r="H193" s="3">
        <v>0.1</v>
      </c>
      <c r="I193" s="2" t="s">
        <v>44</v>
      </c>
      <c r="J193" s="3">
        <v>9.0899999999999995E-2</v>
      </c>
      <c r="K193" s="3">
        <v>0.49</v>
      </c>
      <c r="L193" s="3">
        <v>0.28360000000000002</v>
      </c>
      <c r="M193">
        <v>0</v>
      </c>
      <c r="N193">
        <v>1</v>
      </c>
      <c r="O193">
        <v>1</v>
      </c>
    </row>
    <row r="194" spans="1:15" x14ac:dyDescent="0.3">
      <c r="A194">
        <v>193</v>
      </c>
      <c r="B194" s="1">
        <v>40552</v>
      </c>
      <c r="C194">
        <v>7</v>
      </c>
      <c r="D194" s="2" t="s">
        <v>43</v>
      </c>
      <c r="E194" t="s">
        <v>26</v>
      </c>
      <c r="F194" s="2" t="s">
        <v>31</v>
      </c>
      <c r="G194" t="s">
        <v>28</v>
      </c>
      <c r="H194" s="3">
        <v>0.08</v>
      </c>
      <c r="I194" s="2" t="s">
        <v>44</v>
      </c>
      <c r="J194" s="3">
        <v>9.0899999999999995E-2</v>
      </c>
      <c r="K194" s="3">
        <v>0.53</v>
      </c>
      <c r="L194" s="3">
        <v>0.19400000000000001</v>
      </c>
      <c r="M194">
        <v>1</v>
      </c>
      <c r="N194">
        <v>5</v>
      </c>
      <c r="O194">
        <v>6</v>
      </c>
    </row>
    <row r="195" spans="1:15" x14ac:dyDescent="0.3">
      <c r="A195">
        <v>194</v>
      </c>
      <c r="B195" s="1">
        <v>40552</v>
      </c>
      <c r="C195">
        <v>8</v>
      </c>
      <c r="D195" s="2" t="s">
        <v>43</v>
      </c>
      <c r="E195" t="s">
        <v>26</v>
      </c>
      <c r="F195" s="2" t="s">
        <v>31</v>
      </c>
      <c r="G195" t="s">
        <v>28</v>
      </c>
      <c r="H195" s="3">
        <v>0.1</v>
      </c>
      <c r="I195" s="2" t="s">
        <v>44</v>
      </c>
      <c r="J195" s="3">
        <v>9.0899999999999995E-2</v>
      </c>
      <c r="K195" s="3">
        <v>0.49</v>
      </c>
      <c r="L195" s="3">
        <v>0.28360000000000002</v>
      </c>
      <c r="M195">
        <v>0</v>
      </c>
      <c r="N195">
        <v>10</v>
      </c>
      <c r="O195">
        <v>10</v>
      </c>
    </row>
    <row r="196" spans="1:15" x14ac:dyDescent="0.3">
      <c r="A196">
        <v>195</v>
      </c>
      <c r="B196" s="1">
        <v>40552</v>
      </c>
      <c r="C196">
        <v>9</v>
      </c>
      <c r="D196" s="2" t="s">
        <v>43</v>
      </c>
      <c r="E196" t="s">
        <v>26</v>
      </c>
      <c r="F196" s="2" t="s">
        <v>31</v>
      </c>
      <c r="G196" t="s">
        <v>28</v>
      </c>
      <c r="H196" s="3">
        <v>0.12</v>
      </c>
      <c r="I196" s="2" t="s">
        <v>44</v>
      </c>
      <c r="J196" s="3">
        <v>7.5800000000000006E-2</v>
      </c>
      <c r="K196" s="3">
        <v>0.46</v>
      </c>
      <c r="L196" s="3">
        <v>0.52239999999999998</v>
      </c>
      <c r="M196">
        <v>0</v>
      </c>
      <c r="N196">
        <v>19</v>
      </c>
      <c r="O196">
        <v>19</v>
      </c>
    </row>
    <row r="197" spans="1:15" x14ac:dyDescent="0.3">
      <c r="A197">
        <v>196</v>
      </c>
      <c r="B197" s="1">
        <v>40552</v>
      </c>
      <c r="C197">
        <v>10</v>
      </c>
      <c r="D197" s="2" t="s">
        <v>43</v>
      </c>
      <c r="E197" t="s">
        <v>26</v>
      </c>
      <c r="F197" s="2" t="s">
        <v>31</v>
      </c>
      <c r="G197" t="s">
        <v>28</v>
      </c>
      <c r="H197" s="3">
        <v>0.14000000000000001</v>
      </c>
      <c r="I197" s="2" t="s">
        <v>44</v>
      </c>
      <c r="J197" s="3">
        <v>0.1061</v>
      </c>
      <c r="K197" s="3">
        <v>0.43</v>
      </c>
      <c r="L197" s="3">
        <v>0.3881</v>
      </c>
      <c r="M197">
        <v>0</v>
      </c>
      <c r="N197">
        <v>49</v>
      </c>
      <c r="O197">
        <v>49</v>
      </c>
    </row>
    <row r="198" spans="1:15" x14ac:dyDescent="0.3">
      <c r="A198">
        <v>197</v>
      </c>
      <c r="B198" s="1">
        <v>40552</v>
      </c>
      <c r="C198">
        <v>11</v>
      </c>
      <c r="D198" s="2" t="s">
        <v>43</v>
      </c>
      <c r="E198" t="s">
        <v>26</v>
      </c>
      <c r="F198" s="2" t="s">
        <v>31</v>
      </c>
      <c r="G198" t="s">
        <v>28</v>
      </c>
      <c r="H198" s="3">
        <v>0.16</v>
      </c>
      <c r="I198" s="2" t="s">
        <v>44</v>
      </c>
      <c r="J198" s="3">
        <v>0.1212</v>
      </c>
      <c r="K198" s="3">
        <v>0.4</v>
      </c>
      <c r="L198" s="3">
        <v>0.52239999999999998</v>
      </c>
      <c r="M198">
        <v>2</v>
      </c>
      <c r="N198">
        <v>47</v>
      </c>
      <c r="O198">
        <v>49</v>
      </c>
    </row>
    <row r="199" spans="1:15" hidden="1" x14ac:dyDescent="0.3">
      <c r="A199">
        <v>198</v>
      </c>
      <c r="B199" s="1">
        <v>40552</v>
      </c>
      <c r="C199">
        <v>12</v>
      </c>
      <c r="D199" s="2" t="s">
        <v>45</v>
      </c>
      <c r="E199" t="s">
        <v>26</v>
      </c>
      <c r="F199" s="2" t="s">
        <v>31</v>
      </c>
      <c r="G199" t="s">
        <v>28</v>
      </c>
      <c r="H199" s="3">
        <v>0.18</v>
      </c>
      <c r="I199" s="2" t="s">
        <v>44</v>
      </c>
      <c r="J199" s="3">
        <v>0.13639999999999999</v>
      </c>
      <c r="K199" s="3">
        <v>0.37</v>
      </c>
      <c r="L199" s="3">
        <v>0.44779999999999998</v>
      </c>
      <c r="M199">
        <v>4</v>
      </c>
      <c r="N199">
        <v>79</v>
      </c>
      <c r="O199">
        <v>83</v>
      </c>
    </row>
    <row r="200" spans="1:15" hidden="1" x14ac:dyDescent="0.3">
      <c r="A200">
        <v>199</v>
      </c>
      <c r="B200" s="1">
        <v>40552</v>
      </c>
      <c r="C200">
        <v>13</v>
      </c>
      <c r="D200" s="2" t="s">
        <v>45</v>
      </c>
      <c r="E200" t="s">
        <v>26</v>
      </c>
      <c r="F200" s="2" t="s">
        <v>31</v>
      </c>
      <c r="G200" t="s">
        <v>28</v>
      </c>
      <c r="H200" s="3">
        <v>0.2</v>
      </c>
      <c r="I200" s="2" t="s">
        <v>44</v>
      </c>
      <c r="J200" s="3">
        <v>0.16669999999999999</v>
      </c>
      <c r="K200" s="3">
        <v>0.34</v>
      </c>
      <c r="L200" s="3">
        <v>0.44779999999999998</v>
      </c>
      <c r="M200">
        <v>6</v>
      </c>
      <c r="N200">
        <v>69</v>
      </c>
      <c r="O200">
        <v>75</v>
      </c>
    </row>
    <row r="201" spans="1:15" hidden="1" x14ac:dyDescent="0.3">
      <c r="A201">
        <v>200</v>
      </c>
      <c r="B201" s="1">
        <v>40552</v>
      </c>
      <c r="C201">
        <v>14</v>
      </c>
      <c r="D201" s="2" t="s">
        <v>45</v>
      </c>
      <c r="E201" t="s">
        <v>26</v>
      </c>
      <c r="F201" s="2" t="s">
        <v>31</v>
      </c>
      <c r="G201" t="s">
        <v>28</v>
      </c>
      <c r="H201" s="3">
        <v>0.22</v>
      </c>
      <c r="I201" s="2" t="s">
        <v>42</v>
      </c>
      <c r="J201" s="3">
        <v>0.18179999999999999</v>
      </c>
      <c r="K201" s="3">
        <v>0.32</v>
      </c>
      <c r="L201" s="3">
        <v>0.4627</v>
      </c>
      <c r="M201">
        <v>8</v>
      </c>
      <c r="N201">
        <v>64</v>
      </c>
      <c r="O201">
        <v>72</v>
      </c>
    </row>
    <row r="202" spans="1:15" hidden="1" x14ac:dyDescent="0.3">
      <c r="A202">
        <v>201</v>
      </c>
      <c r="B202" s="1">
        <v>40552</v>
      </c>
      <c r="C202">
        <v>15</v>
      </c>
      <c r="D202" s="2" t="s">
        <v>45</v>
      </c>
      <c r="E202" t="s">
        <v>26</v>
      </c>
      <c r="F202" s="2" t="s">
        <v>31</v>
      </c>
      <c r="G202" t="s">
        <v>28</v>
      </c>
      <c r="H202" s="3">
        <v>0.22</v>
      </c>
      <c r="I202" s="2" t="s">
        <v>42</v>
      </c>
      <c r="J202" s="3">
        <v>0.19700000000000001</v>
      </c>
      <c r="K202" s="3">
        <v>0.35</v>
      </c>
      <c r="L202" s="3">
        <v>0.35820000000000002</v>
      </c>
      <c r="M202">
        <v>5</v>
      </c>
      <c r="N202">
        <v>77</v>
      </c>
      <c r="O202">
        <v>82</v>
      </c>
    </row>
    <row r="203" spans="1:15" hidden="1" x14ac:dyDescent="0.3">
      <c r="A203">
        <v>202</v>
      </c>
      <c r="B203" s="1">
        <v>40552</v>
      </c>
      <c r="C203">
        <v>16</v>
      </c>
      <c r="D203" s="2" t="s">
        <v>45</v>
      </c>
      <c r="E203" t="s">
        <v>26</v>
      </c>
      <c r="F203" s="2" t="s">
        <v>31</v>
      </c>
      <c r="G203" t="s">
        <v>28</v>
      </c>
      <c r="H203" s="3">
        <v>0.2</v>
      </c>
      <c r="I203" s="2" t="s">
        <v>44</v>
      </c>
      <c r="J203" s="3">
        <v>0.16669999999999999</v>
      </c>
      <c r="K203" s="3">
        <v>0.34</v>
      </c>
      <c r="L203" s="3">
        <v>0.44779999999999998</v>
      </c>
      <c r="M203">
        <v>13</v>
      </c>
      <c r="N203">
        <v>79</v>
      </c>
      <c r="O203">
        <v>92</v>
      </c>
    </row>
    <row r="204" spans="1:15" hidden="1" x14ac:dyDescent="0.3">
      <c r="A204">
        <v>203</v>
      </c>
      <c r="B204" s="1">
        <v>40552</v>
      </c>
      <c r="C204">
        <v>17</v>
      </c>
      <c r="D204" s="2" t="s">
        <v>47</v>
      </c>
      <c r="E204" t="s">
        <v>26</v>
      </c>
      <c r="F204" s="2" t="s">
        <v>31</v>
      </c>
      <c r="G204" t="s">
        <v>28</v>
      </c>
      <c r="H204" s="3">
        <v>0.18</v>
      </c>
      <c r="I204" s="2" t="s">
        <v>44</v>
      </c>
      <c r="J204" s="3">
        <v>0.1515</v>
      </c>
      <c r="K204" s="3">
        <v>0.37</v>
      </c>
      <c r="L204" s="3">
        <v>0.3881</v>
      </c>
      <c r="M204">
        <v>3</v>
      </c>
      <c r="N204">
        <v>59</v>
      </c>
      <c r="O204">
        <v>62</v>
      </c>
    </row>
    <row r="205" spans="1:15" hidden="1" x14ac:dyDescent="0.3">
      <c r="A205">
        <v>204</v>
      </c>
      <c r="B205" s="1">
        <v>40552</v>
      </c>
      <c r="C205">
        <v>18</v>
      </c>
      <c r="D205" s="2" t="s">
        <v>47</v>
      </c>
      <c r="E205" t="s">
        <v>26</v>
      </c>
      <c r="F205" s="2" t="s">
        <v>31</v>
      </c>
      <c r="G205" t="s">
        <v>28</v>
      </c>
      <c r="H205" s="3">
        <v>0.16</v>
      </c>
      <c r="I205" s="2" t="s">
        <v>44</v>
      </c>
      <c r="J205" s="3">
        <v>0.13639999999999999</v>
      </c>
      <c r="K205" s="3">
        <v>0.4</v>
      </c>
      <c r="L205" s="3">
        <v>0.32840000000000003</v>
      </c>
      <c r="M205">
        <v>4</v>
      </c>
      <c r="N205">
        <v>44</v>
      </c>
      <c r="O205">
        <v>48</v>
      </c>
    </row>
    <row r="206" spans="1:15" hidden="1" x14ac:dyDescent="0.3">
      <c r="A206">
        <v>205</v>
      </c>
      <c r="B206" s="1">
        <v>40552</v>
      </c>
      <c r="C206">
        <v>19</v>
      </c>
      <c r="D206" s="2" t="s">
        <v>47</v>
      </c>
      <c r="E206" t="s">
        <v>26</v>
      </c>
      <c r="F206" s="2" t="s">
        <v>31</v>
      </c>
      <c r="G206" t="s">
        <v>28</v>
      </c>
      <c r="H206" s="3">
        <v>0.16</v>
      </c>
      <c r="I206" s="2" t="s">
        <v>44</v>
      </c>
      <c r="J206" s="3">
        <v>0.13639999999999999</v>
      </c>
      <c r="K206" s="3">
        <v>0.43</v>
      </c>
      <c r="L206" s="3">
        <v>0.32840000000000003</v>
      </c>
      <c r="M206">
        <v>1</v>
      </c>
      <c r="N206">
        <v>40</v>
      </c>
      <c r="O206">
        <v>41</v>
      </c>
    </row>
    <row r="207" spans="1:15" hidden="1" x14ac:dyDescent="0.3">
      <c r="A207">
        <v>206</v>
      </c>
      <c r="B207" s="1">
        <v>40552</v>
      </c>
      <c r="C207">
        <v>20</v>
      </c>
      <c r="D207" s="2" t="s">
        <v>47</v>
      </c>
      <c r="E207" t="s">
        <v>26</v>
      </c>
      <c r="F207" s="2" t="s">
        <v>31</v>
      </c>
      <c r="G207" t="s">
        <v>28</v>
      </c>
      <c r="H207" s="3">
        <v>0.14000000000000001</v>
      </c>
      <c r="I207" s="2" t="s">
        <v>44</v>
      </c>
      <c r="J207" s="3">
        <v>0.1212</v>
      </c>
      <c r="K207" s="3">
        <v>0.46</v>
      </c>
      <c r="L207" s="3">
        <v>0.25369999999999998</v>
      </c>
      <c r="M207">
        <v>0</v>
      </c>
      <c r="N207">
        <v>38</v>
      </c>
      <c r="O207">
        <v>38</v>
      </c>
    </row>
    <row r="208" spans="1:15" hidden="1" x14ac:dyDescent="0.3">
      <c r="A208">
        <v>207</v>
      </c>
      <c r="B208" s="1">
        <v>40552</v>
      </c>
      <c r="C208">
        <v>21</v>
      </c>
      <c r="D208" s="2" t="s">
        <v>41</v>
      </c>
      <c r="E208" t="s">
        <v>26</v>
      </c>
      <c r="F208" s="2" t="s">
        <v>31</v>
      </c>
      <c r="G208" t="s">
        <v>28</v>
      </c>
      <c r="H208" s="3">
        <v>0.14000000000000001</v>
      </c>
      <c r="I208" s="2" t="s">
        <v>44</v>
      </c>
      <c r="J208" s="3">
        <v>0.1061</v>
      </c>
      <c r="K208" s="3">
        <v>0.46</v>
      </c>
      <c r="L208" s="3">
        <v>0.41789999999999999</v>
      </c>
      <c r="M208">
        <v>1</v>
      </c>
      <c r="N208">
        <v>19</v>
      </c>
      <c r="O208">
        <v>20</v>
      </c>
    </row>
    <row r="209" spans="1:15" hidden="1" x14ac:dyDescent="0.3">
      <c r="A209">
        <v>208</v>
      </c>
      <c r="B209" s="1">
        <v>40552</v>
      </c>
      <c r="C209">
        <v>22</v>
      </c>
      <c r="D209" s="2" t="s">
        <v>41</v>
      </c>
      <c r="E209" t="s">
        <v>26</v>
      </c>
      <c r="F209" s="2" t="s">
        <v>31</v>
      </c>
      <c r="G209" t="s">
        <v>28</v>
      </c>
      <c r="H209" s="3">
        <v>0.14000000000000001</v>
      </c>
      <c r="I209" s="2" t="s">
        <v>44</v>
      </c>
      <c r="J209" s="3">
        <v>0.1212</v>
      </c>
      <c r="K209" s="3">
        <v>0.46</v>
      </c>
      <c r="L209" s="3">
        <v>0.29849999999999999</v>
      </c>
      <c r="M209">
        <v>5</v>
      </c>
      <c r="N209">
        <v>10</v>
      </c>
      <c r="O209">
        <v>15</v>
      </c>
    </row>
    <row r="210" spans="1:15" hidden="1" x14ac:dyDescent="0.3">
      <c r="A210">
        <v>209</v>
      </c>
      <c r="B210" s="1">
        <v>40552</v>
      </c>
      <c r="C210">
        <v>23</v>
      </c>
      <c r="D210" s="2" t="s">
        <v>41</v>
      </c>
      <c r="E210" t="s">
        <v>26</v>
      </c>
      <c r="F210" s="2" t="s">
        <v>31</v>
      </c>
      <c r="G210" t="s">
        <v>28</v>
      </c>
      <c r="H210" s="3">
        <v>0.12</v>
      </c>
      <c r="I210" s="2" t="s">
        <v>44</v>
      </c>
      <c r="J210" s="3">
        <v>0.13639999999999999</v>
      </c>
      <c r="K210" s="3">
        <v>0.5</v>
      </c>
      <c r="L210" s="3">
        <v>0.19400000000000001</v>
      </c>
      <c r="M210">
        <v>0</v>
      </c>
      <c r="N210">
        <v>6</v>
      </c>
      <c r="O210">
        <v>6</v>
      </c>
    </row>
    <row r="211" spans="1:15" hidden="1" x14ac:dyDescent="0.3">
      <c r="A211">
        <v>210</v>
      </c>
      <c r="B211" s="1">
        <v>40553</v>
      </c>
      <c r="C211">
        <v>0</v>
      </c>
      <c r="D211" s="2" t="s">
        <v>41</v>
      </c>
      <c r="E211" t="s">
        <v>26</v>
      </c>
      <c r="F211" s="2" t="s">
        <v>32</v>
      </c>
      <c r="G211" t="s">
        <v>28</v>
      </c>
      <c r="H211" s="3">
        <v>0.12</v>
      </c>
      <c r="I211" s="2" t="s">
        <v>44</v>
      </c>
      <c r="J211" s="3">
        <v>0.1212</v>
      </c>
      <c r="K211" s="3">
        <v>0.5</v>
      </c>
      <c r="L211" s="3">
        <v>0.28360000000000002</v>
      </c>
      <c r="M211">
        <v>2</v>
      </c>
      <c r="N211">
        <v>3</v>
      </c>
      <c r="O211">
        <v>5</v>
      </c>
    </row>
    <row r="212" spans="1:15" hidden="1" x14ac:dyDescent="0.3">
      <c r="A212">
        <v>211</v>
      </c>
      <c r="B212" s="1">
        <v>40553</v>
      </c>
      <c r="C212">
        <v>1</v>
      </c>
      <c r="D212" s="2" t="s">
        <v>41</v>
      </c>
      <c r="E212" t="s">
        <v>26</v>
      </c>
      <c r="F212" s="2" t="s">
        <v>32</v>
      </c>
      <c r="G212" t="s">
        <v>28</v>
      </c>
      <c r="H212" s="3">
        <v>0.12</v>
      </c>
      <c r="I212" s="2" t="s">
        <v>44</v>
      </c>
      <c r="J212" s="3">
        <v>0.1212</v>
      </c>
      <c r="K212" s="3">
        <v>0.5</v>
      </c>
      <c r="L212" s="3">
        <v>0.28360000000000002</v>
      </c>
      <c r="M212">
        <v>1</v>
      </c>
      <c r="N212">
        <v>0</v>
      </c>
      <c r="O212">
        <v>1</v>
      </c>
    </row>
    <row r="213" spans="1:15" hidden="1" x14ac:dyDescent="0.3">
      <c r="A213">
        <v>212</v>
      </c>
      <c r="B213" s="1">
        <v>40553</v>
      </c>
      <c r="C213">
        <v>2</v>
      </c>
      <c r="D213" s="2" t="s">
        <v>41</v>
      </c>
      <c r="E213" t="s">
        <v>26</v>
      </c>
      <c r="F213" s="2" t="s">
        <v>32</v>
      </c>
      <c r="G213" t="s">
        <v>28</v>
      </c>
      <c r="H213" s="3">
        <v>0.12</v>
      </c>
      <c r="I213" s="2" t="s">
        <v>44</v>
      </c>
      <c r="J213" s="3">
        <v>0.1212</v>
      </c>
      <c r="K213" s="3">
        <v>0.5</v>
      </c>
      <c r="L213" s="3">
        <v>0.22389999999999999</v>
      </c>
      <c r="M213">
        <v>0</v>
      </c>
      <c r="N213">
        <v>3</v>
      </c>
      <c r="O213">
        <v>3</v>
      </c>
    </row>
    <row r="214" spans="1:15" hidden="1" x14ac:dyDescent="0.3">
      <c r="A214">
        <v>213</v>
      </c>
      <c r="B214" s="1">
        <v>40553</v>
      </c>
      <c r="C214">
        <v>3</v>
      </c>
      <c r="D214" s="2" t="s">
        <v>41</v>
      </c>
      <c r="E214" t="s">
        <v>26</v>
      </c>
      <c r="F214" s="2" t="s">
        <v>32</v>
      </c>
      <c r="G214" t="s">
        <v>28</v>
      </c>
      <c r="H214" s="3">
        <v>0.12</v>
      </c>
      <c r="I214" s="2" t="s">
        <v>44</v>
      </c>
      <c r="J214" s="3">
        <v>0.1212</v>
      </c>
      <c r="K214" s="3">
        <v>0.5</v>
      </c>
      <c r="L214" s="3">
        <v>0.22389999999999999</v>
      </c>
      <c r="M214">
        <v>0</v>
      </c>
      <c r="N214">
        <v>1</v>
      </c>
      <c r="O214">
        <v>1</v>
      </c>
    </row>
    <row r="215" spans="1:15" hidden="1" x14ac:dyDescent="0.3">
      <c r="A215">
        <v>214</v>
      </c>
      <c r="B215" s="1">
        <v>40553</v>
      </c>
      <c r="C215">
        <v>4</v>
      </c>
      <c r="D215" s="2" t="s">
        <v>41</v>
      </c>
      <c r="E215" t="s">
        <v>26</v>
      </c>
      <c r="F215" s="2" t="s">
        <v>32</v>
      </c>
      <c r="G215" t="s">
        <v>28</v>
      </c>
      <c r="H215" s="3">
        <v>0.1</v>
      </c>
      <c r="I215" s="2" t="s">
        <v>44</v>
      </c>
      <c r="J215" s="3">
        <v>0.1212</v>
      </c>
      <c r="K215" s="3">
        <v>0.54</v>
      </c>
      <c r="L215" s="3">
        <v>0.1343</v>
      </c>
      <c r="M215">
        <v>1</v>
      </c>
      <c r="N215">
        <v>2</v>
      </c>
      <c r="O215">
        <v>3</v>
      </c>
    </row>
    <row r="216" spans="1:15" x14ac:dyDescent="0.3">
      <c r="A216">
        <v>215</v>
      </c>
      <c r="B216" s="1">
        <v>40553</v>
      </c>
      <c r="C216">
        <v>5</v>
      </c>
      <c r="D216" s="2" t="s">
        <v>43</v>
      </c>
      <c r="E216" t="s">
        <v>26</v>
      </c>
      <c r="F216" s="2" t="s">
        <v>32</v>
      </c>
      <c r="G216" t="s">
        <v>28</v>
      </c>
      <c r="H216" s="3">
        <v>0.1</v>
      </c>
      <c r="I216" s="2" t="s">
        <v>44</v>
      </c>
      <c r="J216" s="3">
        <v>0.1061</v>
      </c>
      <c r="K216" s="3">
        <v>0.54</v>
      </c>
      <c r="L216" s="3">
        <v>0.25369999999999998</v>
      </c>
      <c r="M216">
        <v>0</v>
      </c>
      <c r="N216">
        <v>3</v>
      </c>
      <c r="O216">
        <v>3</v>
      </c>
    </row>
    <row r="217" spans="1:15" x14ac:dyDescent="0.3">
      <c r="A217">
        <v>216</v>
      </c>
      <c r="B217" s="1">
        <v>40553</v>
      </c>
      <c r="C217">
        <v>6</v>
      </c>
      <c r="D217" s="2" t="s">
        <v>43</v>
      </c>
      <c r="E217" t="s">
        <v>26</v>
      </c>
      <c r="F217" s="2" t="s">
        <v>32</v>
      </c>
      <c r="G217" t="s">
        <v>28</v>
      </c>
      <c r="H217" s="3">
        <v>0.12</v>
      </c>
      <c r="I217" s="2" t="s">
        <v>44</v>
      </c>
      <c r="J217" s="3">
        <v>0.1212</v>
      </c>
      <c r="K217" s="3">
        <v>0.5</v>
      </c>
      <c r="L217" s="3">
        <v>0.28360000000000002</v>
      </c>
      <c r="M217">
        <v>0</v>
      </c>
      <c r="N217">
        <v>31</v>
      </c>
      <c r="O217">
        <v>31</v>
      </c>
    </row>
    <row r="218" spans="1:15" x14ac:dyDescent="0.3">
      <c r="A218">
        <v>217</v>
      </c>
      <c r="B218" s="1">
        <v>40553</v>
      </c>
      <c r="C218">
        <v>7</v>
      </c>
      <c r="D218" s="2" t="s">
        <v>43</v>
      </c>
      <c r="E218" t="s">
        <v>26</v>
      </c>
      <c r="F218" s="2" t="s">
        <v>32</v>
      </c>
      <c r="G218" t="s">
        <v>28</v>
      </c>
      <c r="H218" s="3">
        <v>0.12</v>
      </c>
      <c r="I218" s="2" t="s">
        <v>44</v>
      </c>
      <c r="J218" s="3">
        <v>0.1212</v>
      </c>
      <c r="K218" s="3">
        <v>0.5</v>
      </c>
      <c r="L218" s="3">
        <v>0.22389999999999999</v>
      </c>
      <c r="M218">
        <v>2</v>
      </c>
      <c r="N218">
        <v>75</v>
      </c>
      <c r="O218">
        <v>77</v>
      </c>
    </row>
    <row r="219" spans="1:15" x14ac:dyDescent="0.3">
      <c r="A219">
        <v>218</v>
      </c>
      <c r="B219" s="1">
        <v>40553</v>
      </c>
      <c r="C219">
        <v>8</v>
      </c>
      <c r="D219" s="2" t="s">
        <v>43</v>
      </c>
      <c r="E219" t="s">
        <v>26</v>
      </c>
      <c r="F219" s="2" t="s">
        <v>32</v>
      </c>
      <c r="G219" t="s">
        <v>29</v>
      </c>
      <c r="H219" s="3">
        <v>0.12</v>
      </c>
      <c r="I219" s="2" t="s">
        <v>44</v>
      </c>
      <c r="J219" s="3">
        <v>0.1212</v>
      </c>
      <c r="K219" s="3">
        <v>0.5</v>
      </c>
      <c r="L219" s="3">
        <v>0.28360000000000002</v>
      </c>
      <c r="M219">
        <v>4</v>
      </c>
      <c r="N219">
        <v>184</v>
      </c>
      <c r="O219">
        <v>188</v>
      </c>
    </row>
    <row r="220" spans="1:15" x14ac:dyDescent="0.3">
      <c r="A220">
        <v>219</v>
      </c>
      <c r="B220" s="1">
        <v>40553</v>
      </c>
      <c r="C220">
        <v>9</v>
      </c>
      <c r="D220" s="2" t="s">
        <v>43</v>
      </c>
      <c r="E220" t="s">
        <v>26</v>
      </c>
      <c r="F220" s="2" t="s">
        <v>32</v>
      </c>
      <c r="G220" t="s">
        <v>29</v>
      </c>
      <c r="H220" s="3">
        <v>0.14000000000000001</v>
      </c>
      <c r="I220" s="2" t="s">
        <v>44</v>
      </c>
      <c r="J220" s="3">
        <v>0.1212</v>
      </c>
      <c r="K220" s="3">
        <v>0.5</v>
      </c>
      <c r="L220" s="3">
        <v>0.25369999999999998</v>
      </c>
      <c r="M220">
        <v>2</v>
      </c>
      <c r="N220">
        <v>92</v>
      </c>
      <c r="O220">
        <v>94</v>
      </c>
    </row>
    <row r="221" spans="1:15" x14ac:dyDescent="0.3">
      <c r="A221">
        <v>220</v>
      </c>
      <c r="B221" s="1">
        <v>40553</v>
      </c>
      <c r="C221">
        <v>10</v>
      </c>
      <c r="D221" s="2" t="s">
        <v>43</v>
      </c>
      <c r="E221" t="s">
        <v>26</v>
      </c>
      <c r="F221" s="2" t="s">
        <v>32</v>
      </c>
      <c r="G221" t="s">
        <v>29</v>
      </c>
      <c r="H221" s="3">
        <v>0.14000000000000001</v>
      </c>
      <c r="I221" s="2" t="s">
        <v>44</v>
      </c>
      <c r="J221" s="3">
        <v>0.1212</v>
      </c>
      <c r="K221" s="3">
        <v>0.5</v>
      </c>
      <c r="L221" s="3">
        <v>0.29849999999999999</v>
      </c>
      <c r="M221">
        <v>0</v>
      </c>
      <c r="N221">
        <v>31</v>
      </c>
      <c r="O221">
        <v>31</v>
      </c>
    </row>
    <row r="222" spans="1:15" x14ac:dyDescent="0.3">
      <c r="A222">
        <v>221</v>
      </c>
      <c r="B222" s="1">
        <v>40553</v>
      </c>
      <c r="C222">
        <v>11</v>
      </c>
      <c r="D222" s="2" t="s">
        <v>43</v>
      </c>
      <c r="E222" t="s">
        <v>26</v>
      </c>
      <c r="F222" s="2" t="s">
        <v>32</v>
      </c>
      <c r="G222" t="s">
        <v>29</v>
      </c>
      <c r="H222" s="3">
        <v>0.16</v>
      </c>
      <c r="I222" s="2" t="s">
        <v>44</v>
      </c>
      <c r="J222" s="3">
        <v>0.13639999999999999</v>
      </c>
      <c r="K222" s="3">
        <v>0.47</v>
      </c>
      <c r="L222" s="3">
        <v>0.28360000000000002</v>
      </c>
      <c r="M222">
        <v>2</v>
      </c>
      <c r="N222">
        <v>28</v>
      </c>
      <c r="O222">
        <v>30</v>
      </c>
    </row>
    <row r="223" spans="1:15" hidden="1" x14ac:dyDescent="0.3">
      <c r="A223">
        <v>222</v>
      </c>
      <c r="B223" s="1">
        <v>40553</v>
      </c>
      <c r="C223">
        <v>12</v>
      </c>
      <c r="D223" s="2" t="s">
        <v>45</v>
      </c>
      <c r="E223" t="s">
        <v>26</v>
      </c>
      <c r="F223" s="2" t="s">
        <v>32</v>
      </c>
      <c r="G223" t="s">
        <v>29</v>
      </c>
      <c r="H223" s="3">
        <v>0.2</v>
      </c>
      <c r="I223" s="2" t="s">
        <v>44</v>
      </c>
      <c r="J223" s="3">
        <v>0.18179999999999999</v>
      </c>
      <c r="K223" s="3">
        <v>0.4</v>
      </c>
      <c r="L223" s="3">
        <v>0.28360000000000002</v>
      </c>
      <c r="M223">
        <v>5</v>
      </c>
      <c r="N223">
        <v>47</v>
      </c>
      <c r="O223">
        <v>52</v>
      </c>
    </row>
    <row r="224" spans="1:15" hidden="1" x14ac:dyDescent="0.3">
      <c r="A224">
        <v>223</v>
      </c>
      <c r="B224" s="1">
        <v>40553</v>
      </c>
      <c r="C224">
        <v>13</v>
      </c>
      <c r="D224" s="2" t="s">
        <v>45</v>
      </c>
      <c r="E224" t="s">
        <v>26</v>
      </c>
      <c r="F224" s="2" t="s">
        <v>32</v>
      </c>
      <c r="G224" t="s">
        <v>29</v>
      </c>
      <c r="H224" s="3">
        <v>0.2</v>
      </c>
      <c r="I224" s="2" t="s">
        <v>44</v>
      </c>
      <c r="J224" s="3">
        <v>0.18179999999999999</v>
      </c>
      <c r="K224" s="3">
        <v>0.4</v>
      </c>
      <c r="L224" s="3">
        <v>0.28360000000000002</v>
      </c>
      <c r="M224">
        <v>4</v>
      </c>
      <c r="N224">
        <v>50</v>
      </c>
      <c r="O224">
        <v>54</v>
      </c>
    </row>
    <row r="225" spans="1:15" hidden="1" x14ac:dyDescent="0.3">
      <c r="A225">
        <v>224</v>
      </c>
      <c r="B225" s="1">
        <v>40553</v>
      </c>
      <c r="C225">
        <v>14</v>
      </c>
      <c r="D225" s="2" t="s">
        <v>45</v>
      </c>
      <c r="E225" t="s">
        <v>26</v>
      </c>
      <c r="F225" s="2" t="s">
        <v>32</v>
      </c>
      <c r="G225" t="s">
        <v>29</v>
      </c>
      <c r="H225" s="3">
        <v>0.2</v>
      </c>
      <c r="I225" s="2" t="s">
        <v>44</v>
      </c>
      <c r="J225" s="3">
        <v>0.19700000000000001</v>
      </c>
      <c r="K225" s="3">
        <v>0.4</v>
      </c>
      <c r="L225" s="3">
        <v>0.22389999999999999</v>
      </c>
      <c r="M225">
        <v>0</v>
      </c>
      <c r="N225">
        <v>47</v>
      </c>
      <c r="O225">
        <v>47</v>
      </c>
    </row>
    <row r="226" spans="1:15" hidden="1" x14ac:dyDescent="0.3">
      <c r="A226">
        <v>225</v>
      </c>
      <c r="B226" s="1">
        <v>40553</v>
      </c>
      <c r="C226">
        <v>15</v>
      </c>
      <c r="D226" s="2" t="s">
        <v>45</v>
      </c>
      <c r="E226" t="s">
        <v>26</v>
      </c>
      <c r="F226" s="2" t="s">
        <v>32</v>
      </c>
      <c r="G226" t="s">
        <v>29</v>
      </c>
      <c r="H226" s="3">
        <v>0.2</v>
      </c>
      <c r="I226" s="2" t="s">
        <v>44</v>
      </c>
      <c r="J226" s="3">
        <v>0.19700000000000001</v>
      </c>
      <c r="K226" s="3">
        <v>0.4</v>
      </c>
      <c r="L226" s="3">
        <v>0.22389999999999999</v>
      </c>
      <c r="M226">
        <v>2</v>
      </c>
      <c r="N226">
        <v>43</v>
      </c>
      <c r="O226">
        <v>45</v>
      </c>
    </row>
    <row r="227" spans="1:15" hidden="1" x14ac:dyDescent="0.3">
      <c r="A227">
        <v>226</v>
      </c>
      <c r="B227" s="1">
        <v>40553</v>
      </c>
      <c r="C227">
        <v>16</v>
      </c>
      <c r="D227" s="2" t="s">
        <v>45</v>
      </c>
      <c r="E227" t="s">
        <v>26</v>
      </c>
      <c r="F227" s="2" t="s">
        <v>32</v>
      </c>
      <c r="G227" t="s">
        <v>28</v>
      </c>
      <c r="H227" s="3">
        <v>0.2</v>
      </c>
      <c r="I227" s="2" t="s">
        <v>44</v>
      </c>
      <c r="J227" s="3">
        <v>0.21210000000000001</v>
      </c>
      <c r="K227" s="3">
        <v>0.4</v>
      </c>
      <c r="L227" s="3">
        <v>0.1343</v>
      </c>
      <c r="M227">
        <v>4</v>
      </c>
      <c r="N227">
        <v>70</v>
      </c>
      <c r="O227">
        <v>74</v>
      </c>
    </row>
    <row r="228" spans="1:15" hidden="1" x14ac:dyDescent="0.3">
      <c r="A228">
        <v>227</v>
      </c>
      <c r="B228" s="1">
        <v>40553</v>
      </c>
      <c r="C228">
        <v>17</v>
      </c>
      <c r="D228" s="2" t="s">
        <v>47</v>
      </c>
      <c r="E228" t="s">
        <v>26</v>
      </c>
      <c r="F228" s="2" t="s">
        <v>32</v>
      </c>
      <c r="G228" t="s">
        <v>28</v>
      </c>
      <c r="H228" s="3">
        <v>0.2</v>
      </c>
      <c r="I228" s="2" t="s">
        <v>44</v>
      </c>
      <c r="J228" s="3">
        <v>0.2273</v>
      </c>
      <c r="K228" s="3">
        <v>0.4</v>
      </c>
      <c r="L228" s="3">
        <v>0.1045</v>
      </c>
      <c r="M228">
        <v>4</v>
      </c>
      <c r="N228">
        <v>174</v>
      </c>
      <c r="O228">
        <v>178</v>
      </c>
    </row>
    <row r="229" spans="1:15" hidden="1" x14ac:dyDescent="0.3">
      <c r="A229">
        <v>228</v>
      </c>
      <c r="B229" s="1">
        <v>40553</v>
      </c>
      <c r="C229">
        <v>18</v>
      </c>
      <c r="D229" s="2" t="s">
        <v>47</v>
      </c>
      <c r="E229" t="s">
        <v>26</v>
      </c>
      <c r="F229" s="2" t="s">
        <v>32</v>
      </c>
      <c r="G229" t="s">
        <v>28</v>
      </c>
      <c r="H229" s="3">
        <v>0.2</v>
      </c>
      <c r="I229" s="2" t="s">
        <v>44</v>
      </c>
      <c r="J229" s="3">
        <v>0.19700000000000001</v>
      </c>
      <c r="K229" s="3">
        <v>0.4</v>
      </c>
      <c r="L229" s="3">
        <v>0.22389999999999999</v>
      </c>
      <c r="M229">
        <v>1</v>
      </c>
      <c r="N229">
        <v>154</v>
      </c>
      <c r="O229">
        <v>155</v>
      </c>
    </row>
    <row r="230" spans="1:15" hidden="1" x14ac:dyDescent="0.3">
      <c r="A230">
        <v>229</v>
      </c>
      <c r="B230" s="1">
        <v>40553</v>
      </c>
      <c r="C230">
        <v>19</v>
      </c>
      <c r="D230" s="2" t="s">
        <v>47</v>
      </c>
      <c r="E230" t="s">
        <v>26</v>
      </c>
      <c r="F230" s="2" t="s">
        <v>32</v>
      </c>
      <c r="G230" t="s">
        <v>28</v>
      </c>
      <c r="H230" s="3">
        <v>0.16</v>
      </c>
      <c r="I230" s="2" t="s">
        <v>44</v>
      </c>
      <c r="J230" s="3">
        <v>0.16669999999999999</v>
      </c>
      <c r="K230" s="3">
        <v>0.47</v>
      </c>
      <c r="L230" s="3">
        <v>0.16420000000000001</v>
      </c>
      <c r="M230">
        <v>3</v>
      </c>
      <c r="N230">
        <v>92</v>
      </c>
      <c r="O230">
        <v>95</v>
      </c>
    </row>
    <row r="231" spans="1:15" hidden="1" x14ac:dyDescent="0.3">
      <c r="A231">
        <v>230</v>
      </c>
      <c r="B231" s="1">
        <v>40553</v>
      </c>
      <c r="C231">
        <v>20</v>
      </c>
      <c r="D231" s="2" t="s">
        <v>47</v>
      </c>
      <c r="E231" t="s">
        <v>26</v>
      </c>
      <c r="F231" s="2" t="s">
        <v>32</v>
      </c>
      <c r="G231" t="s">
        <v>28</v>
      </c>
      <c r="H231" s="3">
        <v>0.16</v>
      </c>
      <c r="I231" s="2" t="s">
        <v>44</v>
      </c>
      <c r="J231" s="3">
        <v>0.16669999999999999</v>
      </c>
      <c r="K231" s="3">
        <v>0.5</v>
      </c>
      <c r="L231" s="3">
        <v>0.16420000000000001</v>
      </c>
      <c r="M231">
        <v>1</v>
      </c>
      <c r="N231">
        <v>73</v>
      </c>
      <c r="O231">
        <v>74</v>
      </c>
    </row>
    <row r="232" spans="1:15" hidden="1" x14ac:dyDescent="0.3">
      <c r="A232">
        <v>231</v>
      </c>
      <c r="B232" s="1">
        <v>40553</v>
      </c>
      <c r="C232">
        <v>21</v>
      </c>
      <c r="D232" s="2" t="s">
        <v>41</v>
      </c>
      <c r="E232" t="s">
        <v>26</v>
      </c>
      <c r="F232" s="2" t="s">
        <v>32</v>
      </c>
      <c r="G232" t="s">
        <v>28</v>
      </c>
      <c r="H232" s="3">
        <v>0.14000000000000001</v>
      </c>
      <c r="I232" s="2" t="s">
        <v>44</v>
      </c>
      <c r="J232" s="3">
        <v>0.13639999999999999</v>
      </c>
      <c r="K232" s="3">
        <v>0.59</v>
      </c>
      <c r="L232" s="3">
        <v>0.19400000000000001</v>
      </c>
      <c r="M232">
        <v>1</v>
      </c>
      <c r="N232">
        <v>37</v>
      </c>
      <c r="O232">
        <v>38</v>
      </c>
    </row>
    <row r="233" spans="1:15" hidden="1" x14ac:dyDescent="0.3">
      <c r="A233">
        <v>232</v>
      </c>
      <c r="B233" s="1">
        <v>40553</v>
      </c>
      <c r="C233">
        <v>22</v>
      </c>
      <c r="D233" s="2" t="s">
        <v>41</v>
      </c>
      <c r="E233" t="s">
        <v>26</v>
      </c>
      <c r="F233" s="2" t="s">
        <v>32</v>
      </c>
      <c r="G233" t="s">
        <v>28</v>
      </c>
      <c r="H233" s="3">
        <v>0.14000000000000001</v>
      </c>
      <c r="I233" s="2" t="s">
        <v>44</v>
      </c>
      <c r="J233" s="3">
        <v>0.1515</v>
      </c>
      <c r="K233" s="3">
        <v>0.59</v>
      </c>
      <c r="L233" s="3">
        <v>0.16420000000000001</v>
      </c>
      <c r="M233">
        <v>2</v>
      </c>
      <c r="N233">
        <v>22</v>
      </c>
      <c r="O233">
        <v>24</v>
      </c>
    </row>
    <row r="234" spans="1:15" hidden="1" x14ac:dyDescent="0.3">
      <c r="A234">
        <v>233</v>
      </c>
      <c r="B234" s="1">
        <v>40553</v>
      </c>
      <c r="C234">
        <v>23</v>
      </c>
      <c r="D234" s="2" t="s">
        <v>41</v>
      </c>
      <c r="E234" t="s">
        <v>26</v>
      </c>
      <c r="F234" s="2" t="s">
        <v>32</v>
      </c>
      <c r="G234" t="s">
        <v>28</v>
      </c>
      <c r="H234" s="3">
        <v>0.14000000000000001</v>
      </c>
      <c r="I234" s="2" t="s">
        <v>44</v>
      </c>
      <c r="J234" s="3">
        <v>0.1515</v>
      </c>
      <c r="K234" s="3">
        <v>0.59</v>
      </c>
      <c r="L234" s="3">
        <v>0.16420000000000001</v>
      </c>
      <c r="M234">
        <v>0</v>
      </c>
      <c r="N234">
        <v>18</v>
      </c>
      <c r="O234">
        <v>18</v>
      </c>
    </row>
    <row r="235" spans="1:15" hidden="1" x14ac:dyDescent="0.3">
      <c r="A235">
        <v>234</v>
      </c>
      <c r="B235" s="1">
        <v>40554</v>
      </c>
      <c r="C235">
        <v>0</v>
      </c>
      <c r="D235" s="2" t="s">
        <v>41</v>
      </c>
      <c r="E235" t="s">
        <v>26</v>
      </c>
      <c r="F235" s="2" t="s">
        <v>33</v>
      </c>
      <c r="G235" t="s">
        <v>28</v>
      </c>
      <c r="H235" s="3">
        <v>0.14000000000000001</v>
      </c>
      <c r="I235" s="2" t="s">
        <v>44</v>
      </c>
      <c r="J235" s="3">
        <v>0.16669999999999999</v>
      </c>
      <c r="K235" s="3">
        <v>0.59</v>
      </c>
      <c r="L235" s="3">
        <v>0.1045</v>
      </c>
      <c r="M235">
        <v>2</v>
      </c>
      <c r="N235">
        <v>10</v>
      </c>
      <c r="O235">
        <v>12</v>
      </c>
    </row>
    <row r="236" spans="1:15" hidden="1" x14ac:dyDescent="0.3">
      <c r="A236">
        <v>235</v>
      </c>
      <c r="B236" s="1">
        <v>40554</v>
      </c>
      <c r="C236">
        <v>1</v>
      </c>
      <c r="D236" s="2" t="s">
        <v>41</v>
      </c>
      <c r="E236" t="s">
        <v>26</v>
      </c>
      <c r="F236" s="2" t="s">
        <v>33</v>
      </c>
      <c r="G236" t="s">
        <v>28</v>
      </c>
      <c r="H236" s="3">
        <v>0.14000000000000001</v>
      </c>
      <c r="I236" s="2" t="s">
        <v>44</v>
      </c>
      <c r="J236" s="3">
        <v>0.1515</v>
      </c>
      <c r="K236" s="3">
        <v>0.59</v>
      </c>
      <c r="L236" s="3">
        <v>0.16420000000000001</v>
      </c>
      <c r="M236">
        <v>0</v>
      </c>
      <c r="N236">
        <v>3</v>
      </c>
      <c r="O236">
        <v>3</v>
      </c>
    </row>
    <row r="237" spans="1:15" hidden="1" x14ac:dyDescent="0.3">
      <c r="A237">
        <v>236</v>
      </c>
      <c r="B237" s="1">
        <v>40554</v>
      </c>
      <c r="C237">
        <v>2</v>
      </c>
      <c r="D237" s="2" t="s">
        <v>41</v>
      </c>
      <c r="E237" t="s">
        <v>26</v>
      </c>
      <c r="F237" s="2" t="s">
        <v>33</v>
      </c>
      <c r="G237" t="s">
        <v>29</v>
      </c>
      <c r="H237" s="3">
        <v>0.16</v>
      </c>
      <c r="I237" s="2" t="s">
        <v>44</v>
      </c>
      <c r="J237" s="3">
        <v>0.1515</v>
      </c>
      <c r="K237" s="3">
        <v>0.55000000000000004</v>
      </c>
      <c r="L237" s="3">
        <v>0.19400000000000001</v>
      </c>
      <c r="M237">
        <v>0</v>
      </c>
      <c r="N237">
        <v>3</v>
      </c>
      <c r="O237">
        <v>3</v>
      </c>
    </row>
    <row r="238" spans="1:15" x14ac:dyDescent="0.3">
      <c r="A238">
        <v>237</v>
      </c>
      <c r="B238" s="1">
        <v>40554</v>
      </c>
      <c r="C238">
        <v>5</v>
      </c>
      <c r="D238" s="2" t="s">
        <v>43</v>
      </c>
      <c r="E238" t="s">
        <v>26</v>
      </c>
      <c r="F238" s="2" t="s">
        <v>33</v>
      </c>
      <c r="G238" t="s">
        <v>29</v>
      </c>
      <c r="H238" s="3">
        <v>0.16</v>
      </c>
      <c r="I238" s="2" t="s">
        <v>44</v>
      </c>
      <c r="J238" s="3">
        <v>0.18179999999999999</v>
      </c>
      <c r="K238" s="3">
        <v>0.55000000000000004</v>
      </c>
      <c r="L238" s="3">
        <v>0.1343</v>
      </c>
      <c r="M238">
        <v>0</v>
      </c>
      <c r="N238">
        <v>6</v>
      </c>
      <c r="O238">
        <v>6</v>
      </c>
    </row>
    <row r="239" spans="1:15" x14ac:dyDescent="0.3">
      <c r="A239">
        <v>238</v>
      </c>
      <c r="B239" s="1">
        <v>40554</v>
      </c>
      <c r="C239">
        <v>6</v>
      </c>
      <c r="D239" s="2" t="s">
        <v>43</v>
      </c>
      <c r="E239" t="s">
        <v>26</v>
      </c>
      <c r="F239" s="2" t="s">
        <v>33</v>
      </c>
      <c r="G239" t="s">
        <v>29</v>
      </c>
      <c r="H239" s="3">
        <v>0.16</v>
      </c>
      <c r="I239" s="2" t="s">
        <v>44</v>
      </c>
      <c r="J239" s="3">
        <v>0.18179999999999999</v>
      </c>
      <c r="K239" s="3">
        <v>0.55000000000000004</v>
      </c>
      <c r="L239" s="3">
        <v>0.1343</v>
      </c>
      <c r="M239">
        <v>0</v>
      </c>
      <c r="N239">
        <v>27</v>
      </c>
      <c r="O239">
        <v>27</v>
      </c>
    </row>
    <row r="240" spans="1:15" x14ac:dyDescent="0.3">
      <c r="A240">
        <v>239</v>
      </c>
      <c r="B240" s="1">
        <v>40554</v>
      </c>
      <c r="C240">
        <v>7</v>
      </c>
      <c r="D240" s="2" t="s">
        <v>43</v>
      </c>
      <c r="E240" t="s">
        <v>26</v>
      </c>
      <c r="F240" s="2" t="s">
        <v>33</v>
      </c>
      <c r="G240" t="s">
        <v>29</v>
      </c>
      <c r="H240" s="3">
        <v>0.16</v>
      </c>
      <c r="I240" s="2" t="s">
        <v>44</v>
      </c>
      <c r="J240" s="3">
        <v>0.2273</v>
      </c>
      <c r="K240" s="3">
        <v>0.55000000000000004</v>
      </c>
      <c r="L240" s="3">
        <v>0</v>
      </c>
      <c r="M240">
        <v>2</v>
      </c>
      <c r="N240">
        <v>97</v>
      </c>
      <c r="O240">
        <v>99</v>
      </c>
    </row>
    <row r="241" spans="1:15" x14ac:dyDescent="0.3">
      <c r="A241">
        <v>240</v>
      </c>
      <c r="B241" s="1">
        <v>40554</v>
      </c>
      <c r="C241">
        <v>8</v>
      </c>
      <c r="D241" s="2" t="s">
        <v>43</v>
      </c>
      <c r="E241" t="s">
        <v>26</v>
      </c>
      <c r="F241" s="2" t="s">
        <v>33</v>
      </c>
      <c r="G241" t="s">
        <v>29</v>
      </c>
      <c r="H241" s="3">
        <v>0.18</v>
      </c>
      <c r="I241" s="2" t="s">
        <v>44</v>
      </c>
      <c r="J241" s="3">
        <v>0.21210000000000001</v>
      </c>
      <c r="K241" s="3">
        <v>0.51</v>
      </c>
      <c r="L241" s="3">
        <v>8.9599999999999999E-2</v>
      </c>
      <c r="M241">
        <v>3</v>
      </c>
      <c r="N241">
        <v>214</v>
      </c>
      <c r="O241">
        <v>217</v>
      </c>
    </row>
    <row r="242" spans="1:15" x14ac:dyDescent="0.3">
      <c r="A242">
        <v>241</v>
      </c>
      <c r="B242" s="1">
        <v>40554</v>
      </c>
      <c r="C242">
        <v>9</v>
      </c>
      <c r="D242" s="2" t="s">
        <v>43</v>
      </c>
      <c r="E242" t="s">
        <v>26</v>
      </c>
      <c r="F242" s="2" t="s">
        <v>33</v>
      </c>
      <c r="G242" t="s">
        <v>29</v>
      </c>
      <c r="H242" s="3">
        <v>0.18</v>
      </c>
      <c r="I242" s="2" t="s">
        <v>44</v>
      </c>
      <c r="J242" s="3">
        <v>0.19700000000000001</v>
      </c>
      <c r="K242" s="3">
        <v>0.51</v>
      </c>
      <c r="L242" s="3">
        <v>0.16420000000000001</v>
      </c>
      <c r="M242">
        <v>3</v>
      </c>
      <c r="N242">
        <v>127</v>
      </c>
      <c r="O242">
        <v>130</v>
      </c>
    </row>
    <row r="243" spans="1:15" x14ac:dyDescent="0.3">
      <c r="A243">
        <v>242</v>
      </c>
      <c r="B243" s="1">
        <v>40554</v>
      </c>
      <c r="C243">
        <v>10</v>
      </c>
      <c r="D243" s="2" t="s">
        <v>43</v>
      </c>
      <c r="E243" t="s">
        <v>26</v>
      </c>
      <c r="F243" s="2" t="s">
        <v>33</v>
      </c>
      <c r="G243" t="s">
        <v>29</v>
      </c>
      <c r="H243" s="3">
        <v>0.2</v>
      </c>
      <c r="I243" s="2" t="s">
        <v>44</v>
      </c>
      <c r="J243" s="3">
        <v>0.21210000000000001</v>
      </c>
      <c r="K243" s="3">
        <v>0.51</v>
      </c>
      <c r="L243" s="3">
        <v>0.16420000000000001</v>
      </c>
      <c r="M243">
        <v>3</v>
      </c>
      <c r="N243">
        <v>51</v>
      </c>
      <c r="O243">
        <v>54</v>
      </c>
    </row>
    <row r="244" spans="1:15" x14ac:dyDescent="0.3">
      <c r="A244">
        <v>243</v>
      </c>
      <c r="B244" s="1">
        <v>40554</v>
      </c>
      <c r="C244">
        <v>11</v>
      </c>
      <c r="D244" s="2" t="s">
        <v>43</v>
      </c>
      <c r="E244" t="s">
        <v>26</v>
      </c>
      <c r="F244" s="2" t="s">
        <v>33</v>
      </c>
      <c r="G244" t="s">
        <v>29</v>
      </c>
      <c r="H244" s="3">
        <v>0.2</v>
      </c>
      <c r="I244" s="2" t="s">
        <v>44</v>
      </c>
      <c r="J244" s="3">
        <v>0.21210000000000001</v>
      </c>
      <c r="K244" s="3">
        <v>0.47</v>
      </c>
      <c r="L244" s="3">
        <v>0.1343</v>
      </c>
      <c r="M244">
        <v>4</v>
      </c>
      <c r="N244">
        <v>31</v>
      </c>
      <c r="O244">
        <v>35</v>
      </c>
    </row>
    <row r="245" spans="1:15" hidden="1" x14ac:dyDescent="0.3">
      <c r="A245">
        <v>244</v>
      </c>
      <c r="B245" s="1">
        <v>40554</v>
      </c>
      <c r="C245">
        <v>12</v>
      </c>
      <c r="D245" s="2" t="s">
        <v>45</v>
      </c>
      <c r="E245" t="s">
        <v>26</v>
      </c>
      <c r="F245" s="2" t="s">
        <v>33</v>
      </c>
      <c r="G245" t="s">
        <v>29</v>
      </c>
      <c r="H245" s="3">
        <v>0.2</v>
      </c>
      <c r="I245" s="2" t="s">
        <v>44</v>
      </c>
      <c r="J245" s="3">
        <v>0.2273</v>
      </c>
      <c r="K245" s="3">
        <v>0.51</v>
      </c>
      <c r="L245" s="3">
        <v>0.1045</v>
      </c>
      <c r="M245">
        <v>2</v>
      </c>
      <c r="N245">
        <v>55</v>
      </c>
      <c r="O245">
        <v>57</v>
      </c>
    </row>
    <row r="246" spans="1:15" hidden="1" x14ac:dyDescent="0.3">
      <c r="A246">
        <v>245</v>
      </c>
      <c r="B246" s="1">
        <v>40554</v>
      </c>
      <c r="C246">
        <v>13</v>
      </c>
      <c r="D246" s="2" t="s">
        <v>45</v>
      </c>
      <c r="E246" t="s">
        <v>26</v>
      </c>
      <c r="F246" s="2" t="s">
        <v>33</v>
      </c>
      <c r="G246" t="s">
        <v>29</v>
      </c>
      <c r="H246" s="3">
        <v>0.2</v>
      </c>
      <c r="I246" s="2" t="s">
        <v>44</v>
      </c>
      <c r="J246" s="3">
        <v>0.2273</v>
      </c>
      <c r="K246" s="3">
        <v>0.59</v>
      </c>
      <c r="L246" s="3">
        <v>8.9599999999999999E-2</v>
      </c>
      <c r="M246">
        <v>6</v>
      </c>
      <c r="N246">
        <v>46</v>
      </c>
      <c r="O246">
        <v>52</v>
      </c>
    </row>
    <row r="247" spans="1:15" hidden="1" x14ac:dyDescent="0.3">
      <c r="A247">
        <v>246</v>
      </c>
      <c r="B247" s="1">
        <v>40554</v>
      </c>
      <c r="C247">
        <v>14</v>
      </c>
      <c r="D247" s="2" t="s">
        <v>45</v>
      </c>
      <c r="E247" t="s">
        <v>26</v>
      </c>
      <c r="F247" s="2" t="s">
        <v>33</v>
      </c>
      <c r="G247" t="s">
        <v>29</v>
      </c>
      <c r="H247" s="3">
        <v>0.2</v>
      </c>
      <c r="I247" s="2" t="s">
        <v>44</v>
      </c>
      <c r="J247" s="3">
        <v>0.2273</v>
      </c>
      <c r="K247" s="3">
        <v>0.59</v>
      </c>
      <c r="L247" s="3">
        <v>8.9599999999999999E-2</v>
      </c>
      <c r="M247">
        <v>3</v>
      </c>
      <c r="N247">
        <v>60</v>
      </c>
      <c r="O247">
        <v>63</v>
      </c>
    </row>
    <row r="248" spans="1:15" hidden="1" x14ac:dyDescent="0.3">
      <c r="A248">
        <v>247</v>
      </c>
      <c r="B248" s="1">
        <v>40554</v>
      </c>
      <c r="C248">
        <v>15</v>
      </c>
      <c r="D248" s="2" t="s">
        <v>45</v>
      </c>
      <c r="E248" t="s">
        <v>26</v>
      </c>
      <c r="F248" s="2" t="s">
        <v>33</v>
      </c>
      <c r="G248" t="s">
        <v>29</v>
      </c>
      <c r="H248" s="3">
        <v>0.16</v>
      </c>
      <c r="I248" s="2" t="s">
        <v>44</v>
      </c>
      <c r="J248" s="3">
        <v>0.19700000000000001</v>
      </c>
      <c r="K248" s="3">
        <v>0.8</v>
      </c>
      <c r="L248" s="3">
        <v>8.9599999999999999E-2</v>
      </c>
      <c r="M248">
        <v>2</v>
      </c>
      <c r="N248">
        <v>45</v>
      </c>
      <c r="O248">
        <v>47</v>
      </c>
    </row>
    <row r="249" spans="1:15" hidden="1" x14ac:dyDescent="0.3">
      <c r="A249">
        <v>248</v>
      </c>
      <c r="B249" s="1">
        <v>40554</v>
      </c>
      <c r="C249">
        <v>16</v>
      </c>
      <c r="D249" s="2" t="s">
        <v>45</v>
      </c>
      <c r="E249" t="s">
        <v>26</v>
      </c>
      <c r="F249" s="2" t="s">
        <v>33</v>
      </c>
      <c r="G249" t="s">
        <v>29</v>
      </c>
      <c r="H249" s="3">
        <v>0.16</v>
      </c>
      <c r="I249" s="2" t="s">
        <v>44</v>
      </c>
      <c r="J249" s="3">
        <v>0.1515</v>
      </c>
      <c r="K249" s="3">
        <v>0.86</v>
      </c>
      <c r="L249" s="3">
        <v>0.22389999999999999</v>
      </c>
      <c r="M249">
        <v>4</v>
      </c>
      <c r="N249">
        <v>72</v>
      </c>
      <c r="O249">
        <v>76</v>
      </c>
    </row>
    <row r="250" spans="1:15" hidden="1" x14ac:dyDescent="0.3">
      <c r="A250">
        <v>249</v>
      </c>
      <c r="B250" s="1">
        <v>40554</v>
      </c>
      <c r="C250">
        <v>17</v>
      </c>
      <c r="D250" s="2" t="s">
        <v>47</v>
      </c>
      <c r="E250" t="s">
        <v>26</v>
      </c>
      <c r="F250" s="2" t="s">
        <v>33</v>
      </c>
      <c r="G250" t="s">
        <v>29</v>
      </c>
      <c r="H250" s="3">
        <v>0.16</v>
      </c>
      <c r="I250" s="2" t="s">
        <v>44</v>
      </c>
      <c r="J250" s="3">
        <v>0.1515</v>
      </c>
      <c r="K250" s="3">
        <v>0.86</v>
      </c>
      <c r="L250" s="3">
        <v>0.22389999999999999</v>
      </c>
      <c r="M250">
        <v>6</v>
      </c>
      <c r="N250">
        <v>130</v>
      </c>
      <c r="O250">
        <v>136</v>
      </c>
    </row>
    <row r="251" spans="1:15" hidden="1" x14ac:dyDescent="0.3">
      <c r="A251">
        <v>250</v>
      </c>
      <c r="B251" s="1">
        <v>40554</v>
      </c>
      <c r="C251">
        <v>18</v>
      </c>
      <c r="D251" s="2" t="s">
        <v>47</v>
      </c>
      <c r="E251" t="s">
        <v>26</v>
      </c>
      <c r="F251" s="2" t="s">
        <v>33</v>
      </c>
      <c r="G251" t="s">
        <v>30</v>
      </c>
      <c r="H251" s="3">
        <v>0.16</v>
      </c>
      <c r="I251" s="2" t="s">
        <v>44</v>
      </c>
      <c r="J251" s="3">
        <v>0.18179999999999999</v>
      </c>
      <c r="K251" s="3">
        <v>0.93</v>
      </c>
      <c r="L251" s="3">
        <v>0.1045</v>
      </c>
      <c r="M251">
        <v>1</v>
      </c>
      <c r="N251">
        <v>94</v>
      </c>
      <c r="O251">
        <v>95</v>
      </c>
    </row>
    <row r="252" spans="1:15" hidden="1" x14ac:dyDescent="0.3">
      <c r="A252">
        <v>251</v>
      </c>
      <c r="B252" s="1">
        <v>40554</v>
      </c>
      <c r="C252">
        <v>19</v>
      </c>
      <c r="D252" s="2" t="s">
        <v>47</v>
      </c>
      <c r="E252" t="s">
        <v>26</v>
      </c>
      <c r="F252" s="2" t="s">
        <v>33</v>
      </c>
      <c r="G252" t="s">
        <v>30</v>
      </c>
      <c r="H252" s="3">
        <v>0.16</v>
      </c>
      <c r="I252" s="2" t="s">
        <v>44</v>
      </c>
      <c r="J252" s="3">
        <v>0.2273</v>
      </c>
      <c r="K252" s="3">
        <v>0.93</v>
      </c>
      <c r="L252" s="3">
        <v>0</v>
      </c>
      <c r="M252">
        <v>0</v>
      </c>
      <c r="N252">
        <v>51</v>
      </c>
      <c r="O252">
        <v>51</v>
      </c>
    </row>
    <row r="253" spans="1:15" hidden="1" x14ac:dyDescent="0.3">
      <c r="A253">
        <v>252</v>
      </c>
      <c r="B253" s="1">
        <v>40554</v>
      </c>
      <c r="C253">
        <v>20</v>
      </c>
      <c r="D253" s="2" t="s">
        <v>47</v>
      </c>
      <c r="E253" t="s">
        <v>26</v>
      </c>
      <c r="F253" s="2" t="s">
        <v>33</v>
      </c>
      <c r="G253" t="s">
        <v>30</v>
      </c>
      <c r="H253" s="3">
        <v>0.16</v>
      </c>
      <c r="I253" s="2" t="s">
        <v>44</v>
      </c>
      <c r="J253" s="3">
        <v>0.1515</v>
      </c>
      <c r="K253" s="3">
        <v>0.93</v>
      </c>
      <c r="L253" s="3">
        <v>0.19400000000000001</v>
      </c>
      <c r="M253">
        <v>0</v>
      </c>
      <c r="N253">
        <v>32</v>
      </c>
      <c r="O253">
        <v>32</v>
      </c>
    </row>
    <row r="254" spans="1:15" hidden="1" x14ac:dyDescent="0.3">
      <c r="A254">
        <v>253</v>
      </c>
      <c r="B254" s="1">
        <v>40554</v>
      </c>
      <c r="C254">
        <v>21</v>
      </c>
      <c r="D254" s="2" t="s">
        <v>41</v>
      </c>
      <c r="E254" t="s">
        <v>26</v>
      </c>
      <c r="F254" s="2" t="s">
        <v>33</v>
      </c>
      <c r="G254" t="s">
        <v>30</v>
      </c>
      <c r="H254" s="3">
        <v>0.16</v>
      </c>
      <c r="I254" s="2" t="s">
        <v>44</v>
      </c>
      <c r="J254" s="3">
        <v>0.19700000000000001</v>
      </c>
      <c r="K254" s="3">
        <v>0.86</v>
      </c>
      <c r="L254" s="3">
        <v>8.9599999999999999E-2</v>
      </c>
      <c r="M254">
        <v>0</v>
      </c>
      <c r="N254">
        <v>20</v>
      </c>
      <c r="O254">
        <v>20</v>
      </c>
    </row>
    <row r="255" spans="1:15" hidden="1" x14ac:dyDescent="0.3">
      <c r="A255">
        <v>254</v>
      </c>
      <c r="B255" s="1">
        <v>40554</v>
      </c>
      <c r="C255">
        <v>22</v>
      </c>
      <c r="D255" s="2" t="s">
        <v>41</v>
      </c>
      <c r="E255" t="s">
        <v>26</v>
      </c>
      <c r="F255" s="2" t="s">
        <v>33</v>
      </c>
      <c r="G255" t="s">
        <v>30</v>
      </c>
      <c r="H255" s="3">
        <v>0.16</v>
      </c>
      <c r="I255" s="2" t="s">
        <v>44</v>
      </c>
      <c r="J255" s="3">
        <v>0.18179999999999999</v>
      </c>
      <c r="K255" s="3">
        <v>0.93</v>
      </c>
      <c r="L255" s="3">
        <v>0.1045</v>
      </c>
      <c r="M255">
        <v>1</v>
      </c>
      <c r="N255">
        <v>28</v>
      </c>
      <c r="O255">
        <v>29</v>
      </c>
    </row>
    <row r="256" spans="1:15" hidden="1" x14ac:dyDescent="0.3">
      <c r="A256">
        <v>255</v>
      </c>
      <c r="B256" s="1">
        <v>40554</v>
      </c>
      <c r="C256">
        <v>23</v>
      </c>
      <c r="D256" s="2" t="s">
        <v>41</v>
      </c>
      <c r="E256" t="s">
        <v>26</v>
      </c>
      <c r="F256" s="2" t="s">
        <v>33</v>
      </c>
      <c r="G256" t="s">
        <v>30</v>
      </c>
      <c r="H256" s="3">
        <v>0.16</v>
      </c>
      <c r="I256" s="2" t="s">
        <v>44</v>
      </c>
      <c r="J256" s="3">
        <v>0.19700000000000001</v>
      </c>
      <c r="K256" s="3">
        <v>0.93</v>
      </c>
      <c r="L256" s="3">
        <v>8.9599999999999999E-2</v>
      </c>
      <c r="M256">
        <v>1</v>
      </c>
      <c r="N256">
        <v>18</v>
      </c>
      <c r="O256">
        <v>19</v>
      </c>
    </row>
    <row r="257" spans="1:15" hidden="1" x14ac:dyDescent="0.3">
      <c r="A257">
        <v>256</v>
      </c>
      <c r="B257" s="1">
        <v>40555</v>
      </c>
      <c r="C257">
        <v>0</v>
      </c>
      <c r="D257" s="2" t="s">
        <v>41</v>
      </c>
      <c r="E257" t="s">
        <v>26</v>
      </c>
      <c r="F257" s="2" t="s">
        <v>34</v>
      </c>
      <c r="G257" t="s">
        <v>29</v>
      </c>
      <c r="H257" s="3">
        <v>0.16</v>
      </c>
      <c r="I257" s="2" t="s">
        <v>44</v>
      </c>
      <c r="J257" s="3">
        <v>0.19700000000000001</v>
      </c>
      <c r="K257" s="3">
        <v>0.86</v>
      </c>
      <c r="L257" s="3">
        <v>8.9599999999999999E-2</v>
      </c>
      <c r="M257">
        <v>0</v>
      </c>
      <c r="N257">
        <v>7</v>
      </c>
      <c r="O257">
        <v>7</v>
      </c>
    </row>
    <row r="258" spans="1:15" hidden="1" x14ac:dyDescent="0.3">
      <c r="A258">
        <v>257</v>
      </c>
      <c r="B258" s="1">
        <v>40555</v>
      </c>
      <c r="C258">
        <v>1</v>
      </c>
      <c r="D258" s="2" t="s">
        <v>41</v>
      </c>
      <c r="E258" t="s">
        <v>26</v>
      </c>
      <c r="F258" s="2" t="s">
        <v>34</v>
      </c>
      <c r="G258" t="s">
        <v>29</v>
      </c>
      <c r="H258" s="3">
        <v>0.16</v>
      </c>
      <c r="I258" s="2" t="s">
        <v>44</v>
      </c>
      <c r="J258" s="3">
        <v>0.18179999999999999</v>
      </c>
      <c r="K258" s="3">
        <v>0.86</v>
      </c>
      <c r="L258" s="3">
        <v>0.1045</v>
      </c>
      <c r="M258">
        <v>0</v>
      </c>
      <c r="N258">
        <v>6</v>
      </c>
      <c r="O258">
        <v>6</v>
      </c>
    </row>
    <row r="259" spans="1:15" hidden="1" x14ac:dyDescent="0.3">
      <c r="A259">
        <v>258</v>
      </c>
      <c r="B259" s="1">
        <v>40555</v>
      </c>
      <c r="C259">
        <v>2</v>
      </c>
      <c r="D259" s="2" t="s">
        <v>41</v>
      </c>
      <c r="E259" t="s">
        <v>26</v>
      </c>
      <c r="F259" s="2" t="s">
        <v>34</v>
      </c>
      <c r="G259" t="s">
        <v>28</v>
      </c>
      <c r="H259" s="3">
        <v>0.14000000000000001</v>
      </c>
      <c r="I259" s="2" t="s">
        <v>44</v>
      </c>
      <c r="J259" s="3">
        <v>0.1515</v>
      </c>
      <c r="K259" s="3">
        <v>0.86</v>
      </c>
      <c r="L259" s="3">
        <v>0.1343</v>
      </c>
      <c r="M259">
        <v>0</v>
      </c>
      <c r="N259">
        <v>1</v>
      </c>
      <c r="O259">
        <v>1</v>
      </c>
    </row>
    <row r="260" spans="1:15" x14ac:dyDescent="0.3">
      <c r="A260">
        <v>259</v>
      </c>
      <c r="B260" s="1">
        <v>40555</v>
      </c>
      <c r="C260">
        <v>5</v>
      </c>
      <c r="D260" s="2" t="s">
        <v>43</v>
      </c>
      <c r="E260" t="s">
        <v>26</v>
      </c>
      <c r="F260" s="2" t="s">
        <v>34</v>
      </c>
      <c r="G260" t="s">
        <v>28</v>
      </c>
      <c r="H260" s="3">
        <v>0.14000000000000001</v>
      </c>
      <c r="I260" s="2" t="s">
        <v>44</v>
      </c>
      <c r="J260" s="3">
        <v>0.1515</v>
      </c>
      <c r="K260" s="3">
        <v>0.86</v>
      </c>
      <c r="L260" s="3">
        <v>0.16420000000000001</v>
      </c>
      <c r="M260">
        <v>0</v>
      </c>
      <c r="N260">
        <v>5</v>
      </c>
      <c r="O260">
        <v>5</v>
      </c>
    </row>
    <row r="261" spans="1:15" x14ac:dyDescent="0.3">
      <c r="A261">
        <v>260</v>
      </c>
      <c r="B261" s="1">
        <v>40555</v>
      </c>
      <c r="C261">
        <v>6</v>
      </c>
      <c r="D261" s="2" t="s">
        <v>43</v>
      </c>
      <c r="E261" t="s">
        <v>26</v>
      </c>
      <c r="F261" s="2" t="s">
        <v>34</v>
      </c>
      <c r="G261" t="s">
        <v>28</v>
      </c>
      <c r="H261" s="3">
        <v>0.12</v>
      </c>
      <c r="I261" s="2" t="s">
        <v>44</v>
      </c>
      <c r="J261" s="3">
        <v>0.1515</v>
      </c>
      <c r="K261" s="3">
        <v>0.93</v>
      </c>
      <c r="L261" s="3">
        <v>0.1343</v>
      </c>
      <c r="M261">
        <v>0</v>
      </c>
      <c r="N261">
        <v>16</v>
      </c>
      <c r="O261">
        <v>16</v>
      </c>
    </row>
    <row r="262" spans="1:15" x14ac:dyDescent="0.3">
      <c r="A262">
        <v>261</v>
      </c>
      <c r="B262" s="1">
        <v>40555</v>
      </c>
      <c r="C262">
        <v>7</v>
      </c>
      <c r="D262" s="2" t="s">
        <v>43</v>
      </c>
      <c r="E262" t="s">
        <v>26</v>
      </c>
      <c r="F262" s="2" t="s">
        <v>34</v>
      </c>
      <c r="G262" t="s">
        <v>28</v>
      </c>
      <c r="H262" s="3">
        <v>0.14000000000000001</v>
      </c>
      <c r="I262" s="2" t="s">
        <v>44</v>
      </c>
      <c r="J262" s="3">
        <v>0.1515</v>
      </c>
      <c r="K262" s="3">
        <v>0.69</v>
      </c>
      <c r="L262" s="3">
        <v>0.1343</v>
      </c>
      <c r="M262">
        <v>0</v>
      </c>
      <c r="N262">
        <v>54</v>
      </c>
      <c r="O262">
        <v>54</v>
      </c>
    </row>
    <row r="263" spans="1:15" x14ac:dyDescent="0.3">
      <c r="A263">
        <v>262</v>
      </c>
      <c r="B263" s="1">
        <v>40555</v>
      </c>
      <c r="C263">
        <v>8</v>
      </c>
      <c r="D263" s="2" t="s">
        <v>43</v>
      </c>
      <c r="E263" t="s">
        <v>26</v>
      </c>
      <c r="F263" s="2" t="s">
        <v>34</v>
      </c>
      <c r="G263" t="s">
        <v>28</v>
      </c>
      <c r="H263" s="3">
        <v>0.16</v>
      </c>
      <c r="I263" s="2" t="s">
        <v>44</v>
      </c>
      <c r="J263" s="3">
        <v>0.16669999999999999</v>
      </c>
      <c r="K263" s="3">
        <v>0.59</v>
      </c>
      <c r="L263" s="3">
        <v>0.16420000000000001</v>
      </c>
      <c r="M263">
        <v>3</v>
      </c>
      <c r="N263">
        <v>125</v>
      </c>
      <c r="O263">
        <v>128</v>
      </c>
    </row>
    <row r="264" spans="1:15" x14ac:dyDescent="0.3">
      <c r="A264">
        <v>263</v>
      </c>
      <c r="B264" s="1">
        <v>40555</v>
      </c>
      <c r="C264">
        <v>9</v>
      </c>
      <c r="D264" s="2" t="s">
        <v>43</v>
      </c>
      <c r="E264" t="s">
        <v>26</v>
      </c>
      <c r="F264" s="2" t="s">
        <v>34</v>
      </c>
      <c r="G264" t="s">
        <v>28</v>
      </c>
      <c r="H264" s="3">
        <v>0.16</v>
      </c>
      <c r="I264" s="2" t="s">
        <v>44</v>
      </c>
      <c r="J264" s="3">
        <v>0.13639999999999999</v>
      </c>
      <c r="K264" s="3">
        <v>0.59</v>
      </c>
      <c r="L264" s="3">
        <v>0.32840000000000003</v>
      </c>
      <c r="M264">
        <v>3</v>
      </c>
      <c r="N264">
        <v>78</v>
      </c>
      <c r="O264">
        <v>81</v>
      </c>
    </row>
    <row r="265" spans="1:15" x14ac:dyDescent="0.3">
      <c r="A265">
        <v>264</v>
      </c>
      <c r="B265" s="1">
        <v>40555</v>
      </c>
      <c r="C265">
        <v>10</v>
      </c>
      <c r="D265" s="2" t="s">
        <v>43</v>
      </c>
      <c r="E265" t="s">
        <v>26</v>
      </c>
      <c r="F265" s="2" t="s">
        <v>34</v>
      </c>
      <c r="G265" t="s">
        <v>28</v>
      </c>
      <c r="H265" s="3">
        <v>0.18</v>
      </c>
      <c r="I265" s="2" t="s">
        <v>44</v>
      </c>
      <c r="J265" s="3">
        <v>0.18179999999999999</v>
      </c>
      <c r="K265" s="3">
        <v>0.55000000000000004</v>
      </c>
      <c r="L265" s="3">
        <v>0.22389999999999999</v>
      </c>
      <c r="M265">
        <v>0</v>
      </c>
      <c r="N265">
        <v>39</v>
      </c>
      <c r="O265">
        <v>39</v>
      </c>
    </row>
    <row r="266" spans="1:15" x14ac:dyDescent="0.3">
      <c r="A266">
        <v>265</v>
      </c>
      <c r="B266" s="1">
        <v>40555</v>
      </c>
      <c r="C266">
        <v>11</v>
      </c>
      <c r="D266" s="2" t="s">
        <v>43</v>
      </c>
      <c r="E266" t="s">
        <v>26</v>
      </c>
      <c r="F266" s="2" t="s">
        <v>34</v>
      </c>
      <c r="G266" t="s">
        <v>28</v>
      </c>
      <c r="H266" s="3">
        <v>0.2</v>
      </c>
      <c r="I266" s="2" t="s">
        <v>44</v>
      </c>
      <c r="J266" s="3">
        <v>0.18179999999999999</v>
      </c>
      <c r="K266" s="3">
        <v>0.51</v>
      </c>
      <c r="L266" s="3">
        <v>0.3881</v>
      </c>
      <c r="M266">
        <v>3</v>
      </c>
      <c r="N266">
        <v>32</v>
      </c>
      <c r="O266">
        <v>35</v>
      </c>
    </row>
    <row r="267" spans="1:15" hidden="1" x14ac:dyDescent="0.3">
      <c r="A267">
        <v>266</v>
      </c>
      <c r="B267" s="1">
        <v>40555</v>
      </c>
      <c r="C267">
        <v>12</v>
      </c>
      <c r="D267" s="2" t="s">
        <v>45</v>
      </c>
      <c r="E267" t="s">
        <v>26</v>
      </c>
      <c r="F267" s="2" t="s">
        <v>34</v>
      </c>
      <c r="G267" t="s">
        <v>28</v>
      </c>
      <c r="H267" s="3">
        <v>0.2</v>
      </c>
      <c r="I267" s="2" t="s">
        <v>44</v>
      </c>
      <c r="J267" s="3">
        <v>0.1515</v>
      </c>
      <c r="K267" s="3">
        <v>0.47</v>
      </c>
      <c r="L267" s="3">
        <v>0.58209999999999995</v>
      </c>
      <c r="M267">
        <v>3</v>
      </c>
      <c r="N267">
        <v>52</v>
      </c>
      <c r="O267">
        <v>55</v>
      </c>
    </row>
    <row r="268" spans="1:15" hidden="1" x14ac:dyDescent="0.3">
      <c r="A268">
        <v>267</v>
      </c>
      <c r="B268" s="1">
        <v>40555</v>
      </c>
      <c r="C268">
        <v>13</v>
      </c>
      <c r="D268" s="2" t="s">
        <v>45</v>
      </c>
      <c r="E268" t="s">
        <v>26</v>
      </c>
      <c r="F268" s="2" t="s">
        <v>34</v>
      </c>
      <c r="G268" t="s">
        <v>28</v>
      </c>
      <c r="H268" s="3">
        <v>0.22</v>
      </c>
      <c r="I268" s="2" t="s">
        <v>42</v>
      </c>
      <c r="J268" s="3">
        <v>0.19700000000000001</v>
      </c>
      <c r="K268" s="3">
        <v>0.44</v>
      </c>
      <c r="L268" s="3">
        <v>0.35820000000000002</v>
      </c>
      <c r="M268">
        <v>0</v>
      </c>
      <c r="N268">
        <v>49</v>
      </c>
      <c r="O268">
        <v>49</v>
      </c>
    </row>
    <row r="269" spans="1:15" hidden="1" x14ac:dyDescent="0.3">
      <c r="A269">
        <v>268</v>
      </c>
      <c r="B269" s="1">
        <v>40555</v>
      </c>
      <c r="C269">
        <v>14</v>
      </c>
      <c r="D269" s="2" t="s">
        <v>45</v>
      </c>
      <c r="E269" t="s">
        <v>26</v>
      </c>
      <c r="F269" s="2" t="s">
        <v>34</v>
      </c>
      <c r="G269" t="s">
        <v>28</v>
      </c>
      <c r="H269" s="3">
        <v>0.2</v>
      </c>
      <c r="I269" s="2" t="s">
        <v>44</v>
      </c>
      <c r="J269" s="3">
        <v>0.18179999999999999</v>
      </c>
      <c r="K269" s="3">
        <v>0.47</v>
      </c>
      <c r="L269" s="3">
        <v>0.32840000000000003</v>
      </c>
      <c r="M269">
        <v>0</v>
      </c>
      <c r="N269">
        <v>44</v>
      </c>
      <c r="O269">
        <v>44</v>
      </c>
    </row>
    <row r="270" spans="1:15" hidden="1" x14ac:dyDescent="0.3">
      <c r="A270">
        <v>269</v>
      </c>
      <c r="B270" s="1">
        <v>40555</v>
      </c>
      <c r="C270">
        <v>15</v>
      </c>
      <c r="D270" s="2" t="s">
        <v>45</v>
      </c>
      <c r="E270" t="s">
        <v>26</v>
      </c>
      <c r="F270" s="2" t="s">
        <v>34</v>
      </c>
      <c r="G270" t="s">
        <v>28</v>
      </c>
      <c r="H270" s="3">
        <v>0.2</v>
      </c>
      <c r="I270" s="2" t="s">
        <v>44</v>
      </c>
      <c r="J270" s="3">
        <v>0.16669999999999999</v>
      </c>
      <c r="K270" s="3">
        <v>0.47</v>
      </c>
      <c r="L270" s="3">
        <v>0.41789999999999999</v>
      </c>
      <c r="M270">
        <v>1</v>
      </c>
      <c r="N270">
        <v>48</v>
      </c>
      <c r="O270">
        <v>49</v>
      </c>
    </row>
    <row r="271" spans="1:15" hidden="1" x14ac:dyDescent="0.3">
      <c r="A271">
        <v>270</v>
      </c>
      <c r="B271" s="1">
        <v>40555</v>
      </c>
      <c r="C271">
        <v>16</v>
      </c>
      <c r="D271" s="2" t="s">
        <v>45</v>
      </c>
      <c r="E271" t="s">
        <v>26</v>
      </c>
      <c r="F271" s="2" t="s">
        <v>34</v>
      </c>
      <c r="G271" t="s">
        <v>28</v>
      </c>
      <c r="H271" s="3">
        <v>0.22</v>
      </c>
      <c r="I271" s="2" t="s">
        <v>42</v>
      </c>
      <c r="J271" s="3">
        <v>0.19700000000000001</v>
      </c>
      <c r="K271" s="3">
        <v>0.44</v>
      </c>
      <c r="L271" s="3">
        <v>0.32840000000000003</v>
      </c>
      <c r="M271">
        <v>5</v>
      </c>
      <c r="N271">
        <v>63</v>
      </c>
      <c r="O271">
        <v>68</v>
      </c>
    </row>
    <row r="272" spans="1:15" hidden="1" x14ac:dyDescent="0.3">
      <c r="A272">
        <v>271</v>
      </c>
      <c r="B272" s="1">
        <v>40555</v>
      </c>
      <c r="C272">
        <v>17</v>
      </c>
      <c r="D272" s="2" t="s">
        <v>47</v>
      </c>
      <c r="E272" t="s">
        <v>26</v>
      </c>
      <c r="F272" s="2" t="s">
        <v>34</v>
      </c>
      <c r="G272" t="s">
        <v>28</v>
      </c>
      <c r="H272" s="3">
        <v>0.2</v>
      </c>
      <c r="I272" s="2" t="s">
        <v>44</v>
      </c>
      <c r="J272" s="3">
        <v>0.18179999999999999</v>
      </c>
      <c r="K272" s="3">
        <v>0.47</v>
      </c>
      <c r="L272" s="3">
        <v>0.35820000000000002</v>
      </c>
      <c r="M272">
        <v>0</v>
      </c>
      <c r="N272">
        <v>139</v>
      </c>
      <c r="O272">
        <v>139</v>
      </c>
    </row>
    <row r="273" spans="1:15" hidden="1" x14ac:dyDescent="0.3">
      <c r="A273">
        <v>272</v>
      </c>
      <c r="B273" s="1">
        <v>40555</v>
      </c>
      <c r="C273">
        <v>18</v>
      </c>
      <c r="D273" s="2" t="s">
        <v>47</v>
      </c>
      <c r="E273" t="s">
        <v>26</v>
      </c>
      <c r="F273" s="2" t="s">
        <v>34</v>
      </c>
      <c r="G273" t="s">
        <v>28</v>
      </c>
      <c r="H273" s="3">
        <v>0.2</v>
      </c>
      <c r="I273" s="2" t="s">
        <v>44</v>
      </c>
      <c r="J273" s="3">
        <v>0.1515</v>
      </c>
      <c r="K273" s="3">
        <v>0.47</v>
      </c>
      <c r="L273" s="3">
        <v>0.52239999999999998</v>
      </c>
      <c r="M273">
        <v>2</v>
      </c>
      <c r="N273">
        <v>135</v>
      </c>
      <c r="O273">
        <v>137</v>
      </c>
    </row>
    <row r="274" spans="1:15" hidden="1" x14ac:dyDescent="0.3">
      <c r="A274">
        <v>273</v>
      </c>
      <c r="B274" s="1">
        <v>40555</v>
      </c>
      <c r="C274">
        <v>19</v>
      </c>
      <c r="D274" s="2" t="s">
        <v>47</v>
      </c>
      <c r="E274" t="s">
        <v>26</v>
      </c>
      <c r="F274" s="2" t="s">
        <v>34</v>
      </c>
      <c r="G274" t="s">
        <v>28</v>
      </c>
      <c r="H274" s="3">
        <v>0.18</v>
      </c>
      <c r="I274" s="2" t="s">
        <v>44</v>
      </c>
      <c r="J274" s="3">
        <v>0.1515</v>
      </c>
      <c r="K274" s="3">
        <v>0.47</v>
      </c>
      <c r="L274" s="3">
        <v>0.41789999999999999</v>
      </c>
      <c r="M274">
        <v>1</v>
      </c>
      <c r="N274">
        <v>82</v>
      </c>
      <c r="O274">
        <v>83</v>
      </c>
    </row>
    <row r="275" spans="1:15" hidden="1" x14ac:dyDescent="0.3">
      <c r="A275">
        <v>274</v>
      </c>
      <c r="B275" s="1">
        <v>40555</v>
      </c>
      <c r="C275">
        <v>20</v>
      </c>
      <c r="D275" s="2" t="s">
        <v>47</v>
      </c>
      <c r="E275" t="s">
        <v>26</v>
      </c>
      <c r="F275" s="2" t="s">
        <v>34</v>
      </c>
      <c r="G275" t="s">
        <v>28</v>
      </c>
      <c r="H275" s="3">
        <v>0.16</v>
      </c>
      <c r="I275" s="2" t="s">
        <v>44</v>
      </c>
      <c r="J275" s="3">
        <v>0.13639999999999999</v>
      </c>
      <c r="K275" s="3">
        <v>0.5</v>
      </c>
      <c r="L275" s="3">
        <v>0.32840000000000003</v>
      </c>
      <c r="M275">
        <v>2</v>
      </c>
      <c r="N275">
        <v>54</v>
      </c>
      <c r="O275">
        <v>56</v>
      </c>
    </row>
    <row r="276" spans="1:15" hidden="1" x14ac:dyDescent="0.3">
      <c r="A276">
        <v>275</v>
      </c>
      <c r="B276" s="1">
        <v>40555</v>
      </c>
      <c r="C276">
        <v>21</v>
      </c>
      <c r="D276" s="2" t="s">
        <v>41</v>
      </c>
      <c r="E276" t="s">
        <v>26</v>
      </c>
      <c r="F276" s="2" t="s">
        <v>34</v>
      </c>
      <c r="G276" t="s">
        <v>28</v>
      </c>
      <c r="H276" s="3">
        <v>0.16</v>
      </c>
      <c r="I276" s="2" t="s">
        <v>44</v>
      </c>
      <c r="J276" s="3">
        <v>0.13639999999999999</v>
      </c>
      <c r="K276" s="3">
        <v>0.55000000000000004</v>
      </c>
      <c r="L276" s="3">
        <v>0.32840000000000003</v>
      </c>
      <c r="M276">
        <v>0</v>
      </c>
      <c r="N276">
        <v>57</v>
      </c>
      <c r="O276">
        <v>57</v>
      </c>
    </row>
    <row r="277" spans="1:15" hidden="1" x14ac:dyDescent="0.3">
      <c r="A277">
        <v>276</v>
      </c>
      <c r="B277" s="1">
        <v>40555</v>
      </c>
      <c r="C277">
        <v>22</v>
      </c>
      <c r="D277" s="2" t="s">
        <v>41</v>
      </c>
      <c r="E277" t="s">
        <v>26</v>
      </c>
      <c r="F277" s="2" t="s">
        <v>34</v>
      </c>
      <c r="G277" t="s">
        <v>28</v>
      </c>
      <c r="H277" s="3">
        <v>0.16</v>
      </c>
      <c r="I277" s="2" t="s">
        <v>44</v>
      </c>
      <c r="J277" s="3">
        <v>0.1212</v>
      </c>
      <c r="K277" s="3">
        <v>0.55000000000000004</v>
      </c>
      <c r="L277" s="3">
        <v>0.44779999999999998</v>
      </c>
      <c r="M277">
        <v>1</v>
      </c>
      <c r="N277">
        <v>32</v>
      </c>
      <c r="O277">
        <v>33</v>
      </c>
    </row>
    <row r="278" spans="1:15" hidden="1" x14ac:dyDescent="0.3">
      <c r="A278">
        <v>277</v>
      </c>
      <c r="B278" s="1">
        <v>40555</v>
      </c>
      <c r="C278">
        <v>23</v>
      </c>
      <c r="D278" s="2" t="s">
        <v>41</v>
      </c>
      <c r="E278" t="s">
        <v>26</v>
      </c>
      <c r="F278" s="2" t="s">
        <v>34</v>
      </c>
      <c r="G278" t="s">
        <v>28</v>
      </c>
      <c r="H278" s="3">
        <v>0.14000000000000001</v>
      </c>
      <c r="I278" s="2" t="s">
        <v>44</v>
      </c>
      <c r="J278" s="3">
        <v>0.1061</v>
      </c>
      <c r="K278" s="3">
        <v>0.59</v>
      </c>
      <c r="L278" s="3">
        <v>0.41789999999999999</v>
      </c>
      <c r="M278">
        <v>1</v>
      </c>
      <c r="N278">
        <v>19</v>
      </c>
      <c r="O278">
        <v>20</v>
      </c>
    </row>
    <row r="279" spans="1:15" hidden="1" x14ac:dyDescent="0.3">
      <c r="A279">
        <v>278</v>
      </c>
      <c r="B279" s="1">
        <v>40556</v>
      </c>
      <c r="C279">
        <v>0</v>
      </c>
      <c r="D279" s="2" t="s">
        <v>41</v>
      </c>
      <c r="E279" t="s">
        <v>26</v>
      </c>
      <c r="F279" s="2" t="s">
        <v>35</v>
      </c>
      <c r="G279" t="s">
        <v>28</v>
      </c>
      <c r="H279" s="3">
        <v>0.14000000000000001</v>
      </c>
      <c r="I279" s="2" t="s">
        <v>44</v>
      </c>
      <c r="J279" s="3">
        <v>0.1212</v>
      </c>
      <c r="K279" s="3">
        <v>0.59</v>
      </c>
      <c r="L279" s="3">
        <v>0.28360000000000002</v>
      </c>
      <c r="M279">
        <v>1</v>
      </c>
      <c r="N279">
        <v>6</v>
      </c>
      <c r="O279">
        <v>7</v>
      </c>
    </row>
    <row r="280" spans="1:15" hidden="1" x14ac:dyDescent="0.3">
      <c r="A280">
        <v>279</v>
      </c>
      <c r="B280" s="1">
        <v>40556</v>
      </c>
      <c r="C280">
        <v>1</v>
      </c>
      <c r="D280" s="2" t="s">
        <v>41</v>
      </c>
      <c r="E280" t="s">
        <v>26</v>
      </c>
      <c r="F280" s="2" t="s">
        <v>35</v>
      </c>
      <c r="G280" t="s">
        <v>28</v>
      </c>
      <c r="H280" s="3">
        <v>0.14000000000000001</v>
      </c>
      <c r="I280" s="2" t="s">
        <v>44</v>
      </c>
      <c r="J280" s="3">
        <v>0.1212</v>
      </c>
      <c r="K280" s="3">
        <v>0.5</v>
      </c>
      <c r="L280" s="3">
        <v>0.28360000000000002</v>
      </c>
      <c r="M280">
        <v>0</v>
      </c>
      <c r="N280">
        <v>2</v>
      </c>
      <c r="O280">
        <v>2</v>
      </c>
    </row>
    <row r="281" spans="1:15" hidden="1" x14ac:dyDescent="0.3">
      <c r="A281">
        <v>280</v>
      </c>
      <c r="B281" s="1">
        <v>40556</v>
      </c>
      <c r="C281">
        <v>2</v>
      </c>
      <c r="D281" s="2" t="s">
        <v>41</v>
      </c>
      <c r="E281" t="s">
        <v>26</v>
      </c>
      <c r="F281" s="2" t="s">
        <v>35</v>
      </c>
      <c r="G281" t="s">
        <v>28</v>
      </c>
      <c r="H281" s="3">
        <v>0.14000000000000001</v>
      </c>
      <c r="I281" s="2" t="s">
        <v>44</v>
      </c>
      <c r="J281" s="3">
        <v>0.1212</v>
      </c>
      <c r="K281" s="3">
        <v>0.5</v>
      </c>
      <c r="L281" s="3">
        <v>0.35820000000000002</v>
      </c>
      <c r="M281">
        <v>0</v>
      </c>
      <c r="N281">
        <v>2</v>
      </c>
      <c r="O281">
        <v>2</v>
      </c>
    </row>
    <row r="282" spans="1:15" hidden="1" x14ac:dyDescent="0.3">
      <c r="A282">
        <v>281</v>
      </c>
      <c r="B282" s="1">
        <v>40556</v>
      </c>
      <c r="C282">
        <v>3</v>
      </c>
      <c r="D282" s="2" t="s">
        <v>41</v>
      </c>
      <c r="E282" t="s">
        <v>26</v>
      </c>
      <c r="F282" s="2" t="s">
        <v>35</v>
      </c>
      <c r="G282" t="s">
        <v>28</v>
      </c>
      <c r="H282" s="3">
        <v>0.14000000000000001</v>
      </c>
      <c r="I282" s="2" t="s">
        <v>44</v>
      </c>
      <c r="J282" s="3">
        <v>0.1212</v>
      </c>
      <c r="K282" s="3">
        <v>0.5</v>
      </c>
      <c r="L282" s="3">
        <v>0.32840000000000003</v>
      </c>
      <c r="M282">
        <v>0</v>
      </c>
      <c r="N282">
        <v>3</v>
      </c>
      <c r="O282">
        <v>3</v>
      </c>
    </row>
    <row r="283" spans="1:15" hidden="1" x14ac:dyDescent="0.3">
      <c r="A283">
        <v>282</v>
      </c>
      <c r="B283" s="1">
        <v>40556</v>
      </c>
      <c r="C283">
        <v>4</v>
      </c>
      <c r="D283" s="2" t="s">
        <v>41</v>
      </c>
      <c r="E283" t="s">
        <v>26</v>
      </c>
      <c r="F283" s="2" t="s">
        <v>35</v>
      </c>
      <c r="G283" t="s">
        <v>28</v>
      </c>
      <c r="H283" s="3">
        <v>0.14000000000000001</v>
      </c>
      <c r="I283" s="2" t="s">
        <v>44</v>
      </c>
      <c r="J283" s="3">
        <v>0.1212</v>
      </c>
      <c r="K283" s="3">
        <v>0.5</v>
      </c>
      <c r="L283" s="3">
        <v>0.25369999999999998</v>
      </c>
      <c r="M283">
        <v>0</v>
      </c>
      <c r="N283">
        <v>4</v>
      </c>
      <c r="O283">
        <v>4</v>
      </c>
    </row>
    <row r="284" spans="1:15" x14ac:dyDescent="0.3">
      <c r="A284">
        <v>283</v>
      </c>
      <c r="B284" s="1">
        <v>40556</v>
      </c>
      <c r="C284">
        <v>5</v>
      </c>
      <c r="D284" s="2" t="s">
        <v>43</v>
      </c>
      <c r="E284" t="s">
        <v>26</v>
      </c>
      <c r="F284" s="2" t="s">
        <v>35</v>
      </c>
      <c r="G284" t="s">
        <v>28</v>
      </c>
      <c r="H284" s="3">
        <v>0.14000000000000001</v>
      </c>
      <c r="I284" s="2" t="s">
        <v>44</v>
      </c>
      <c r="J284" s="3">
        <v>0.1212</v>
      </c>
      <c r="K284" s="3">
        <v>0.5</v>
      </c>
      <c r="L284" s="3">
        <v>0.29849999999999999</v>
      </c>
      <c r="M284">
        <v>0</v>
      </c>
      <c r="N284">
        <v>3</v>
      </c>
      <c r="O284">
        <v>3</v>
      </c>
    </row>
    <row r="285" spans="1:15" x14ac:dyDescent="0.3">
      <c r="A285">
        <v>284</v>
      </c>
      <c r="B285" s="1">
        <v>40556</v>
      </c>
      <c r="C285">
        <v>6</v>
      </c>
      <c r="D285" s="2" t="s">
        <v>43</v>
      </c>
      <c r="E285" t="s">
        <v>26</v>
      </c>
      <c r="F285" s="2" t="s">
        <v>35</v>
      </c>
      <c r="G285" t="s">
        <v>28</v>
      </c>
      <c r="H285" s="3">
        <v>0.12</v>
      </c>
      <c r="I285" s="2" t="s">
        <v>44</v>
      </c>
      <c r="J285" s="3">
        <v>0.1515</v>
      </c>
      <c r="K285" s="3">
        <v>0.54</v>
      </c>
      <c r="L285" s="3">
        <v>0.1343</v>
      </c>
      <c r="M285">
        <v>0</v>
      </c>
      <c r="N285">
        <v>28</v>
      </c>
      <c r="O285">
        <v>28</v>
      </c>
    </row>
    <row r="286" spans="1:15" x14ac:dyDescent="0.3">
      <c r="A286">
        <v>285</v>
      </c>
      <c r="B286" s="1">
        <v>40556</v>
      </c>
      <c r="C286">
        <v>7</v>
      </c>
      <c r="D286" s="2" t="s">
        <v>43</v>
      </c>
      <c r="E286" t="s">
        <v>26</v>
      </c>
      <c r="F286" s="2" t="s">
        <v>35</v>
      </c>
      <c r="G286" t="s">
        <v>28</v>
      </c>
      <c r="H286" s="3">
        <v>0.12</v>
      </c>
      <c r="I286" s="2" t="s">
        <v>44</v>
      </c>
      <c r="J286" s="3">
        <v>0.1515</v>
      </c>
      <c r="K286" s="3">
        <v>0.54</v>
      </c>
      <c r="L286" s="3">
        <v>0.1343</v>
      </c>
      <c r="M286">
        <v>0</v>
      </c>
      <c r="N286">
        <v>72</v>
      </c>
      <c r="O286">
        <v>72</v>
      </c>
    </row>
    <row r="287" spans="1:15" x14ac:dyDescent="0.3">
      <c r="A287">
        <v>286</v>
      </c>
      <c r="B287" s="1">
        <v>40556</v>
      </c>
      <c r="C287">
        <v>8</v>
      </c>
      <c r="D287" s="2" t="s">
        <v>43</v>
      </c>
      <c r="E287" t="s">
        <v>26</v>
      </c>
      <c r="F287" s="2" t="s">
        <v>35</v>
      </c>
      <c r="G287" t="s">
        <v>28</v>
      </c>
      <c r="H287" s="3">
        <v>0.14000000000000001</v>
      </c>
      <c r="I287" s="2" t="s">
        <v>44</v>
      </c>
      <c r="J287" s="3">
        <v>0.13639999999999999</v>
      </c>
      <c r="K287" s="3">
        <v>0.5</v>
      </c>
      <c r="L287" s="3">
        <v>0.19400000000000001</v>
      </c>
      <c r="M287">
        <v>5</v>
      </c>
      <c r="N287">
        <v>197</v>
      </c>
      <c r="O287">
        <v>202</v>
      </c>
    </row>
    <row r="288" spans="1:15" x14ac:dyDescent="0.3">
      <c r="A288">
        <v>287</v>
      </c>
      <c r="B288" s="1">
        <v>40556</v>
      </c>
      <c r="C288">
        <v>9</v>
      </c>
      <c r="D288" s="2" t="s">
        <v>43</v>
      </c>
      <c r="E288" t="s">
        <v>26</v>
      </c>
      <c r="F288" s="2" t="s">
        <v>35</v>
      </c>
      <c r="G288" t="s">
        <v>28</v>
      </c>
      <c r="H288" s="3">
        <v>0.14000000000000001</v>
      </c>
      <c r="I288" s="2" t="s">
        <v>44</v>
      </c>
      <c r="J288" s="3">
        <v>0.1212</v>
      </c>
      <c r="K288" s="3">
        <v>0.5</v>
      </c>
      <c r="L288" s="3">
        <v>0.32840000000000003</v>
      </c>
      <c r="M288">
        <v>2</v>
      </c>
      <c r="N288">
        <v>137</v>
      </c>
      <c r="O288">
        <v>139</v>
      </c>
    </row>
    <row r="289" spans="1:15" x14ac:dyDescent="0.3">
      <c r="A289">
        <v>288</v>
      </c>
      <c r="B289" s="1">
        <v>40556</v>
      </c>
      <c r="C289">
        <v>10</v>
      </c>
      <c r="D289" s="2" t="s">
        <v>43</v>
      </c>
      <c r="E289" t="s">
        <v>26</v>
      </c>
      <c r="F289" s="2" t="s">
        <v>35</v>
      </c>
      <c r="G289" t="s">
        <v>29</v>
      </c>
      <c r="H289" s="3">
        <v>0.16</v>
      </c>
      <c r="I289" s="2" t="s">
        <v>44</v>
      </c>
      <c r="J289" s="3">
        <v>0.13639999999999999</v>
      </c>
      <c r="K289" s="3">
        <v>0.5</v>
      </c>
      <c r="L289" s="3">
        <v>0.35820000000000002</v>
      </c>
      <c r="M289">
        <v>2</v>
      </c>
      <c r="N289">
        <v>36</v>
      </c>
      <c r="O289">
        <v>38</v>
      </c>
    </row>
    <row r="290" spans="1:15" x14ac:dyDescent="0.3">
      <c r="A290">
        <v>289</v>
      </c>
      <c r="B290" s="1">
        <v>40556</v>
      </c>
      <c r="C290">
        <v>11</v>
      </c>
      <c r="D290" s="2" t="s">
        <v>43</v>
      </c>
      <c r="E290" t="s">
        <v>26</v>
      </c>
      <c r="F290" s="2" t="s">
        <v>35</v>
      </c>
      <c r="G290" t="s">
        <v>29</v>
      </c>
      <c r="H290" s="3">
        <v>0.2</v>
      </c>
      <c r="I290" s="2" t="s">
        <v>44</v>
      </c>
      <c r="J290" s="3">
        <v>0.16669999999999999</v>
      </c>
      <c r="K290" s="3">
        <v>0.44</v>
      </c>
      <c r="L290" s="3">
        <v>0.44779999999999998</v>
      </c>
      <c r="M290">
        <v>4</v>
      </c>
      <c r="N290">
        <v>33</v>
      </c>
      <c r="O290">
        <v>37</v>
      </c>
    </row>
    <row r="291" spans="1:15" hidden="1" x14ac:dyDescent="0.3">
      <c r="A291">
        <v>290</v>
      </c>
      <c r="B291" s="1">
        <v>40556</v>
      </c>
      <c r="C291">
        <v>12</v>
      </c>
      <c r="D291" s="2" t="s">
        <v>45</v>
      </c>
      <c r="E291" t="s">
        <v>26</v>
      </c>
      <c r="F291" s="2" t="s">
        <v>35</v>
      </c>
      <c r="G291" t="s">
        <v>28</v>
      </c>
      <c r="H291" s="3">
        <v>0.2</v>
      </c>
      <c r="I291" s="2" t="s">
        <v>44</v>
      </c>
      <c r="J291" s="3">
        <v>0.16669999999999999</v>
      </c>
      <c r="K291" s="3">
        <v>0.44</v>
      </c>
      <c r="L291" s="3">
        <v>0.41789999999999999</v>
      </c>
      <c r="M291">
        <v>3</v>
      </c>
      <c r="N291">
        <v>49</v>
      </c>
      <c r="O291">
        <v>52</v>
      </c>
    </row>
    <row r="292" spans="1:15" hidden="1" x14ac:dyDescent="0.3">
      <c r="A292">
        <v>291</v>
      </c>
      <c r="B292" s="1">
        <v>40556</v>
      </c>
      <c r="C292">
        <v>13</v>
      </c>
      <c r="D292" s="2" t="s">
        <v>45</v>
      </c>
      <c r="E292" t="s">
        <v>26</v>
      </c>
      <c r="F292" s="2" t="s">
        <v>35</v>
      </c>
      <c r="G292" t="s">
        <v>28</v>
      </c>
      <c r="H292" s="3">
        <v>0.22</v>
      </c>
      <c r="I292" s="2" t="s">
        <v>42</v>
      </c>
      <c r="J292" s="3">
        <v>0.19700000000000001</v>
      </c>
      <c r="K292" s="3">
        <v>0.41</v>
      </c>
      <c r="L292" s="3">
        <v>0.44779999999999998</v>
      </c>
      <c r="M292">
        <v>2</v>
      </c>
      <c r="N292">
        <v>81</v>
      </c>
      <c r="O292">
        <v>83</v>
      </c>
    </row>
    <row r="293" spans="1:15" hidden="1" x14ac:dyDescent="0.3">
      <c r="A293">
        <v>292</v>
      </c>
      <c r="B293" s="1">
        <v>40556</v>
      </c>
      <c r="C293">
        <v>14</v>
      </c>
      <c r="D293" s="2" t="s">
        <v>45</v>
      </c>
      <c r="E293" t="s">
        <v>26</v>
      </c>
      <c r="F293" s="2" t="s">
        <v>35</v>
      </c>
      <c r="G293" t="s">
        <v>28</v>
      </c>
      <c r="H293" s="3">
        <v>0.22</v>
      </c>
      <c r="I293" s="2" t="s">
        <v>42</v>
      </c>
      <c r="J293" s="3">
        <v>0.19700000000000001</v>
      </c>
      <c r="K293" s="3">
        <v>0.41</v>
      </c>
      <c r="L293" s="3">
        <v>0.3881</v>
      </c>
      <c r="M293">
        <v>3</v>
      </c>
      <c r="N293">
        <v>39</v>
      </c>
      <c r="O293">
        <v>42</v>
      </c>
    </row>
    <row r="294" spans="1:15" hidden="1" x14ac:dyDescent="0.3">
      <c r="A294">
        <v>293</v>
      </c>
      <c r="B294" s="1">
        <v>40556</v>
      </c>
      <c r="C294">
        <v>15</v>
      </c>
      <c r="D294" s="2" t="s">
        <v>45</v>
      </c>
      <c r="E294" t="s">
        <v>26</v>
      </c>
      <c r="F294" s="2" t="s">
        <v>35</v>
      </c>
      <c r="G294" t="s">
        <v>28</v>
      </c>
      <c r="H294" s="3">
        <v>0.24</v>
      </c>
      <c r="I294" s="2" t="s">
        <v>42</v>
      </c>
      <c r="J294" s="3">
        <v>0.21210000000000001</v>
      </c>
      <c r="K294" s="3">
        <v>0.38</v>
      </c>
      <c r="L294" s="3">
        <v>0.29849999999999999</v>
      </c>
      <c r="M294">
        <v>5</v>
      </c>
      <c r="N294">
        <v>55</v>
      </c>
      <c r="O294">
        <v>60</v>
      </c>
    </row>
    <row r="295" spans="1:15" hidden="1" x14ac:dyDescent="0.3">
      <c r="A295">
        <v>294</v>
      </c>
      <c r="B295" s="1">
        <v>40556</v>
      </c>
      <c r="C295">
        <v>16</v>
      </c>
      <c r="D295" s="2" t="s">
        <v>45</v>
      </c>
      <c r="E295" t="s">
        <v>26</v>
      </c>
      <c r="F295" s="2" t="s">
        <v>35</v>
      </c>
      <c r="G295" t="s">
        <v>28</v>
      </c>
      <c r="H295" s="3">
        <v>0.24</v>
      </c>
      <c r="I295" s="2" t="s">
        <v>42</v>
      </c>
      <c r="J295" s="3">
        <v>0.21210000000000001</v>
      </c>
      <c r="K295" s="3">
        <v>0.38</v>
      </c>
      <c r="L295" s="3">
        <v>0.35820000000000002</v>
      </c>
      <c r="M295">
        <v>2</v>
      </c>
      <c r="N295">
        <v>76</v>
      </c>
      <c r="O295">
        <v>78</v>
      </c>
    </row>
    <row r="296" spans="1:15" hidden="1" x14ac:dyDescent="0.3">
      <c r="A296">
        <v>295</v>
      </c>
      <c r="B296" s="1">
        <v>40556</v>
      </c>
      <c r="C296">
        <v>17</v>
      </c>
      <c r="D296" s="2" t="s">
        <v>47</v>
      </c>
      <c r="E296" t="s">
        <v>26</v>
      </c>
      <c r="F296" s="2" t="s">
        <v>35</v>
      </c>
      <c r="G296" t="s">
        <v>28</v>
      </c>
      <c r="H296" s="3">
        <v>0.2</v>
      </c>
      <c r="I296" s="2" t="s">
        <v>44</v>
      </c>
      <c r="J296" s="3">
        <v>0.18179999999999999</v>
      </c>
      <c r="K296" s="3">
        <v>0.4</v>
      </c>
      <c r="L296" s="3">
        <v>0.28360000000000002</v>
      </c>
      <c r="M296">
        <v>4</v>
      </c>
      <c r="N296">
        <v>158</v>
      </c>
      <c r="O296">
        <v>162</v>
      </c>
    </row>
    <row r="297" spans="1:15" hidden="1" x14ac:dyDescent="0.3">
      <c r="A297">
        <v>296</v>
      </c>
      <c r="B297" s="1">
        <v>40556</v>
      </c>
      <c r="C297">
        <v>18</v>
      </c>
      <c r="D297" s="2" t="s">
        <v>47</v>
      </c>
      <c r="E297" t="s">
        <v>26</v>
      </c>
      <c r="F297" s="2" t="s">
        <v>35</v>
      </c>
      <c r="G297" t="s">
        <v>28</v>
      </c>
      <c r="H297" s="3">
        <v>0.2</v>
      </c>
      <c r="I297" s="2" t="s">
        <v>44</v>
      </c>
      <c r="J297" s="3">
        <v>0.18179999999999999</v>
      </c>
      <c r="K297" s="3">
        <v>0.4</v>
      </c>
      <c r="L297" s="3">
        <v>0.32840000000000003</v>
      </c>
      <c r="M297">
        <v>3</v>
      </c>
      <c r="N297">
        <v>141</v>
      </c>
      <c r="O297">
        <v>144</v>
      </c>
    </row>
    <row r="298" spans="1:15" hidden="1" x14ac:dyDescent="0.3">
      <c r="A298">
        <v>297</v>
      </c>
      <c r="B298" s="1">
        <v>40556</v>
      </c>
      <c r="C298">
        <v>19</v>
      </c>
      <c r="D298" s="2" t="s">
        <v>47</v>
      </c>
      <c r="E298" t="s">
        <v>26</v>
      </c>
      <c r="F298" s="2" t="s">
        <v>35</v>
      </c>
      <c r="G298" t="s">
        <v>28</v>
      </c>
      <c r="H298" s="3">
        <v>0.16</v>
      </c>
      <c r="I298" s="2" t="s">
        <v>44</v>
      </c>
      <c r="J298" s="3">
        <v>0.1515</v>
      </c>
      <c r="K298" s="3">
        <v>0.47</v>
      </c>
      <c r="L298" s="3">
        <v>0.25369999999999998</v>
      </c>
      <c r="M298">
        <v>1</v>
      </c>
      <c r="N298">
        <v>98</v>
      </c>
      <c r="O298">
        <v>99</v>
      </c>
    </row>
    <row r="299" spans="1:15" hidden="1" x14ac:dyDescent="0.3">
      <c r="A299">
        <v>298</v>
      </c>
      <c r="B299" s="1">
        <v>40556</v>
      </c>
      <c r="C299">
        <v>20</v>
      </c>
      <c r="D299" s="2" t="s">
        <v>47</v>
      </c>
      <c r="E299" t="s">
        <v>26</v>
      </c>
      <c r="F299" s="2" t="s">
        <v>35</v>
      </c>
      <c r="G299" t="s">
        <v>28</v>
      </c>
      <c r="H299" s="3">
        <v>0.16</v>
      </c>
      <c r="I299" s="2" t="s">
        <v>44</v>
      </c>
      <c r="J299" s="3">
        <v>0.1515</v>
      </c>
      <c r="K299" s="3">
        <v>0.47</v>
      </c>
      <c r="L299" s="3">
        <v>0.22389999999999999</v>
      </c>
      <c r="M299">
        <v>0</v>
      </c>
      <c r="N299">
        <v>64</v>
      </c>
      <c r="O299">
        <v>64</v>
      </c>
    </row>
    <row r="300" spans="1:15" hidden="1" x14ac:dyDescent="0.3">
      <c r="A300">
        <v>299</v>
      </c>
      <c r="B300" s="1">
        <v>40556</v>
      </c>
      <c r="C300">
        <v>21</v>
      </c>
      <c r="D300" s="2" t="s">
        <v>41</v>
      </c>
      <c r="E300" t="s">
        <v>26</v>
      </c>
      <c r="F300" s="2" t="s">
        <v>35</v>
      </c>
      <c r="G300" t="s">
        <v>28</v>
      </c>
      <c r="H300" s="3">
        <v>0.14000000000000001</v>
      </c>
      <c r="I300" s="2" t="s">
        <v>44</v>
      </c>
      <c r="J300" s="3">
        <v>0.1212</v>
      </c>
      <c r="K300" s="3">
        <v>0.46</v>
      </c>
      <c r="L300" s="3">
        <v>0.29849999999999999</v>
      </c>
      <c r="M300">
        <v>0</v>
      </c>
      <c r="N300">
        <v>40</v>
      </c>
      <c r="O300">
        <v>40</v>
      </c>
    </row>
    <row r="301" spans="1:15" hidden="1" x14ac:dyDescent="0.3">
      <c r="A301">
        <v>300</v>
      </c>
      <c r="B301" s="1">
        <v>40556</v>
      </c>
      <c r="C301">
        <v>22</v>
      </c>
      <c r="D301" s="2" t="s">
        <v>41</v>
      </c>
      <c r="E301" t="s">
        <v>26</v>
      </c>
      <c r="F301" s="2" t="s">
        <v>35</v>
      </c>
      <c r="G301" t="s">
        <v>28</v>
      </c>
      <c r="H301" s="3">
        <v>0.14000000000000001</v>
      </c>
      <c r="I301" s="2" t="s">
        <v>44</v>
      </c>
      <c r="J301" s="3">
        <v>0.1212</v>
      </c>
      <c r="K301" s="3">
        <v>0.46</v>
      </c>
      <c r="L301" s="3">
        <v>0.32840000000000003</v>
      </c>
      <c r="M301">
        <v>0</v>
      </c>
      <c r="N301">
        <v>30</v>
      </c>
      <c r="O301">
        <v>30</v>
      </c>
    </row>
    <row r="302" spans="1:15" hidden="1" x14ac:dyDescent="0.3">
      <c r="A302">
        <v>301</v>
      </c>
      <c r="B302" s="1">
        <v>40556</v>
      </c>
      <c r="C302">
        <v>23</v>
      </c>
      <c r="D302" s="2" t="s">
        <v>41</v>
      </c>
      <c r="E302" t="s">
        <v>26</v>
      </c>
      <c r="F302" s="2" t="s">
        <v>35</v>
      </c>
      <c r="G302" t="s">
        <v>28</v>
      </c>
      <c r="H302" s="3">
        <v>0.12</v>
      </c>
      <c r="I302" s="2" t="s">
        <v>44</v>
      </c>
      <c r="J302" s="3">
        <v>0.13639999999999999</v>
      </c>
      <c r="K302" s="3">
        <v>0.5</v>
      </c>
      <c r="L302" s="3">
        <v>0.19400000000000001</v>
      </c>
      <c r="M302">
        <v>1</v>
      </c>
      <c r="N302">
        <v>14</v>
      </c>
      <c r="O302">
        <v>15</v>
      </c>
    </row>
    <row r="303" spans="1:15" hidden="1" x14ac:dyDescent="0.3">
      <c r="A303">
        <v>302</v>
      </c>
      <c r="B303" s="1">
        <v>40557</v>
      </c>
      <c r="C303">
        <v>0</v>
      </c>
      <c r="D303" s="2" t="s">
        <v>41</v>
      </c>
      <c r="E303" t="s">
        <v>26</v>
      </c>
      <c r="F303" s="2" t="s">
        <v>36</v>
      </c>
      <c r="G303" t="s">
        <v>28</v>
      </c>
      <c r="H303" s="3">
        <v>0.12</v>
      </c>
      <c r="I303" s="2" t="s">
        <v>44</v>
      </c>
      <c r="J303" s="3">
        <v>0.13639999999999999</v>
      </c>
      <c r="K303" s="3">
        <v>0.5</v>
      </c>
      <c r="L303" s="3">
        <v>0.19400000000000001</v>
      </c>
      <c r="M303">
        <v>0</v>
      </c>
      <c r="N303">
        <v>14</v>
      </c>
      <c r="O303">
        <v>14</v>
      </c>
    </row>
    <row r="304" spans="1:15" hidden="1" x14ac:dyDescent="0.3">
      <c r="A304">
        <v>303</v>
      </c>
      <c r="B304" s="1">
        <v>40557</v>
      </c>
      <c r="C304">
        <v>1</v>
      </c>
      <c r="D304" s="2" t="s">
        <v>41</v>
      </c>
      <c r="E304" t="s">
        <v>26</v>
      </c>
      <c r="F304" s="2" t="s">
        <v>36</v>
      </c>
      <c r="G304" t="s">
        <v>28</v>
      </c>
      <c r="H304" s="3">
        <v>0.1</v>
      </c>
      <c r="I304" s="2" t="s">
        <v>44</v>
      </c>
      <c r="J304" s="3">
        <v>0.1212</v>
      </c>
      <c r="K304" s="3">
        <v>0.54</v>
      </c>
      <c r="L304" s="3">
        <v>0.16420000000000001</v>
      </c>
      <c r="M304">
        <v>0</v>
      </c>
      <c r="N304">
        <v>5</v>
      </c>
      <c r="O304">
        <v>5</v>
      </c>
    </row>
    <row r="305" spans="1:15" hidden="1" x14ac:dyDescent="0.3">
      <c r="A305">
        <v>304</v>
      </c>
      <c r="B305" s="1">
        <v>40557</v>
      </c>
      <c r="C305">
        <v>2</v>
      </c>
      <c r="D305" s="2" t="s">
        <v>41</v>
      </c>
      <c r="E305" t="s">
        <v>26</v>
      </c>
      <c r="F305" s="2" t="s">
        <v>36</v>
      </c>
      <c r="G305" t="s">
        <v>28</v>
      </c>
      <c r="H305" s="3">
        <v>0.1</v>
      </c>
      <c r="I305" s="2" t="s">
        <v>44</v>
      </c>
      <c r="J305" s="3">
        <v>0.1212</v>
      </c>
      <c r="K305" s="3">
        <v>0.54</v>
      </c>
      <c r="L305" s="3">
        <v>0.1343</v>
      </c>
      <c r="M305">
        <v>0</v>
      </c>
      <c r="N305">
        <v>1</v>
      </c>
      <c r="O305">
        <v>1</v>
      </c>
    </row>
    <row r="306" spans="1:15" hidden="1" x14ac:dyDescent="0.3">
      <c r="A306">
        <v>305</v>
      </c>
      <c r="B306" s="1">
        <v>40557</v>
      </c>
      <c r="C306">
        <v>3</v>
      </c>
      <c r="D306" s="2" t="s">
        <v>41</v>
      </c>
      <c r="E306" t="s">
        <v>26</v>
      </c>
      <c r="F306" s="2" t="s">
        <v>36</v>
      </c>
      <c r="G306" t="s">
        <v>28</v>
      </c>
      <c r="H306" s="3">
        <v>0.1</v>
      </c>
      <c r="I306" s="2" t="s">
        <v>44</v>
      </c>
      <c r="J306" s="3">
        <v>0.13639999999999999</v>
      </c>
      <c r="K306" s="3">
        <v>0.54</v>
      </c>
      <c r="L306" s="3">
        <v>0.1045</v>
      </c>
      <c r="M306">
        <v>0</v>
      </c>
      <c r="N306">
        <v>1</v>
      </c>
      <c r="O306">
        <v>1</v>
      </c>
    </row>
    <row r="307" spans="1:15" x14ac:dyDescent="0.3">
      <c r="A307">
        <v>306</v>
      </c>
      <c r="B307" s="1">
        <v>40557</v>
      </c>
      <c r="C307">
        <v>5</v>
      </c>
      <c r="D307" s="2" t="s">
        <v>43</v>
      </c>
      <c r="E307" t="s">
        <v>26</v>
      </c>
      <c r="F307" s="2" t="s">
        <v>36</v>
      </c>
      <c r="G307" t="s">
        <v>28</v>
      </c>
      <c r="H307" s="3">
        <v>0.1</v>
      </c>
      <c r="I307" s="2" t="s">
        <v>44</v>
      </c>
      <c r="J307" s="3">
        <v>0.13639999999999999</v>
      </c>
      <c r="K307" s="3">
        <v>0.54</v>
      </c>
      <c r="L307" s="3">
        <v>8.9599999999999999E-2</v>
      </c>
      <c r="M307">
        <v>0</v>
      </c>
      <c r="N307">
        <v>8</v>
      </c>
      <c r="O307">
        <v>8</v>
      </c>
    </row>
    <row r="308" spans="1:15" x14ac:dyDescent="0.3">
      <c r="A308">
        <v>307</v>
      </c>
      <c r="B308" s="1">
        <v>40557</v>
      </c>
      <c r="C308">
        <v>6</v>
      </c>
      <c r="D308" s="2" t="s">
        <v>43</v>
      </c>
      <c r="E308" t="s">
        <v>26</v>
      </c>
      <c r="F308" s="2" t="s">
        <v>36</v>
      </c>
      <c r="G308" t="s">
        <v>28</v>
      </c>
      <c r="H308" s="3">
        <v>0.1</v>
      </c>
      <c r="I308" s="2" t="s">
        <v>44</v>
      </c>
      <c r="J308" s="3">
        <v>0.18179999999999999</v>
      </c>
      <c r="K308" s="3">
        <v>0.54</v>
      </c>
      <c r="L308" s="3">
        <v>0</v>
      </c>
      <c r="M308">
        <v>0</v>
      </c>
      <c r="N308">
        <v>17</v>
      </c>
      <c r="O308">
        <v>17</v>
      </c>
    </row>
    <row r="309" spans="1:15" x14ac:dyDescent="0.3">
      <c r="A309">
        <v>308</v>
      </c>
      <c r="B309" s="1">
        <v>40557</v>
      </c>
      <c r="C309">
        <v>7</v>
      </c>
      <c r="D309" s="2" t="s">
        <v>43</v>
      </c>
      <c r="E309" t="s">
        <v>26</v>
      </c>
      <c r="F309" s="2" t="s">
        <v>36</v>
      </c>
      <c r="G309" t="s">
        <v>28</v>
      </c>
      <c r="H309" s="3">
        <v>0.1</v>
      </c>
      <c r="I309" s="2" t="s">
        <v>44</v>
      </c>
      <c r="J309" s="3">
        <v>0.1212</v>
      </c>
      <c r="K309" s="3">
        <v>0.74</v>
      </c>
      <c r="L309" s="3">
        <v>0.16420000000000001</v>
      </c>
      <c r="M309">
        <v>0</v>
      </c>
      <c r="N309">
        <v>70</v>
      </c>
      <c r="O309">
        <v>70</v>
      </c>
    </row>
    <row r="310" spans="1:15" x14ac:dyDescent="0.3">
      <c r="A310">
        <v>309</v>
      </c>
      <c r="B310" s="1">
        <v>40557</v>
      </c>
      <c r="C310">
        <v>8</v>
      </c>
      <c r="D310" s="2" t="s">
        <v>43</v>
      </c>
      <c r="E310" t="s">
        <v>26</v>
      </c>
      <c r="F310" s="2" t="s">
        <v>36</v>
      </c>
      <c r="G310" t="s">
        <v>28</v>
      </c>
      <c r="H310" s="3">
        <v>0.12</v>
      </c>
      <c r="I310" s="2" t="s">
        <v>44</v>
      </c>
      <c r="J310" s="3">
        <v>0.16669999999999999</v>
      </c>
      <c r="K310" s="3">
        <v>0.68</v>
      </c>
      <c r="L310" s="3">
        <v>0</v>
      </c>
      <c r="M310">
        <v>2</v>
      </c>
      <c r="N310">
        <v>156</v>
      </c>
      <c r="O310">
        <v>158</v>
      </c>
    </row>
    <row r="311" spans="1:15" x14ac:dyDescent="0.3">
      <c r="A311">
        <v>310</v>
      </c>
      <c r="B311" s="1">
        <v>40557</v>
      </c>
      <c r="C311">
        <v>9</v>
      </c>
      <c r="D311" s="2" t="s">
        <v>43</v>
      </c>
      <c r="E311" t="s">
        <v>26</v>
      </c>
      <c r="F311" s="2" t="s">
        <v>36</v>
      </c>
      <c r="G311" t="s">
        <v>28</v>
      </c>
      <c r="H311" s="3">
        <v>0.14000000000000001</v>
      </c>
      <c r="I311" s="2" t="s">
        <v>44</v>
      </c>
      <c r="J311" s="3">
        <v>0.1515</v>
      </c>
      <c r="K311" s="3">
        <v>0.69</v>
      </c>
      <c r="L311" s="3">
        <v>0.1343</v>
      </c>
      <c r="M311">
        <v>0</v>
      </c>
      <c r="N311">
        <v>117</v>
      </c>
      <c r="O311">
        <v>117</v>
      </c>
    </row>
    <row r="312" spans="1:15" x14ac:dyDescent="0.3">
      <c r="A312">
        <v>311</v>
      </c>
      <c r="B312" s="1">
        <v>40557</v>
      </c>
      <c r="C312">
        <v>10</v>
      </c>
      <c r="D312" s="2" t="s">
        <v>43</v>
      </c>
      <c r="E312" t="s">
        <v>26</v>
      </c>
      <c r="F312" s="2" t="s">
        <v>36</v>
      </c>
      <c r="G312" t="s">
        <v>28</v>
      </c>
      <c r="H312" s="3">
        <v>0.18</v>
      </c>
      <c r="I312" s="2" t="s">
        <v>44</v>
      </c>
      <c r="J312" s="3">
        <v>0.18179999999999999</v>
      </c>
      <c r="K312" s="3">
        <v>0.55000000000000004</v>
      </c>
      <c r="L312" s="3">
        <v>0.19400000000000001</v>
      </c>
      <c r="M312">
        <v>4</v>
      </c>
      <c r="N312">
        <v>40</v>
      </c>
      <c r="O312">
        <v>44</v>
      </c>
    </row>
    <row r="313" spans="1:15" x14ac:dyDescent="0.3">
      <c r="A313">
        <v>312</v>
      </c>
      <c r="B313" s="1">
        <v>40557</v>
      </c>
      <c r="C313">
        <v>11</v>
      </c>
      <c r="D313" s="2" t="s">
        <v>43</v>
      </c>
      <c r="E313" t="s">
        <v>26</v>
      </c>
      <c r="F313" s="2" t="s">
        <v>36</v>
      </c>
      <c r="G313" t="s">
        <v>28</v>
      </c>
      <c r="H313" s="3">
        <v>0.18</v>
      </c>
      <c r="I313" s="2" t="s">
        <v>44</v>
      </c>
      <c r="J313" s="3">
        <v>0.16669999999999999</v>
      </c>
      <c r="K313" s="3">
        <v>0.51</v>
      </c>
      <c r="L313" s="3">
        <v>0.28360000000000002</v>
      </c>
      <c r="M313">
        <v>6</v>
      </c>
      <c r="N313">
        <v>47</v>
      </c>
      <c r="O313">
        <v>53</v>
      </c>
    </row>
    <row r="314" spans="1:15" hidden="1" x14ac:dyDescent="0.3">
      <c r="A314">
        <v>313</v>
      </c>
      <c r="B314" s="1">
        <v>40557</v>
      </c>
      <c r="C314">
        <v>12</v>
      </c>
      <c r="D314" s="2" t="s">
        <v>45</v>
      </c>
      <c r="E314" t="s">
        <v>26</v>
      </c>
      <c r="F314" s="2" t="s">
        <v>36</v>
      </c>
      <c r="G314" t="s">
        <v>28</v>
      </c>
      <c r="H314" s="3">
        <v>0.2</v>
      </c>
      <c r="I314" s="2" t="s">
        <v>44</v>
      </c>
      <c r="J314" s="3">
        <v>0.19700000000000001</v>
      </c>
      <c r="K314" s="3">
        <v>0.44</v>
      </c>
      <c r="L314" s="3">
        <v>0.25369999999999998</v>
      </c>
      <c r="M314">
        <v>2</v>
      </c>
      <c r="N314">
        <v>59</v>
      </c>
      <c r="O314">
        <v>61</v>
      </c>
    </row>
    <row r="315" spans="1:15" hidden="1" x14ac:dyDescent="0.3">
      <c r="A315">
        <v>314</v>
      </c>
      <c r="B315" s="1">
        <v>40557</v>
      </c>
      <c r="C315">
        <v>13</v>
      </c>
      <c r="D315" s="2" t="s">
        <v>45</v>
      </c>
      <c r="E315" t="s">
        <v>26</v>
      </c>
      <c r="F315" s="2" t="s">
        <v>36</v>
      </c>
      <c r="G315" t="s">
        <v>28</v>
      </c>
      <c r="H315" s="3">
        <v>0.22</v>
      </c>
      <c r="I315" s="2" t="s">
        <v>42</v>
      </c>
      <c r="J315" s="3">
        <v>0.19700000000000001</v>
      </c>
      <c r="K315" s="3">
        <v>0.37</v>
      </c>
      <c r="L315" s="3">
        <v>0.3881</v>
      </c>
      <c r="M315">
        <v>4</v>
      </c>
      <c r="N315">
        <v>73</v>
      </c>
      <c r="O315">
        <v>77</v>
      </c>
    </row>
    <row r="316" spans="1:15" hidden="1" x14ac:dyDescent="0.3">
      <c r="A316">
        <v>315</v>
      </c>
      <c r="B316" s="1">
        <v>40557</v>
      </c>
      <c r="C316">
        <v>14</v>
      </c>
      <c r="D316" s="2" t="s">
        <v>45</v>
      </c>
      <c r="E316" t="s">
        <v>26</v>
      </c>
      <c r="F316" s="2" t="s">
        <v>36</v>
      </c>
      <c r="G316" t="s">
        <v>28</v>
      </c>
      <c r="H316" s="3">
        <v>0.22</v>
      </c>
      <c r="I316" s="2" t="s">
        <v>42</v>
      </c>
      <c r="J316" s="3">
        <v>0.21210000000000001</v>
      </c>
      <c r="K316" s="3">
        <v>0.41</v>
      </c>
      <c r="L316" s="3">
        <v>0.28360000000000002</v>
      </c>
      <c r="M316">
        <v>5</v>
      </c>
      <c r="N316">
        <v>59</v>
      </c>
      <c r="O316">
        <v>64</v>
      </c>
    </row>
    <row r="317" spans="1:15" hidden="1" x14ac:dyDescent="0.3">
      <c r="A317">
        <v>316</v>
      </c>
      <c r="B317" s="1">
        <v>40557</v>
      </c>
      <c r="C317">
        <v>15</v>
      </c>
      <c r="D317" s="2" t="s">
        <v>45</v>
      </c>
      <c r="E317" t="s">
        <v>26</v>
      </c>
      <c r="F317" s="2" t="s">
        <v>36</v>
      </c>
      <c r="G317" t="s">
        <v>28</v>
      </c>
      <c r="H317" s="3">
        <v>0.24</v>
      </c>
      <c r="I317" s="2" t="s">
        <v>42</v>
      </c>
      <c r="J317" s="3">
        <v>0.2424</v>
      </c>
      <c r="K317" s="3">
        <v>0.38</v>
      </c>
      <c r="L317" s="3">
        <v>0.16420000000000001</v>
      </c>
      <c r="M317">
        <v>9</v>
      </c>
      <c r="N317">
        <v>59</v>
      </c>
      <c r="O317">
        <v>68</v>
      </c>
    </row>
    <row r="318" spans="1:15" hidden="1" x14ac:dyDescent="0.3">
      <c r="A318">
        <v>317</v>
      </c>
      <c r="B318" s="1">
        <v>40557</v>
      </c>
      <c r="C318">
        <v>16</v>
      </c>
      <c r="D318" s="2" t="s">
        <v>45</v>
      </c>
      <c r="E318" t="s">
        <v>26</v>
      </c>
      <c r="F318" s="2" t="s">
        <v>36</v>
      </c>
      <c r="G318" t="s">
        <v>28</v>
      </c>
      <c r="H318" s="3">
        <v>0.22</v>
      </c>
      <c r="I318" s="2" t="s">
        <v>42</v>
      </c>
      <c r="J318" s="3">
        <v>0.2424</v>
      </c>
      <c r="K318" s="3">
        <v>0.41</v>
      </c>
      <c r="L318" s="3">
        <v>0.1045</v>
      </c>
      <c r="M318">
        <v>3</v>
      </c>
      <c r="N318">
        <v>87</v>
      </c>
      <c r="O318">
        <v>90</v>
      </c>
    </row>
    <row r="319" spans="1:15" hidden="1" x14ac:dyDescent="0.3">
      <c r="A319">
        <v>318</v>
      </c>
      <c r="B319" s="1">
        <v>40557</v>
      </c>
      <c r="C319">
        <v>17</v>
      </c>
      <c r="D319" s="2" t="s">
        <v>47</v>
      </c>
      <c r="E319" t="s">
        <v>26</v>
      </c>
      <c r="F319" s="2" t="s">
        <v>36</v>
      </c>
      <c r="G319" t="s">
        <v>28</v>
      </c>
      <c r="H319" s="3">
        <v>0.22</v>
      </c>
      <c r="I319" s="2" t="s">
        <v>42</v>
      </c>
      <c r="J319" s="3">
        <v>0.2273</v>
      </c>
      <c r="K319" s="3">
        <v>0.41</v>
      </c>
      <c r="L319" s="3">
        <v>0.16420000000000001</v>
      </c>
      <c r="M319">
        <v>4</v>
      </c>
      <c r="N319">
        <v>155</v>
      </c>
      <c r="O319">
        <v>159</v>
      </c>
    </row>
    <row r="320" spans="1:15" hidden="1" x14ac:dyDescent="0.3">
      <c r="A320">
        <v>319</v>
      </c>
      <c r="B320" s="1">
        <v>40557</v>
      </c>
      <c r="C320">
        <v>18</v>
      </c>
      <c r="D320" s="2" t="s">
        <v>47</v>
      </c>
      <c r="E320" t="s">
        <v>26</v>
      </c>
      <c r="F320" s="2" t="s">
        <v>36</v>
      </c>
      <c r="G320" t="s">
        <v>28</v>
      </c>
      <c r="H320" s="3">
        <v>0.2</v>
      </c>
      <c r="I320" s="2" t="s">
        <v>44</v>
      </c>
      <c r="J320" s="3">
        <v>0.2576</v>
      </c>
      <c r="K320" s="3">
        <v>0.47</v>
      </c>
      <c r="L320" s="3">
        <v>0</v>
      </c>
      <c r="M320">
        <v>5</v>
      </c>
      <c r="N320">
        <v>134</v>
      </c>
      <c r="O320">
        <v>139</v>
      </c>
    </row>
    <row r="321" spans="1:15" hidden="1" x14ac:dyDescent="0.3">
      <c r="A321">
        <v>320</v>
      </c>
      <c r="B321" s="1">
        <v>40557</v>
      </c>
      <c r="C321">
        <v>19</v>
      </c>
      <c r="D321" s="2" t="s">
        <v>47</v>
      </c>
      <c r="E321" t="s">
        <v>26</v>
      </c>
      <c r="F321" s="2" t="s">
        <v>36</v>
      </c>
      <c r="G321" t="s">
        <v>28</v>
      </c>
      <c r="H321" s="3">
        <v>0.16</v>
      </c>
      <c r="I321" s="2" t="s">
        <v>44</v>
      </c>
      <c r="J321" s="3">
        <v>0.19700000000000001</v>
      </c>
      <c r="K321" s="3">
        <v>0.59</v>
      </c>
      <c r="L321" s="3">
        <v>8.9599999999999999E-2</v>
      </c>
      <c r="M321">
        <v>3</v>
      </c>
      <c r="N321">
        <v>89</v>
      </c>
      <c r="O321">
        <v>92</v>
      </c>
    </row>
    <row r="322" spans="1:15" hidden="1" x14ac:dyDescent="0.3">
      <c r="A322">
        <v>321</v>
      </c>
      <c r="B322" s="1">
        <v>40557</v>
      </c>
      <c r="C322">
        <v>20</v>
      </c>
      <c r="D322" s="2" t="s">
        <v>47</v>
      </c>
      <c r="E322" t="s">
        <v>26</v>
      </c>
      <c r="F322" s="2" t="s">
        <v>36</v>
      </c>
      <c r="G322" t="s">
        <v>28</v>
      </c>
      <c r="H322" s="3">
        <v>0.18</v>
      </c>
      <c r="I322" s="2" t="s">
        <v>44</v>
      </c>
      <c r="J322" s="3">
        <v>0.2424</v>
      </c>
      <c r="K322" s="3">
        <v>0.59</v>
      </c>
      <c r="L322" s="3">
        <v>0</v>
      </c>
      <c r="M322">
        <v>0</v>
      </c>
      <c r="N322">
        <v>68</v>
      </c>
      <c r="O322">
        <v>68</v>
      </c>
    </row>
    <row r="323" spans="1:15" hidden="1" x14ac:dyDescent="0.3">
      <c r="A323">
        <v>322</v>
      </c>
      <c r="B323" s="1">
        <v>40557</v>
      </c>
      <c r="C323">
        <v>21</v>
      </c>
      <c r="D323" s="2" t="s">
        <v>41</v>
      </c>
      <c r="E323" t="s">
        <v>26</v>
      </c>
      <c r="F323" s="2" t="s">
        <v>36</v>
      </c>
      <c r="G323" t="s">
        <v>28</v>
      </c>
      <c r="H323" s="3">
        <v>0.16</v>
      </c>
      <c r="I323" s="2" t="s">
        <v>44</v>
      </c>
      <c r="J323" s="3">
        <v>0.2273</v>
      </c>
      <c r="K323" s="3">
        <v>0.69</v>
      </c>
      <c r="L323" s="3">
        <v>0</v>
      </c>
      <c r="M323">
        <v>4</v>
      </c>
      <c r="N323">
        <v>48</v>
      </c>
      <c r="O323">
        <v>52</v>
      </c>
    </row>
    <row r="324" spans="1:15" hidden="1" x14ac:dyDescent="0.3">
      <c r="A324">
        <v>323</v>
      </c>
      <c r="B324" s="1">
        <v>40557</v>
      </c>
      <c r="C324">
        <v>22</v>
      </c>
      <c r="D324" s="2" t="s">
        <v>41</v>
      </c>
      <c r="E324" t="s">
        <v>26</v>
      </c>
      <c r="F324" s="2" t="s">
        <v>36</v>
      </c>
      <c r="G324" t="s">
        <v>29</v>
      </c>
      <c r="H324" s="3">
        <v>0.16</v>
      </c>
      <c r="I324" s="2" t="s">
        <v>44</v>
      </c>
      <c r="J324" s="3">
        <v>0.2273</v>
      </c>
      <c r="K324" s="3">
        <v>0.69</v>
      </c>
      <c r="L324" s="3">
        <v>0</v>
      </c>
      <c r="M324">
        <v>2</v>
      </c>
      <c r="N324">
        <v>34</v>
      </c>
      <c r="O324">
        <v>36</v>
      </c>
    </row>
    <row r="325" spans="1:15" hidden="1" x14ac:dyDescent="0.3">
      <c r="A325">
        <v>324</v>
      </c>
      <c r="B325" s="1">
        <v>40557</v>
      </c>
      <c r="C325">
        <v>23</v>
      </c>
      <c r="D325" s="2" t="s">
        <v>41</v>
      </c>
      <c r="E325" t="s">
        <v>26</v>
      </c>
      <c r="F325" s="2" t="s">
        <v>36</v>
      </c>
      <c r="G325" t="s">
        <v>29</v>
      </c>
      <c r="H325" s="3">
        <v>0.18</v>
      </c>
      <c r="I325" s="2" t="s">
        <v>44</v>
      </c>
      <c r="J325" s="3">
        <v>0.2424</v>
      </c>
      <c r="K325" s="3">
        <v>0.55000000000000004</v>
      </c>
      <c r="L325" s="3">
        <v>0</v>
      </c>
      <c r="M325">
        <v>1</v>
      </c>
      <c r="N325">
        <v>26</v>
      </c>
      <c r="O325">
        <v>27</v>
      </c>
    </row>
    <row r="326" spans="1:15" hidden="1" x14ac:dyDescent="0.3">
      <c r="A326">
        <v>325</v>
      </c>
      <c r="B326" s="1">
        <v>40558</v>
      </c>
      <c r="C326">
        <v>0</v>
      </c>
      <c r="D326" s="2" t="s">
        <v>41</v>
      </c>
      <c r="E326" t="s">
        <v>26</v>
      </c>
      <c r="F326" s="2" t="s">
        <v>27</v>
      </c>
      <c r="G326" t="s">
        <v>28</v>
      </c>
      <c r="H326" s="3">
        <v>0.18</v>
      </c>
      <c r="I326" s="2" t="s">
        <v>44</v>
      </c>
      <c r="J326" s="3">
        <v>0.2424</v>
      </c>
      <c r="K326" s="3">
        <v>0.55000000000000004</v>
      </c>
      <c r="L326" s="3">
        <v>0</v>
      </c>
      <c r="M326">
        <v>3</v>
      </c>
      <c r="N326">
        <v>25</v>
      </c>
      <c r="O326">
        <v>28</v>
      </c>
    </row>
    <row r="327" spans="1:15" hidden="1" x14ac:dyDescent="0.3">
      <c r="A327">
        <v>326</v>
      </c>
      <c r="B327" s="1">
        <v>40558</v>
      </c>
      <c r="C327">
        <v>1</v>
      </c>
      <c r="D327" s="2" t="s">
        <v>41</v>
      </c>
      <c r="E327" t="s">
        <v>26</v>
      </c>
      <c r="F327" s="2" t="s">
        <v>27</v>
      </c>
      <c r="G327" t="s">
        <v>29</v>
      </c>
      <c r="H327" s="3">
        <v>0.16</v>
      </c>
      <c r="I327" s="2" t="s">
        <v>44</v>
      </c>
      <c r="J327" s="3">
        <v>0.19700000000000001</v>
      </c>
      <c r="K327" s="3">
        <v>0.59</v>
      </c>
      <c r="L327" s="3">
        <v>8.9599999999999999E-2</v>
      </c>
      <c r="M327">
        <v>2</v>
      </c>
      <c r="N327">
        <v>18</v>
      </c>
      <c r="O327">
        <v>20</v>
      </c>
    </row>
    <row r="328" spans="1:15" hidden="1" x14ac:dyDescent="0.3">
      <c r="A328">
        <v>327</v>
      </c>
      <c r="B328" s="1">
        <v>40558</v>
      </c>
      <c r="C328">
        <v>2</v>
      </c>
      <c r="D328" s="2" t="s">
        <v>41</v>
      </c>
      <c r="E328" t="s">
        <v>26</v>
      </c>
      <c r="F328" s="2" t="s">
        <v>27</v>
      </c>
      <c r="G328" t="s">
        <v>29</v>
      </c>
      <c r="H328" s="3">
        <v>0.16</v>
      </c>
      <c r="I328" s="2" t="s">
        <v>44</v>
      </c>
      <c r="J328" s="3">
        <v>0.19700000000000001</v>
      </c>
      <c r="K328" s="3">
        <v>0.59</v>
      </c>
      <c r="L328" s="3">
        <v>8.9599999999999999E-2</v>
      </c>
      <c r="M328">
        <v>0</v>
      </c>
      <c r="N328">
        <v>12</v>
      </c>
      <c r="O328">
        <v>12</v>
      </c>
    </row>
    <row r="329" spans="1:15" hidden="1" x14ac:dyDescent="0.3">
      <c r="A329">
        <v>328</v>
      </c>
      <c r="B329" s="1">
        <v>40558</v>
      </c>
      <c r="C329">
        <v>3</v>
      </c>
      <c r="D329" s="2" t="s">
        <v>41</v>
      </c>
      <c r="E329" t="s">
        <v>26</v>
      </c>
      <c r="F329" s="2" t="s">
        <v>27</v>
      </c>
      <c r="G329" t="s">
        <v>29</v>
      </c>
      <c r="H329" s="3">
        <v>0.16</v>
      </c>
      <c r="I329" s="2" t="s">
        <v>44</v>
      </c>
      <c r="J329" s="3">
        <v>0.2273</v>
      </c>
      <c r="K329" s="3">
        <v>0.59</v>
      </c>
      <c r="L329" s="3">
        <v>0</v>
      </c>
      <c r="M329">
        <v>1</v>
      </c>
      <c r="N329">
        <v>7</v>
      </c>
      <c r="O329">
        <v>8</v>
      </c>
    </row>
    <row r="330" spans="1:15" hidden="1" x14ac:dyDescent="0.3">
      <c r="A330">
        <v>329</v>
      </c>
      <c r="B330" s="1">
        <v>40558</v>
      </c>
      <c r="C330">
        <v>4</v>
      </c>
      <c r="D330" s="2" t="s">
        <v>41</v>
      </c>
      <c r="E330" t="s">
        <v>26</v>
      </c>
      <c r="F330" s="2" t="s">
        <v>27</v>
      </c>
      <c r="G330" t="s">
        <v>29</v>
      </c>
      <c r="H330" s="3">
        <v>0.16</v>
      </c>
      <c r="I330" s="2" t="s">
        <v>44</v>
      </c>
      <c r="J330" s="3">
        <v>0.2273</v>
      </c>
      <c r="K330" s="3">
        <v>0.59</v>
      </c>
      <c r="L330" s="3">
        <v>0</v>
      </c>
      <c r="M330">
        <v>0</v>
      </c>
      <c r="N330">
        <v>5</v>
      </c>
      <c r="O330">
        <v>5</v>
      </c>
    </row>
    <row r="331" spans="1:15" x14ac:dyDescent="0.3">
      <c r="A331">
        <v>330</v>
      </c>
      <c r="B331" s="1">
        <v>40558</v>
      </c>
      <c r="C331">
        <v>5</v>
      </c>
      <c r="D331" s="2" t="s">
        <v>43</v>
      </c>
      <c r="E331" t="s">
        <v>26</v>
      </c>
      <c r="F331" s="2" t="s">
        <v>27</v>
      </c>
      <c r="G331" t="s">
        <v>28</v>
      </c>
      <c r="H331" s="3">
        <v>0.16</v>
      </c>
      <c r="I331" s="2" t="s">
        <v>44</v>
      </c>
      <c r="J331" s="3">
        <v>0.2273</v>
      </c>
      <c r="K331" s="3">
        <v>0.59</v>
      </c>
      <c r="L331" s="3">
        <v>0</v>
      </c>
      <c r="M331">
        <v>0</v>
      </c>
      <c r="N331">
        <v>1</v>
      </c>
      <c r="O331">
        <v>1</v>
      </c>
    </row>
    <row r="332" spans="1:15" x14ac:dyDescent="0.3">
      <c r="A332">
        <v>331</v>
      </c>
      <c r="B332" s="1">
        <v>40558</v>
      </c>
      <c r="C332">
        <v>6</v>
      </c>
      <c r="D332" s="2" t="s">
        <v>43</v>
      </c>
      <c r="E332" t="s">
        <v>26</v>
      </c>
      <c r="F332" s="2" t="s">
        <v>27</v>
      </c>
      <c r="G332" t="s">
        <v>28</v>
      </c>
      <c r="H332" s="3">
        <v>0.14000000000000001</v>
      </c>
      <c r="I332" s="2" t="s">
        <v>44</v>
      </c>
      <c r="J332" s="3">
        <v>0.16669999999999999</v>
      </c>
      <c r="K332" s="3">
        <v>0.63</v>
      </c>
      <c r="L332" s="3">
        <v>0.1045</v>
      </c>
      <c r="M332">
        <v>1</v>
      </c>
      <c r="N332">
        <v>2</v>
      </c>
      <c r="O332">
        <v>3</v>
      </c>
    </row>
    <row r="333" spans="1:15" x14ac:dyDescent="0.3">
      <c r="A333">
        <v>332</v>
      </c>
      <c r="B333" s="1">
        <v>40558</v>
      </c>
      <c r="C333">
        <v>7</v>
      </c>
      <c r="D333" s="2" t="s">
        <v>43</v>
      </c>
      <c r="E333" t="s">
        <v>26</v>
      </c>
      <c r="F333" s="2" t="s">
        <v>27</v>
      </c>
      <c r="G333" t="s">
        <v>28</v>
      </c>
      <c r="H333" s="3">
        <v>0.14000000000000001</v>
      </c>
      <c r="I333" s="2" t="s">
        <v>44</v>
      </c>
      <c r="J333" s="3">
        <v>0.21210000000000001</v>
      </c>
      <c r="K333" s="3">
        <v>0.63</v>
      </c>
      <c r="L333" s="3">
        <v>0</v>
      </c>
      <c r="M333">
        <v>1</v>
      </c>
      <c r="N333">
        <v>9</v>
      </c>
      <c r="O333">
        <v>10</v>
      </c>
    </row>
    <row r="334" spans="1:15" x14ac:dyDescent="0.3">
      <c r="A334">
        <v>333</v>
      </c>
      <c r="B334" s="1">
        <v>40558</v>
      </c>
      <c r="C334">
        <v>8</v>
      </c>
      <c r="D334" s="2" t="s">
        <v>43</v>
      </c>
      <c r="E334" t="s">
        <v>26</v>
      </c>
      <c r="F334" s="2" t="s">
        <v>27</v>
      </c>
      <c r="G334" t="s">
        <v>28</v>
      </c>
      <c r="H334" s="3">
        <v>0.14000000000000001</v>
      </c>
      <c r="I334" s="2" t="s">
        <v>44</v>
      </c>
      <c r="J334" s="3">
        <v>0.1515</v>
      </c>
      <c r="K334" s="3">
        <v>0.63</v>
      </c>
      <c r="L334" s="3">
        <v>0.1343</v>
      </c>
      <c r="M334">
        <v>1</v>
      </c>
      <c r="N334">
        <v>22</v>
      </c>
      <c r="O334">
        <v>23</v>
      </c>
    </row>
    <row r="335" spans="1:15" x14ac:dyDescent="0.3">
      <c r="A335">
        <v>334</v>
      </c>
      <c r="B335" s="1">
        <v>40558</v>
      </c>
      <c r="C335">
        <v>9</v>
      </c>
      <c r="D335" s="2" t="s">
        <v>43</v>
      </c>
      <c r="E335" t="s">
        <v>26</v>
      </c>
      <c r="F335" s="2" t="s">
        <v>27</v>
      </c>
      <c r="G335" t="s">
        <v>28</v>
      </c>
      <c r="H335" s="3">
        <v>0.16</v>
      </c>
      <c r="I335" s="2" t="s">
        <v>44</v>
      </c>
      <c r="J335" s="3">
        <v>0.18179999999999999</v>
      </c>
      <c r="K335" s="3">
        <v>0.64</v>
      </c>
      <c r="L335" s="3">
        <v>0.1343</v>
      </c>
      <c r="M335">
        <v>2</v>
      </c>
      <c r="N335">
        <v>31</v>
      </c>
      <c r="O335">
        <v>33</v>
      </c>
    </row>
    <row r="336" spans="1:15" x14ac:dyDescent="0.3">
      <c r="A336">
        <v>335</v>
      </c>
      <c r="B336" s="1">
        <v>40558</v>
      </c>
      <c r="C336">
        <v>10</v>
      </c>
      <c r="D336" s="2" t="s">
        <v>43</v>
      </c>
      <c r="E336" t="s">
        <v>26</v>
      </c>
      <c r="F336" s="2" t="s">
        <v>27</v>
      </c>
      <c r="G336" t="s">
        <v>28</v>
      </c>
      <c r="H336" s="3">
        <v>0.18</v>
      </c>
      <c r="I336" s="2" t="s">
        <v>44</v>
      </c>
      <c r="J336" s="3">
        <v>0.19700000000000001</v>
      </c>
      <c r="K336" s="3">
        <v>0.59</v>
      </c>
      <c r="L336" s="3">
        <v>0.16420000000000001</v>
      </c>
      <c r="M336">
        <v>2</v>
      </c>
      <c r="N336">
        <v>57</v>
      </c>
      <c r="O336">
        <v>59</v>
      </c>
    </row>
    <row r="337" spans="1:15" x14ac:dyDescent="0.3">
      <c r="A337">
        <v>336</v>
      </c>
      <c r="B337" s="1">
        <v>40558</v>
      </c>
      <c r="C337">
        <v>11</v>
      </c>
      <c r="D337" s="2" t="s">
        <v>43</v>
      </c>
      <c r="E337" t="s">
        <v>26</v>
      </c>
      <c r="F337" s="2" t="s">
        <v>27</v>
      </c>
      <c r="G337" t="s">
        <v>28</v>
      </c>
      <c r="H337" s="3">
        <v>0.2</v>
      </c>
      <c r="I337" s="2" t="s">
        <v>44</v>
      </c>
      <c r="J337" s="3">
        <v>0.19700000000000001</v>
      </c>
      <c r="K337" s="3">
        <v>0.55000000000000004</v>
      </c>
      <c r="L337" s="3">
        <v>0.22389999999999999</v>
      </c>
      <c r="M337">
        <v>18</v>
      </c>
      <c r="N337">
        <v>54</v>
      </c>
      <c r="O337">
        <v>72</v>
      </c>
    </row>
    <row r="338" spans="1:15" hidden="1" x14ac:dyDescent="0.3">
      <c r="A338">
        <v>337</v>
      </c>
      <c r="B338" s="1">
        <v>40558</v>
      </c>
      <c r="C338">
        <v>12</v>
      </c>
      <c r="D338" s="2" t="s">
        <v>45</v>
      </c>
      <c r="E338" t="s">
        <v>26</v>
      </c>
      <c r="F338" s="2" t="s">
        <v>27</v>
      </c>
      <c r="G338" t="s">
        <v>28</v>
      </c>
      <c r="H338" s="3">
        <v>0.24</v>
      </c>
      <c r="I338" s="2" t="s">
        <v>42</v>
      </c>
      <c r="J338" s="3">
        <v>0.2273</v>
      </c>
      <c r="K338" s="3">
        <v>0.48</v>
      </c>
      <c r="L338" s="3">
        <v>0.22389999999999999</v>
      </c>
      <c r="M338">
        <v>15</v>
      </c>
      <c r="N338">
        <v>74</v>
      </c>
      <c r="O338">
        <v>89</v>
      </c>
    </row>
    <row r="339" spans="1:15" hidden="1" x14ac:dyDescent="0.3">
      <c r="A339">
        <v>338</v>
      </c>
      <c r="B339" s="1">
        <v>40558</v>
      </c>
      <c r="C339">
        <v>13</v>
      </c>
      <c r="D339" s="2" t="s">
        <v>45</v>
      </c>
      <c r="E339" t="s">
        <v>26</v>
      </c>
      <c r="F339" s="2" t="s">
        <v>27</v>
      </c>
      <c r="G339" t="s">
        <v>28</v>
      </c>
      <c r="H339" s="3">
        <v>0.28000000000000003</v>
      </c>
      <c r="I339" s="2" t="s">
        <v>42</v>
      </c>
      <c r="J339" s="3">
        <v>0.2576</v>
      </c>
      <c r="K339" s="3">
        <v>0.38</v>
      </c>
      <c r="L339" s="3">
        <v>0.29849999999999999</v>
      </c>
      <c r="M339">
        <v>21</v>
      </c>
      <c r="N339">
        <v>80</v>
      </c>
      <c r="O339">
        <v>101</v>
      </c>
    </row>
    <row r="340" spans="1:15" hidden="1" x14ac:dyDescent="0.3">
      <c r="A340">
        <v>339</v>
      </c>
      <c r="B340" s="1">
        <v>40558</v>
      </c>
      <c r="C340">
        <v>14</v>
      </c>
      <c r="D340" s="2" t="s">
        <v>45</v>
      </c>
      <c r="E340" t="s">
        <v>26</v>
      </c>
      <c r="F340" s="2" t="s">
        <v>27</v>
      </c>
      <c r="G340" t="s">
        <v>28</v>
      </c>
      <c r="H340" s="3">
        <v>0.3</v>
      </c>
      <c r="I340" s="2" t="s">
        <v>42</v>
      </c>
      <c r="J340" s="3">
        <v>0.28789999999999999</v>
      </c>
      <c r="K340" s="3">
        <v>0.39</v>
      </c>
      <c r="L340" s="3">
        <v>0.28360000000000002</v>
      </c>
      <c r="M340">
        <v>26</v>
      </c>
      <c r="N340">
        <v>92</v>
      </c>
      <c r="O340">
        <v>118</v>
      </c>
    </row>
    <row r="341" spans="1:15" hidden="1" x14ac:dyDescent="0.3">
      <c r="A341">
        <v>340</v>
      </c>
      <c r="B341" s="1">
        <v>40558</v>
      </c>
      <c r="C341">
        <v>15</v>
      </c>
      <c r="D341" s="2" t="s">
        <v>45</v>
      </c>
      <c r="E341" t="s">
        <v>26</v>
      </c>
      <c r="F341" s="2" t="s">
        <v>27</v>
      </c>
      <c r="G341" t="s">
        <v>29</v>
      </c>
      <c r="H341" s="3">
        <v>0.32</v>
      </c>
      <c r="I341" s="2" t="s">
        <v>42</v>
      </c>
      <c r="J341" s="3">
        <v>0.31819999999999998</v>
      </c>
      <c r="K341" s="3">
        <v>0.36</v>
      </c>
      <c r="L341" s="3">
        <v>0.19400000000000001</v>
      </c>
      <c r="M341">
        <v>21</v>
      </c>
      <c r="N341">
        <v>108</v>
      </c>
      <c r="O341">
        <v>129</v>
      </c>
    </row>
    <row r="342" spans="1:15" hidden="1" x14ac:dyDescent="0.3">
      <c r="A342">
        <v>341</v>
      </c>
      <c r="B342" s="1">
        <v>40558</v>
      </c>
      <c r="C342">
        <v>16</v>
      </c>
      <c r="D342" s="2" t="s">
        <v>45</v>
      </c>
      <c r="E342" t="s">
        <v>26</v>
      </c>
      <c r="F342" s="2" t="s">
        <v>27</v>
      </c>
      <c r="G342" t="s">
        <v>29</v>
      </c>
      <c r="H342" s="3">
        <v>0.34</v>
      </c>
      <c r="I342" s="2" t="s">
        <v>42</v>
      </c>
      <c r="J342" s="3">
        <v>0.33329999999999999</v>
      </c>
      <c r="K342" s="3">
        <v>0.34</v>
      </c>
      <c r="L342" s="3">
        <v>0.19400000000000001</v>
      </c>
      <c r="M342">
        <v>33</v>
      </c>
      <c r="N342">
        <v>95</v>
      </c>
      <c r="O342">
        <v>128</v>
      </c>
    </row>
    <row r="343" spans="1:15" hidden="1" x14ac:dyDescent="0.3">
      <c r="A343">
        <v>342</v>
      </c>
      <c r="B343" s="1">
        <v>40558</v>
      </c>
      <c r="C343">
        <v>17</v>
      </c>
      <c r="D343" s="2" t="s">
        <v>47</v>
      </c>
      <c r="E343" t="s">
        <v>26</v>
      </c>
      <c r="F343" s="2" t="s">
        <v>27</v>
      </c>
      <c r="G343" t="s">
        <v>29</v>
      </c>
      <c r="H343" s="3">
        <v>0.32</v>
      </c>
      <c r="I343" s="2" t="s">
        <v>42</v>
      </c>
      <c r="J343" s="3">
        <v>0.30299999999999999</v>
      </c>
      <c r="K343" s="3">
        <v>0.36</v>
      </c>
      <c r="L343" s="3">
        <v>0.28360000000000002</v>
      </c>
      <c r="M343">
        <v>29</v>
      </c>
      <c r="N343">
        <v>54</v>
      </c>
      <c r="O343">
        <v>83</v>
      </c>
    </row>
    <row r="344" spans="1:15" hidden="1" x14ac:dyDescent="0.3">
      <c r="A344">
        <v>343</v>
      </c>
      <c r="B344" s="1">
        <v>40558</v>
      </c>
      <c r="C344">
        <v>18</v>
      </c>
      <c r="D344" s="2" t="s">
        <v>47</v>
      </c>
      <c r="E344" t="s">
        <v>26</v>
      </c>
      <c r="F344" s="2" t="s">
        <v>27</v>
      </c>
      <c r="G344" t="s">
        <v>29</v>
      </c>
      <c r="H344" s="3">
        <v>0.3</v>
      </c>
      <c r="I344" s="2" t="s">
        <v>42</v>
      </c>
      <c r="J344" s="3">
        <v>0.28789999999999999</v>
      </c>
      <c r="K344" s="3">
        <v>0.45</v>
      </c>
      <c r="L344" s="3">
        <v>0.25369999999999998</v>
      </c>
      <c r="M344">
        <v>15</v>
      </c>
      <c r="N344">
        <v>69</v>
      </c>
      <c r="O344">
        <v>84</v>
      </c>
    </row>
    <row r="345" spans="1:15" hidden="1" x14ac:dyDescent="0.3">
      <c r="A345">
        <v>344</v>
      </c>
      <c r="B345" s="1">
        <v>40558</v>
      </c>
      <c r="C345">
        <v>19</v>
      </c>
      <c r="D345" s="2" t="s">
        <v>47</v>
      </c>
      <c r="E345" t="s">
        <v>26</v>
      </c>
      <c r="F345" s="2" t="s">
        <v>27</v>
      </c>
      <c r="G345" t="s">
        <v>29</v>
      </c>
      <c r="H345" s="3">
        <v>0.32</v>
      </c>
      <c r="I345" s="2" t="s">
        <v>42</v>
      </c>
      <c r="J345" s="3">
        <v>0.30299999999999999</v>
      </c>
      <c r="K345" s="3">
        <v>0.39</v>
      </c>
      <c r="L345" s="3">
        <v>0.25369999999999998</v>
      </c>
      <c r="M345">
        <v>14</v>
      </c>
      <c r="N345">
        <v>60</v>
      </c>
      <c r="O345">
        <v>74</v>
      </c>
    </row>
    <row r="346" spans="1:15" hidden="1" x14ac:dyDescent="0.3">
      <c r="A346">
        <v>345</v>
      </c>
      <c r="B346" s="1">
        <v>40558</v>
      </c>
      <c r="C346">
        <v>20</v>
      </c>
      <c r="D346" s="2" t="s">
        <v>47</v>
      </c>
      <c r="E346" t="s">
        <v>26</v>
      </c>
      <c r="F346" s="2" t="s">
        <v>27</v>
      </c>
      <c r="G346" t="s">
        <v>29</v>
      </c>
      <c r="H346" s="3">
        <v>0.32</v>
      </c>
      <c r="I346" s="2" t="s">
        <v>42</v>
      </c>
      <c r="J346" s="3">
        <v>0.30299999999999999</v>
      </c>
      <c r="K346" s="3">
        <v>0.39</v>
      </c>
      <c r="L346" s="3">
        <v>0.25369999999999998</v>
      </c>
      <c r="M346">
        <v>6</v>
      </c>
      <c r="N346">
        <v>35</v>
      </c>
      <c r="O346">
        <v>41</v>
      </c>
    </row>
    <row r="347" spans="1:15" hidden="1" x14ac:dyDescent="0.3">
      <c r="A347">
        <v>346</v>
      </c>
      <c r="B347" s="1">
        <v>40558</v>
      </c>
      <c r="C347">
        <v>21</v>
      </c>
      <c r="D347" s="2" t="s">
        <v>41</v>
      </c>
      <c r="E347" t="s">
        <v>26</v>
      </c>
      <c r="F347" s="2" t="s">
        <v>27</v>
      </c>
      <c r="G347" t="s">
        <v>29</v>
      </c>
      <c r="H347" s="3">
        <v>0.32</v>
      </c>
      <c r="I347" s="2" t="s">
        <v>42</v>
      </c>
      <c r="J347" s="3">
        <v>0.30299999999999999</v>
      </c>
      <c r="K347" s="3">
        <v>0.39</v>
      </c>
      <c r="L347" s="3">
        <v>0.22389999999999999</v>
      </c>
      <c r="M347">
        <v>6</v>
      </c>
      <c r="N347">
        <v>51</v>
      </c>
      <c r="O347">
        <v>57</v>
      </c>
    </row>
    <row r="348" spans="1:15" hidden="1" x14ac:dyDescent="0.3">
      <c r="A348">
        <v>347</v>
      </c>
      <c r="B348" s="1">
        <v>40558</v>
      </c>
      <c r="C348">
        <v>22</v>
      </c>
      <c r="D348" s="2" t="s">
        <v>41</v>
      </c>
      <c r="E348" t="s">
        <v>26</v>
      </c>
      <c r="F348" s="2" t="s">
        <v>27</v>
      </c>
      <c r="G348" t="s">
        <v>29</v>
      </c>
      <c r="H348" s="3">
        <v>0.3</v>
      </c>
      <c r="I348" s="2" t="s">
        <v>42</v>
      </c>
      <c r="J348" s="3">
        <v>0.31819999999999998</v>
      </c>
      <c r="K348" s="3">
        <v>0.42</v>
      </c>
      <c r="L348" s="3">
        <v>0.1045</v>
      </c>
      <c r="M348">
        <v>0</v>
      </c>
      <c r="N348">
        <v>26</v>
      </c>
      <c r="O348">
        <v>26</v>
      </c>
    </row>
    <row r="349" spans="1:15" hidden="1" x14ac:dyDescent="0.3">
      <c r="A349">
        <v>348</v>
      </c>
      <c r="B349" s="1">
        <v>40558</v>
      </c>
      <c r="C349">
        <v>23</v>
      </c>
      <c r="D349" s="2" t="s">
        <v>41</v>
      </c>
      <c r="E349" t="s">
        <v>26</v>
      </c>
      <c r="F349" s="2" t="s">
        <v>27</v>
      </c>
      <c r="G349" t="s">
        <v>28</v>
      </c>
      <c r="H349" s="3">
        <v>0.3</v>
      </c>
      <c r="I349" s="2" t="s">
        <v>42</v>
      </c>
      <c r="J349" s="3">
        <v>0.28789999999999999</v>
      </c>
      <c r="K349" s="3">
        <v>0.45</v>
      </c>
      <c r="L349" s="3">
        <v>0.28360000000000002</v>
      </c>
      <c r="M349">
        <v>5</v>
      </c>
      <c r="N349">
        <v>39</v>
      </c>
      <c r="O349">
        <v>44</v>
      </c>
    </row>
    <row r="350" spans="1:15" hidden="1" x14ac:dyDescent="0.3">
      <c r="A350">
        <v>349</v>
      </c>
      <c r="B350" s="1">
        <v>40559</v>
      </c>
      <c r="C350">
        <v>0</v>
      </c>
      <c r="D350" s="2" t="s">
        <v>41</v>
      </c>
      <c r="E350" t="s">
        <v>26</v>
      </c>
      <c r="F350" s="2" t="s">
        <v>31</v>
      </c>
      <c r="G350" t="s">
        <v>28</v>
      </c>
      <c r="H350" s="3">
        <v>0.26</v>
      </c>
      <c r="I350" s="2" t="s">
        <v>42</v>
      </c>
      <c r="J350" s="3">
        <v>0.30299999999999999</v>
      </c>
      <c r="K350" s="3">
        <v>0.56000000000000005</v>
      </c>
      <c r="L350" s="3">
        <v>0</v>
      </c>
      <c r="M350">
        <v>6</v>
      </c>
      <c r="N350">
        <v>33</v>
      </c>
      <c r="O350">
        <v>39</v>
      </c>
    </row>
    <row r="351" spans="1:15" hidden="1" x14ac:dyDescent="0.3">
      <c r="A351">
        <v>350</v>
      </c>
      <c r="B351" s="1">
        <v>40559</v>
      </c>
      <c r="C351">
        <v>1</v>
      </c>
      <c r="D351" s="2" t="s">
        <v>41</v>
      </c>
      <c r="E351" t="s">
        <v>26</v>
      </c>
      <c r="F351" s="2" t="s">
        <v>31</v>
      </c>
      <c r="G351" t="s">
        <v>28</v>
      </c>
      <c r="H351" s="3">
        <v>0.26</v>
      </c>
      <c r="I351" s="2" t="s">
        <v>42</v>
      </c>
      <c r="J351" s="3">
        <v>0.2727</v>
      </c>
      <c r="K351" s="3">
        <v>0.56000000000000005</v>
      </c>
      <c r="L351" s="3">
        <v>0.1343</v>
      </c>
      <c r="M351">
        <v>4</v>
      </c>
      <c r="N351">
        <v>19</v>
      </c>
      <c r="O351">
        <v>23</v>
      </c>
    </row>
    <row r="352" spans="1:15" hidden="1" x14ac:dyDescent="0.3">
      <c r="A352">
        <v>351</v>
      </c>
      <c r="B352" s="1">
        <v>40559</v>
      </c>
      <c r="C352">
        <v>2</v>
      </c>
      <c r="D352" s="2" t="s">
        <v>41</v>
      </c>
      <c r="E352" t="s">
        <v>26</v>
      </c>
      <c r="F352" s="2" t="s">
        <v>31</v>
      </c>
      <c r="G352" t="s">
        <v>28</v>
      </c>
      <c r="H352" s="3">
        <v>0.26</v>
      </c>
      <c r="I352" s="2" t="s">
        <v>42</v>
      </c>
      <c r="J352" s="3">
        <v>0.28789999999999999</v>
      </c>
      <c r="K352" s="3">
        <v>0.56000000000000005</v>
      </c>
      <c r="L352" s="3">
        <v>8.9599999999999999E-2</v>
      </c>
      <c r="M352">
        <v>3</v>
      </c>
      <c r="N352">
        <v>13</v>
      </c>
      <c r="O352">
        <v>16</v>
      </c>
    </row>
    <row r="353" spans="1:15" hidden="1" x14ac:dyDescent="0.3">
      <c r="A353">
        <v>352</v>
      </c>
      <c r="B353" s="1">
        <v>40559</v>
      </c>
      <c r="C353">
        <v>3</v>
      </c>
      <c r="D353" s="2" t="s">
        <v>41</v>
      </c>
      <c r="E353" t="s">
        <v>26</v>
      </c>
      <c r="F353" s="2" t="s">
        <v>31</v>
      </c>
      <c r="G353" t="s">
        <v>28</v>
      </c>
      <c r="H353" s="3">
        <v>0.22</v>
      </c>
      <c r="I353" s="2" t="s">
        <v>42</v>
      </c>
      <c r="J353" s="3">
        <v>0.2727</v>
      </c>
      <c r="K353" s="3">
        <v>0.69</v>
      </c>
      <c r="L353" s="3">
        <v>0</v>
      </c>
      <c r="M353">
        <v>9</v>
      </c>
      <c r="N353">
        <v>6</v>
      </c>
      <c r="O353">
        <v>15</v>
      </c>
    </row>
    <row r="354" spans="1:15" hidden="1" x14ac:dyDescent="0.3">
      <c r="A354">
        <v>353</v>
      </c>
      <c r="B354" s="1">
        <v>40559</v>
      </c>
      <c r="C354">
        <v>4</v>
      </c>
      <c r="D354" s="2" t="s">
        <v>41</v>
      </c>
      <c r="E354" t="s">
        <v>26</v>
      </c>
      <c r="F354" s="2" t="s">
        <v>31</v>
      </c>
      <c r="G354" t="s">
        <v>28</v>
      </c>
      <c r="H354" s="3">
        <v>0.26</v>
      </c>
      <c r="I354" s="2" t="s">
        <v>42</v>
      </c>
      <c r="J354" s="3">
        <v>0.2576</v>
      </c>
      <c r="K354" s="3">
        <v>0.56000000000000005</v>
      </c>
      <c r="L354" s="3">
        <v>0.16420000000000001</v>
      </c>
      <c r="M354">
        <v>0</v>
      </c>
      <c r="N354">
        <v>1</v>
      </c>
      <c r="O354">
        <v>1</v>
      </c>
    </row>
    <row r="355" spans="1:15" x14ac:dyDescent="0.3">
      <c r="A355">
        <v>354</v>
      </c>
      <c r="B355" s="1">
        <v>40559</v>
      </c>
      <c r="C355">
        <v>5</v>
      </c>
      <c r="D355" s="2" t="s">
        <v>43</v>
      </c>
      <c r="E355" t="s">
        <v>26</v>
      </c>
      <c r="F355" s="2" t="s">
        <v>31</v>
      </c>
      <c r="G355" t="s">
        <v>29</v>
      </c>
      <c r="H355" s="3">
        <v>0.26</v>
      </c>
      <c r="I355" s="2" t="s">
        <v>42</v>
      </c>
      <c r="J355" s="3">
        <v>0.2576</v>
      </c>
      <c r="K355" s="3">
        <v>0.56000000000000005</v>
      </c>
      <c r="L355" s="3">
        <v>0.16420000000000001</v>
      </c>
      <c r="M355">
        <v>1</v>
      </c>
      <c r="N355">
        <v>1</v>
      </c>
      <c r="O355">
        <v>2</v>
      </c>
    </row>
    <row r="356" spans="1:15" x14ac:dyDescent="0.3">
      <c r="A356">
        <v>355</v>
      </c>
      <c r="B356" s="1">
        <v>40559</v>
      </c>
      <c r="C356">
        <v>6</v>
      </c>
      <c r="D356" s="2" t="s">
        <v>43</v>
      </c>
      <c r="E356" t="s">
        <v>26</v>
      </c>
      <c r="F356" s="2" t="s">
        <v>31</v>
      </c>
      <c r="G356" t="s">
        <v>29</v>
      </c>
      <c r="H356" s="3">
        <v>0.26</v>
      </c>
      <c r="I356" s="2" t="s">
        <v>42</v>
      </c>
      <c r="J356" s="3">
        <v>0.2576</v>
      </c>
      <c r="K356" s="3">
        <v>0.56000000000000005</v>
      </c>
      <c r="L356" s="3">
        <v>0.16420000000000001</v>
      </c>
      <c r="M356">
        <v>0</v>
      </c>
      <c r="N356">
        <v>1</v>
      </c>
      <c r="O356">
        <v>1</v>
      </c>
    </row>
    <row r="357" spans="1:15" x14ac:dyDescent="0.3">
      <c r="A357">
        <v>356</v>
      </c>
      <c r="B357" s="1">
        <v>40559</v>
      </c>
      <c r="C357">
        <v>7</v>
      </c>
      <c r="D357" s="2" t="s">
        <v>43</v>
      </c>
      <c r="E357" t="s">
        <v>26</v>
      </c>
      <c r="F357" s="2" t="s">
        <v>31</v>
      </c>
      <c r="G357" t="s">
        <v>29</v>
      </c>
      <c r="H357" s="3">
        <v>0.24</v>
      </c>
      <c r="I357" s="2" t="s">
        <v>42</v>
      </c>
      <c r="J357" s="3">
        <v>0.21210000000000001</v>
      </c>
      <c r="K357" s="3">
        <v>0.56000000000000005</v>
      </c>
      <c r="L357" s="3">
        <v>0.29849999999999999</v>
      </c>
      <c r="M357">
        <v>0</v>
      </c>
      <c r="N357">
        <v>3</v>
      </c>
      <c r="O357">
        <v>3</v>
      </c>
    </row>
    <row r="358" spans="1:15" x14ac:dyDescent="0.3">
      <c r="A358">
        <v>357</v>
      </c>
      <c r="B358" s="1">
        <v>40559</v>
      </c>
      <c r="C358">
        <v>8</v>
      </c>
      <c r="D358" s="2" t="s">
        <v>43</v>
      </c>
      <c r="E358" t="s">
        <v>26</v>
      </c>
      <c r="F358" s="2" t="s">
        <v>31</v>
      </c>
      <c r="G358" t="s">
        <v>28</v>
      </c>
      <c r="H358" s="3">
        <v>0.22</v>
      </c>
      <c r="I358" s="2" t="s">
        <v>42</v>
      </c>
      <c r="J358" s="3">
        <v>0.21210000000000001</v>
      </c>
      <c r="K358" s="3">
        <v>0.55000000000000004</v>
      </c>
      <c r="L358" s="3">
        <v>0.28360000000000002</v>
      </c>
      <c r="M358">
        <v>0</v>
      </c>
      <c r="N358">
        <v>18</v>
      </c>
      <c r="O358">
        <v>18</v>
      </c>
    </row>
    <row r="359" spans="1:15" x14ac:dyDescent="0.3">
      <c r="A359">
        <v>358</v>
      </c>
      <c r="B359" s="1">
        <v>40559</v>
      </c>
      <c r="C359">
        <v>9</v>
      </c>
      <c r="D359" s="2" t="s">
        <v>43</v>
      </c>
      <c r="E359" t="s">
        <v>26</v>
      </c>
      <c r="F359" s="2" t="s">
        <v>31</v>
      </c>
      <c r="G359" t="s">
        <v>28</v>
      </c>
      <c r="H359" s="3">
        <v>0.22</v>
      </c>
      <c r="I359" s="2" t="s">
        <v>42</v>
      </c>
      <c r="J359" s="3">
        <v>0.21210000000000001</v>
      </c>
      <c r="K359" s="3">
        <v>0.51</v>
      </c>
      <c r="L359" s="3">
        <v>0.25369999999999998</v>
      </c>
      <c r="M359">
        <v>3</v>
      </c>
      <c r="N359">
        <v>29</v>
      </c>
      <c r="O359">
        <v>32</v>
      </c>
    </row>
    <row r="360" spans="1:15" x14ac:dyDescent="0.3">
      <c r="A360">
        <v>359</v>
      </c>
      <c r="B360" s="1">
        <v>40559</v>
      </c>
      <c r="C360">
        <v>10</v>
      </c>
      <c r="D360" s="2" t="s">
        <v>43</v>
      </c>
      <c r="E360" t="s">
        <v>26</v>
      </c>
      <c r="F360" s="2" t="s">
        <v>31</v>
      </c>
      <c r="G360" t="s">
        <v>28</v>
      </c>
      <c r="H360" s="3">
        <v>0.22</v>
      </c>
      <c r="I360" s="2" t="s">
        <v>42</v>
      </c>
      <c r="J360" s="3">
        <v>0.21210000000000001</v>
      </c>
      <c r="K360" s="3">
        <v>0.51</v>
      </c>
      <c r="L360" s="3">
        <v>0.28360000000000002</v>
      </c>
      <c r="M360">
        <v>8</v>
      </c>
      <c r="N360">
        <v>71</v>
      </c>
      <c r="O360">
        <v>79</v>
      </c>
    </row>
    <row r="361" spans="1:15" x14ac:dyDescent="0.3">
      <c r="A361">
        <v>360</v>
      </c>
      <c r="B361" s="1">
        <v>40559</v>
      </c>
      <c r="C361">
        <v>11</v>
      </c>
      <c r="D361" s="2" t="s">
        <v>43</v>
      </c>
      <c r="E361" t="s">
        <v>26</v>
      </c>
      <c r="F361" s="2" t="s">
        <v>31</v>
      </c>
      <c r="G361" t="s">
        <v>28</v>
      </c>
      <c r="H361" s="3">
        <v>0.24</v>
      </c>
      <c r="I361" s="2" t="s">
        <v>42</v>
      </c>
      <c r="J361" s="3">
        <v>0.2273</v>
      </c>
      <c r="K361" s="3">
        <v>0.44</v>
      </c>
      <c r="L361" s="3">
        <v>0.25369999999999998</v>
      </c>
      <c r="M361">
        <v>23</v>
      </c>
      <c r="N361">
        <v>70</v>
      </c>
      <c r="O361">
        <v>93</v>
      </c>
    </row>
    <row r="362" spans="1:15" hidden="1" x14ac:dyDescent="0.3">
      <c r="A362">
        <v>361</v>
      </c>
      <c r="B362" s="1">
        <v>40559</v>
      </c>
      <c r="C362">
        <v>12</v>
      </c>
      <c r="D362" s="2" t="s">
        <v>45</v>
      </c>
      <c r="E362" t="s">
        <v>26</v>
      </c>
      <c r="F362" s="2" t="s">
        <v>31</v>
      </c>
      <c r="G362" t="s">
        <v>28</v>
      </c>
      <c r="H362" s="3">
        <v>0.24</v>
      </c>
      <c r="I362" s="2" t="s">
        <v>42</v>
      </c>
      <c r="J362" s="3">
        <v>0.21210000000000001</v>
      </c>
      <c r="K362" s="3">
        <v>0.41</v>
      </c>
      <c r="L362" s="3">
        <v>0.28360000000000002</v>
      </c>
      <c r="M362">
        <v>29</v>
      </c>
      <c r="N362">
        <v>75</v>
      </c>
      <c r="O362">
        <v>104</v>
      </c>
    </row>
    <row r="363" spans="1:15" hidden="1" x14ac:dyDescent="0.3">
      <c r="A363">
        <v>362</v>
      </c>
      <c r="B363" s="1">
        <v>40559</v>
      </c>
      <c r="C363">
        <v>13</v>
      </c>
      <c r="D363" s="2" t="s">
        <v>45</v>
      </c>
      <c r="E363" t="s">
        <v>26</v>
      </c>
      <c r="F363" s="2" t="s">
        <v>31</v>
      </c>
      <c r="G363" t="s">
        <v>28</v>
      </c>
      <c r="H363" s="3">
        <v>0.26</v>
      </c>
      <c r="I363" s="2" t="s">
        <v>42</v>
      </c>
      <c r="J363" s="3">
        <v>0.2273</v>
      </c>
      <c r="K363" s="3">
        <v>0.35</v>
      </c>
      <c r="L363" s="3">
        <v>0.29849999999999999</v>
      </c>
      <c r="M363">
        <v>23</v>
      </c>
      <c r="N363">
        <v>95</v>
      </c>
      <c r="O363">
        <v>118</v>
      </c>
    </row>
    <row r="364" spans="1:15" hidden="1" x14ac:dyDescent="0.3">
      <c r="A364">
        <v>363</v>
      </c>
      <c r="B364" s="1">
        <v>40559</v>
      </c>
      <c r="C364">
        <v>14</v>
      </c>
      <c r="D364" s="2" t="s">
        <v>45</v>
      </c>
      <c r="E364" t="s">
        <v>26</v>
      </c>
      <c r="F364" s="2" t="s">
        <v>31</v>
      </c>
      <c r="G364" t="s">
        <v>28</v>
      </c>
      <c r="H364" s="3">
        <v>0.28000000000000003</v>
      </c>
      <c r="I364" s="2" t="s">
        <v>42</v>
      </c>
      <c r="J364" s="3">
        <v>0.2727</v>
      </c>
      <c r="K364" s="3">
        <v>0.36</v>
      </c>
      <c r="L364" s="3">
        <v>0.25369999999999998</v>
      </c>
      <c r="M364">
        <v>22</v>
      </c>
      <c r="N364">
        <v>69</v>
      </c>
      <c r="O364">
        <v>91</v>
      </c>
    </row>
    <row r="365" spans="1:15" hidden="1" x14ac:dyDescent="0.3">
      <c r="A365">
        <v>364</v>
      </c>
      <c r="B365" s="1">
        <v>40559</v>
      </c>
      <c r="C365">
        <v>15</v>
      </c>
      <c r="D365" s="2" t="s">
        <v>45</v>
      </c>
      <c r="E365" t="s">
        <v>26</v>
      </c>
      <c r="F365" s="2" t="s">
        <v>31</v>
      </c>
      <c r="G365" t="s">
        <v>28</v>
      </c>
      <c r="H365" s="3">
        <v>0.26</v>
      </c>
      <c r="I365" s="2" t="s">
        <v>42</v>
      </c>
      <c r="J365" s="3">
        <v>0.2424</v>
      </c>
      <c r="K365" s="3">
        <v>0.38</v>
      </c>
      <c r="L365" s="3">
        <v>0.25369999999999998</v>
      </c>
      <c r="M365">
        <v>35</v>
      </c>
      <c r="N365">
        <v>78</v>
      </c>
      <c r="O365">
        <v>113</v>
      </c>
    </row>
    <row r="366" spans="1:15" hidden="1" x14ac:dyDescent="0.3">
      <c r="A366">
        <v>365</v>
      </c>
      <c r="B366" s="1">
        <v>40559</v>
      </c>
      <c r="C366">
        <v>16</v>
      </c>
      <c r="D366" s="2" t="s">
        <v>45</v>
      </c>
      <c r="E366" t="s">
        <v>26</v>
      </c>
      <c r="F366" s="2" t="s">
        <v>31</v>
      </c>
      <c r="G366" t="s">
        <v>28</v>
      </c>
      <c r="H366" s="3">
        <v>0.24</v>
      </c>
      <c r="I366" s="2" t="s">
        <v>42</v>
      </c>
      <c r="J366" s="3">
        <v>0.2273</v>
      </c>
      <c r="K366" s="3">
        <v>0.38</v>
      </c>
      <c r="L366" s="3">
        <v>0.22389999999999999</v>
      </c>
      <c r="M366">
        <v>22</v>
      </c>
      <c r="N366">
        <v>77</v>
      </c>
      <c r="O366">
        <v>99</v>
      </c>
    </row>
    <row r="367" spans="1:15" hidden="1" x14ac:dyDescent="0.3">
      <c r="A367">
        <v>366</v>
      </c>
      <c r="B367" s="1">
        <v>40559</v>
      </c>
      <c r="C367">
        <v>17</v>
      </c>
      <c r="D367" s="2" t="s">
        <v>47</v>
      </c>
      <c r="E367" t="s">
        <v>26</v>
      </c>
      <c r="F367" s="2" t="s">
        <v>31</v>
      </c>
      <c r="G367" t="s">
        <v>28</v>
      </c>
      <c r="H367" s="3">
        <v>0.22</v>
      </c>
      <c r="I367" s="2" t="s">
        <v>42</v>
      </c>
      <c r="J367" s="3">
        <v>0.21210000000000001</v>
      </c>
      <c r="K367" s="3">
        <v>0.37</v>
      </c>
      <c r="L367" s="3">
        <v>0.25369999999999998</v>
      </c>
      <c r="M367">
        <v>23</v>
      </c>
      <c r="N367">
        <v>82</v>
      </c>
      <c r="O367">
        <v>105</v>
      </c>
    </row>
    <row r="368" spans="1:15" hidden="1" x14ac:dyDescent="0.3">
      <c r="A368">
        <v>367</v>
      </c>
      <c r="B368" s="1">
        <v>40559</v>
      </c>
      <c r="C368">
        <v>18</v>
      </c>
      <c r="D368" s="2" t="s">
        <v>47</v>
      </c>
      <c r="E368" t="s">
        <v>26</v>
      </c>
      <c r="F368" s="2" t="s">
        <v>31</v>
      </c>
      <c r="G368" t="s">
        <v>28</v>
      </c>
      <c r="H368" s="3">
        <v>0.2</v>
      </c>
      <c r="I368" s="2" t="s">
        <v>44</v>
      </c>
      <c r="J368" s="3">
        <v>0.21210000000000001</v>
      </c>
      <c r="K368" s="3">
        <v>0.4</v>
      </c>
      <c r="L368" s="3">
        <v>0.16420000000000001</v>
      </c>
      <c r="M368">
        <v>11</v>
      </c>
      <c r="N368">
        <v>56</v>
      </c>
      <c r="O368">
        <v>67</v>
      </c>
    </row>
    <row r="369" spans="1:15" hidden="1" x14ac:dyDescent="0.3">
      <c r="A369">
        <v>368</v>
      </c>
      <c r="B369" s="1">
        <v>40559</v>
      </c>
      <c r="C369">
        <v>19</v>
      </c>
      <c r="D369" s="2" t="s">
        <v>47</v>
      </c>
      <c r="E369" t="s">
        <v>26</v>
      </c>
      <c r="F369" s="2" t="s">
        <v>31</v>
      </c>
      <c r="G369" t="s">
        <v>28</v>
      </c>
      <c r="H369" s="3">
        <v>0.18</v>
      </c>
      <c r="I369" s="2" t="s">
        <v>44</v>
      </c>
      <c r="J369" s="3">
        <v>0.19700000000000001</v>
      </c>
      <c r="K369" s="3">
        <v>0.47</v>
      </c>
      <c r="L369" s="3">
        <v>0.1343</v>
      </c>
      <c r="M369">
        <v>14</v>
      </c>
      <c r="N369">
        <v>47</v>
      </c>
      <c r="O369">
        <v>61</v>
      </c>
    </row>
    <row r="370" spans="1:15" hidden="1" x14ac:dyDescent="0.3">
      <c r="A370">
        <v>369</v>
      </c>
      <c r="B370" s="1">
        <v>40559</v>
      </c>
      <c r="C370">
        <v>20</v>
      </c>
      <c r="D370" s="2" t="s">
        <v>47</v>
      </c>
      <c r="E370" t="s">
        <v>26</v>
      </c>
      <c r="F370" s="2" t="s">
        <v>31</v>
      </c>
      <c r="G370" t="s">
        <v>28</v>
      </c>
      <c r="H370" s="3">
        <v>0.18</v>
      </c>
      <c r="I370" s="2" t="s">
        <v>44</v>
      </c>
      <c r="J370" s="3">
        <v>0.19700000000000001</v>
      </c>
      <c r="K370" s="3">
        <v>0.47</v>
      </c>
      <c r="L370" s="3">
        <v>0.16420000000000001</v>
      </c>
      <c r="M370">
        <v>7</v>
      </c>
      <c r="N370">
        <v>50</v>
      </c>
      <c r="O370">
        <v>57</v>
      </c>
    </row>
    <row r="371" spans="1:15" hidden="1" x14ac:dyDescent="0.3">
      <c r="A371">
        <v>370</v>
      </c>
      <c r="B371" s="1">
        <v>40559</v>
      </c>
      <c r="C371">
        <v>21</v>
      </c>
      <c r="D371" s="2" t="s">
        <v>41</v>
      </c>
      <c r="E371" t="s">
        <v>26</v>
      </c>
      <c r="F371" s="2" t="s">
        <v>31</v>
      </c>
      <c r="G371" t="s">
        <v>28</v>
      </c>
      <c r="H371" s="3">
        <v>0.18</v>
      </c>
      <c r="I371" s="2" t="s">
        <v>44</v>
      </c>
      <c r="J371" s="3">
        <v>0.19700000000000001</v>
      </c>
      <c r="K371" s="3">
        <v>0.51</v>
      </c>
      <c r="L371" s="3">
        <v>0.16420000000000001</v>
      </c>
      <c r="M371">
        <v>6</v>
      </c>
      <c r="N371">
        <v>22</v>
      </c>
      <c r="O371">
        <v>28</v>
      </c>
    </row>
    <row r="372" spans="1:15" hidden="1" x14ac:dyDescent="0.3">
      <c r="A372">
        <v>371</v>
      </c>
      <c r="B372" s="1">
        <v>40559</v>
      </c>
      <c r="C372">
        <v>22</v>
      </c>
      <c r="D372" s="2" t="s">
        <v>41</v>
      </c>
      <c r="E372" t="s">
        <v>26</v>
      </c>
      <c r="F372" s="2" t="s">
        <v>31</v>
      </c>
      <c r="G372" t="s">
        <v>29</v>
      </c>
      <c r="H372" s="3">
        <v>0.2</v>
      </c>
      <c r="I372" s="2" t="s">
        <v>44</v>
      </c>
      <c r="J372" s="3">
        <v>0.21210000000000001</v>
      </c>
      <c r="K372" s="3">
        <v>0.49</v>
      </c>
      <c r="L372" s="3">
        <v>0.1343</v>
      </c>
      <c r="M372">
        <v>2</v>
      </c>
      <c r="N372">
        <v>19</v>
      </c>
      <c r="O372">
        <v>21</v>
      </c>
    </row>
    <row r="373" spans="1:15" hidden="1" x14ac:dyDescent="0.3">
      <c r="A373">
        <v>372</v>
      </c>
      <c r="B373" s="1">
        <v>40559</v>
      </c>
      <c r="C373">
        <v>23</v>
      </c>
      <c r="D373" s="2" t="s">
        <v>41</v>
      </c>
      <c r="E373" t="s">
        <v>26</v>
      </c>
      <c r="F373" s="2" t="s">
        <v>31</v>
      </c>
      <c r="G373" t="s">
        <v>29</v>
      </c>
      <c r="H373" s="3">
        <v>0.2</v>
      </c>
      <c r="I373" s="2" t="s">
        <v>44</v>
      </c>
      <c r="J373" s="3">
        <v>0.2273</v>
      </c>
      <c r="K373" s="3">
        <v>0.4</v>
      </c>
      <c r="L373" s="3">
        <v>0.1045</v>
      </c>
      <c r="M373">
        <v>0</v>
      </c>
      <c r="N373">
        <v>18</v>
      </c>
      <c r="O373">
        <v>18</v>
      </c>
    </row>
    <row r="374" spans="1:15" hidden="1" x14ac:dyDescent="0.3">
      <c r="A374">
        <v>373</v>
      </c>
      <c r="B374" s="1">
        <v>40560</v>
      </c>
      <c r="C374">
        <v>0</v>
      </c>
      <c r="D374" s="2" t="s">
        <v>41</v>
      </c>
      <c r="E374" t="s">
        <v>86</v>
      </c>
      <c r="F374" s="2" t="s">
        <v>32</v>
      </c>
      <c r="G374" t="s">
        <v>29</v>
      </c>
      <c r="H374" s="3">
        <v>0.2</v>
      </c>
      <c r="I374" s="2" t="s">
        <v>44</v>
      </c>
      <c r="J374" s="3">
        <v>0.19700000000000001</v>
      </c>
      <c r="K374" s="3">
        <v>0.47</v>
      </c>
      <c r="L374" s="3">
        <v>0.22389999999999999</v>
      </c>
      <c r="M374">
        <v>1</v>
      </c>
      <c r="N374">
        <v>16</v>
      </c>
      <c r="O374">
        <v>17</v>
      </c>
    </row>
    <row r="375" spans="1:15" hidden="1" x14ac:dyDescent="0.3">
      <c r="A375">
        <v>374</v>
      </c>
      <c r="B375" s="1">
        <v>40560</v>
      </c>
      <c r="C375">
        <v>1</v>
      </c>
      <c r="D375" s="2" t="s">
        <v>41</v>
      </c>
      <c r="E375" t="s">
        <v>86</v>
      </c>
      <c r="F375" s="2" t="s">
        <v>32</v>
      </c>
      <c r="G375" t="s">
        <v>29</v>
      </c>
      <c r="H375" s="3">
        <v>0.2</v>
      </c>
      <c r="I375" s="2" t="s">
        <v>44</v>
      </c>
      <c r="J375" s="3">
        <v>0.19700000000000001</v>
      </c>
      <c r="K375" s="3">
        <v>0.44</v>
      </c>
      <c r="L375" s="3">
        <v>0.19400000000000001</v>
      </c>
      <c r="M375">
        <v>1</v>
      </c>
      <c r="N375">
        <v>15</v>
      </c>
      <c r="O375">
        <v>16</v>
      </c>
    </row>
    <row r="376" spans="1:15" hidden="1" x14ac:dyDescent="0.3">
      <c r="A376">
        <v>375</v>
      </c>
      <c r="B376" s="1">
        <v>40560</v>
      </c>
      <c r="C376">
        <v>2</v>
      </c>
      <c r="D376" s="2" t="s">
        <v>41</v>
      </c>
      <c r="E376" t="s">
        <v>86</v>
      </c>
      <c r="F376" s="2" t="s">
        <v>32</v>
      </c>
      <c r="G376" t="s">
        <v>29</v>
      </c>
      <c r="H376" s="3">
        <v>0.18</v>
      </c>
      <c r="I376" s="2" t="s">
        <v>44</v>
      </c>
      <c r="J376" s="3">
        <v>0.16669999999999999</v>
      </c>
      <c r="K376" s="3">
        <v>0.43</v>
      </c>
      <c r="L376" s="3">
        <v>0.25369999999999998</v>
      </c>
      <c r="M376">
        <v>0</v>
      </c>
      <c r="N376">
        <v>8</v>
      </c>
      <c r="O376">
        <v>8</v>
      </c>
    </row>
    <row r="377" spans="1:15" hidden="1" x14ac:dyDescent="0.3">
      <c r="A377">
        <v>376</v>
      </c>
      <c r="B377" s="1">
        <v>40560</v>
      </c>
      <c r="C377">
        <v>3</v>
      </c>
      <c r="D377" s="2" t="s">
        <v>41</v>
      </c>
      <c r="E377" t="s">
        <v>86</v>
      </c>
      <c r="F377" s="2" t="s">
        <v>32</v>
      </c>
      <c r="G377" t="s">
        <v>29</v>
      </c>
      <c r="H377" s="3">
        <v>0.18</v>
      </c>
      <c r="I377" s="2" t="s">
        <v>44</v>
      </c>
      <c r="J377" s="3">
        <v>0.18179999999999999</v>
      </c>
      <c r="K377" s="3">
        <v>0.43</v>
      </c>
      <c r="L377" s="3">
        <v>0.19400000000000001</v>
      </c>
      <c r="M377">
        <v>0</v>
      </c>
      <c r="N377">
        <v>2</v>
      </c>
      <c r="O377">
        <v>2</v>
      </c>
    </row>
    <row r="378" spans="1:15" hidden="1" x14ac:dyDescent="0.3">
      <c r="A378">
        <v>377</v>
      </c>
      <c r="B378" s="1">
        <v>40560</v>
      </c>
      <c r="C378">
        <v>4</v>
      </c>
      <c r="D378" s="2" t="s">
        <v>41</v>
      </c>
      <c r="E378" t="s">
        <v>86</v>
      </c>
      <c r="F378" s="2" t="s">
        <v>32</v>
      </c>
      <c r="G378" t="s">
        <v>29</v>
      </c>
      <c r="H378" s="3">
        <v>0.18</v>
      </c>
      <c r="I378" s="2" t="s">
        <v>44</v>
      </c>
      <c r="J378" s="3">
        <v>0.19700000000000001</v>
      </c>
      <c r="K378" s="3">
        <v>0.43</v>
      </c>
      <c r="L378" s="3">
        <v>0.1343</v>
      </c>
      <c r="M378">
        <v>1</v>
      </c>
      <c r="N378">
        <v>2</v>
      </c>
      <c r="O378">
        <v>3</v>
      </c>
    </row>
    <row r="379" spans="1:15" x14ac:dyDescent="0.3">
      <c r="A379">
        <v>378</v>
      </c>
      <c r="B379" s="1">
        <v>40560</v>
      </c>
      <c r="C379">
        <v>5</v>
      </c>
      <c r="D379" s="2" t="s">
        <v>43</v>
      </c>
      <c r="E379" t="s">
        <v>86</v>
      </c>
      <c r="F379" s="2" t="s">
        <v>32</v>
      </c>
      <c r="G379" t="s">
        <v>29</v>
      </c>
      <c r="H379" s="3">
        <v>0.18</v>
      </c>
      <c r="I379" s="2" t="s">
        <v>44</v>
      </c>
      <c r="J379" s="3">
        <v>0.19700000000000001</v>
      </c>
      <c r="K379" s="3">
        <v>0.43</v>
      </c>
      <c r="L379" s="3">
        <v>0.16420000000000001</v>
      </c>
      <c r="M379">
        <v>0</v>
      </c>
      <c r="N379">
        <v>1</v>
      </c>
      <c r="O379">
        <v>1</v>
      </c>
    </row>
    <row r="380" spans="1:15" x14ac:dyDescent="0.3">
      <c r="A380">
        <v>379</v>
      </c>
      <c r="B380" s="1">
        <v>40560</v>
      </c>
      <c r="C380">
        <v>6</v>
      </c>
      <c r="D380" s="2" t="s">
        <v>43</v>
      </c>
      <c r="E380" t="s">
        <v>86</v>
      </c>
      <c r="F380" s="2" t="s">
        <v>32</v>
      </c>
      <c r="G380" t="s">
        <v>29</v>
      </c>
      <c r="H380" s="3">
        <v>0.18</v>
      </c>
      <c r="I380" s="2" t="s">
        <v>44</v>
      </c>
      <c r="J380" s="3">
        <v>0.18179999999999999</v>
      </c>
      <c r="K380" s="3">
        <v>0.43</v>
      </c>
      <c r="L380" s="3">
        <v>0.19400000000000001</v>
      </c>
      <c r="M380">
        <v>0</v>
      </c>
      <c r="N380">
        <v>5</v>
      </c>
      <c r="O380">
        <v>5</v>
      </c>
    </row>
    <row r="381" spans="1:15" x14ac:dyDescent="0.3">
      <c r="A381">
        <v>380</v>
      </c>
      <c r="B381" s="1">
        <v>40560</v>
      </c>
      <c r="C381">
        <v>7</v>
      </c>
      <c r="D381" s="2" t="s">
        <v>43</v>
      </c>
      <c r="E381" t="s">
        <v>86</v>
      </c>
      <c r="F381" s="2" t="s">
        <v>32</v>
      </c>
      <c r="G381" t="s">
        <v>29</v>
      </c>
      <c r="H381" s="3">
        <v>0.16</v>
      </c>
      <c r="I381" s="2" t="s">
        <v>44</v>
      </c>
      <c r="J381" s="3">
        <v>0.18179999999999999</v>
      </c>
      <c r="K381" s="3">
        <v>0.5</v>
      </c>
      <c r="L381" s="3">
        <v>0.1343</v>
      </c>
      <c r="M381">
        <v>4</v>
      </c>
      <c r="N381">
        <v>9</v>
      </c>
      <c r="O381">
        <v>13</v>
      </c>
    </row>
    <row r="382" spans="1:15" x14ac:dyDescent="0.3">
      <c r="A382">
        <v>381</v>
      </c>
      <c r="B382" s="1">
        <v>40560</v>
      </c>
      <c r="C382">
        <v>8</v>
      </c>
      <c r="D382" s="2" t="s">
        <v>43</v>
      </c>
      <c r="E382" t="s">
        <v>86</v>
      </c>
      <c r="F382" s="2" t="s">
        <v>32</v>
      </c>
      <c r="G382" t="s">
        <v>29</v>
      </c>
      <c r="H382" s="3">
        <v>0.16</v>
      </c>
      <c r="I382" s="2" t="s">
        <v>44</v>
      </c>
      <c r="J382" s="3">
        <v>0.1515</v>
      </c>
      <c r="K382" s="3">
        <v>0.47</v>
      </c>
      <c r="L382" s="3">
        <v>0.22389999999999999</v>
      </c>
      <c r="M382">
        <v>3</v>
      </c>
      <c r="N382">
        <v>30</v>
      </c>
      <c r="O382">
        <v>33</v>
      </c>
    </row>
    <row r="383" spans="1:15" x14ac:dyDescent="0.3">
      <c r="A383">
        <v>382</v>
      </c>
      <c r="B383" s="1">
        <v>40560</v>
      </c>
      <c r="C383">
        <v>9</v>
      </c>
      <c r="D383" s="2" t="s">
        <v>43</v>
      </c>
      <c r="E383" t="s">
        <v>86</v>
      </c>
      <c r="F383" s="2" t="s">
        <v>32</v>
      </c>
      <c r="G383" t="s">
        <v>29</v>
      </c>
      <c r="H383" s="3">
        <v>0.16</v>
      </c>
      <c r="I383" s="2" t="s">
        <v>44</v>
      </c>
      <c r="J383" s="3">
        <v>0.1515</v>
      </c>
      <c r="K383" s="3">
        <v>0.47</v>
      </c>
      <c r="L383" s="3">
        <v>0.22389999999999999</v>
      </c>
      <c r="M383">
        <v>8</v>
      </c>
      <c r="N383">
        <v>39</v>
      </c>
      <c r="O383">
        <v>47</v>
      </c>
    </row>
    <row r="384" spans="1:15" x14ac:dyDescent="0.3">
      <c r="A384">
        <v>383</v>
      </c>
      <c r="B384" s="1">
        <v>40560</v>
      </c>
      <c r="C384">
        <v>10</v>
      </c>
      <c r="D384" s="2" t="s">
        <v>43</v>
      </c>
      <c r="E384" t="s">
        <v>86</v>
      </c>
      <c r="F384" s="2" t="s">
        <v>32</v>
      </c>
      <c r="G384" t="s">
        <v>29</v>
      </c>
      <c r="H384" s="3">
        <v>0.16</v>
      </c>
      <c r="I384" s="2" t="s">
        <v>44</v>
      </c>
      <c r="J384" s="3">
        <v>0.1515</v>
      </c>
      <c r="K384" s="3">
        <v>0.5</v>
      </c>
      <c r="L384" s="3">
        <v>0.25369999999999998</v>
      </c>
      <c r="M384">
        <v>7</v>
      </c>
      <c r="N384">
        <v>50</v>
      </c>
      <c r="O384">
        <v>57</v>
      </c>
    </row>
    <row r="385" spans="1:15" x14ac:dyDescent="0.3">
      <c r="A385">
        <v>384</v>
      </c>
      <c r="B385" s="1">
        <v>40560</v>
      </c>
      <c r="C385">
        <v>11</v>
      </c>
      <c r="D385" s="2" t="s">
        <v>43</v>
      </c>
      <c r="E385" t="s">
        <v>86</v>
      </c>
      <c r="F385" s="2" t="s">
        <v>32</v>
      </c>
      <c r="G385" t="s">
        <v>29</v>
      </c>
      <c r="H385" s="3">
        <v>0.16</v>
      </c>
      <c r="I385" s="2" t="s">
        <v>44</v>
      </c>
      <c r="J385" s="3">
        <v>0.1515</v>
      </c>
      <c r="K385" s="3">
        <v>0.55000000000000004</v>
      </c>
      <c r="L385" s="3">
        <v>0.19400000000000001</v>
      </c>
      <c r="M385">
        <v>9</v>
      </c>
      <c r="N385">
        <v>55</v>
      </c>
      <c r="O385">
        <v>64</v>
      </c>
    </row>
    <row r="386" spans="1:15" hidden="1" x14ac:dyDescent="0.3">
      <c r="A386">
        <v>385</v>
      </c>
      <c r="B386" s="1">
        <v>40560</v>
      </c>
      <c r="C386">
        <v>12</v>
      </c>
      <c r="D386" s="2" t="s">
        <v>45</v>
      </c>
      <c r="E386" t="s">
        <v>86</v>
      </c>
      <c r="F386" s="2" t="s">
        <v>32</v>
      </c>
      <c r="G386" t="s">
        <v>29</v>
      </c>
      <c r="H386" s="3">
        <v>0.18</v>
      </c>
      <c r="I386" s="2" t="s">
        <v>44</v>
      </c>
      <c r="J386" s="3">
        <v>0.19700000000000001</v>
      </c>
      <c r="K386" s="3">
        <v>0.47</v>
      </c>
      <c r="L386" s="3">
        <v>0.1343</v>
      </c>
      <c r="M386">
        <v>10</v>
      </c>
      <c r="N386">
        <v>70</v>
      </c>
      <c r="O386">
        <v>80</v>
      </c>
    </row>
    <row r="387" spans="1:15" hidden="1" x14ac:dyDescent="0.3">
      <c r="A387">
        <v>386</v>
      </c>
      <c r="B387" s="1">
        <v>40560</v>
      </c>
      <c r="C387">
        <v>13</v>
      </c>
      <c r="D387" s="2" t="s">
        <v>45</v>
      </c>
      <c r="E387" t="s">
        <v>86</v>
      </c>
      <c r="F387" s="2" t="s">
        <v>32</v>
      </c>
      <c r="G387" t="s">
        <v>29</v>
      </c>
      <c r="H387" s="3">
        <v>0.18</v>
      </c>
      <c r="I387" s="2" t="s">
        <v>44</v>
      </c>
      <c r="J387" s="3">
        <v>0.19700000000000001</v>
      </c>
      <c r="K387" s="3">
        <v>0.47</v>
      </c>
      <c r="L387" s="3">
        <v>0.1343</v>
      </c>
      <c r="M387">
        <v>13</v>
      </c>
      <c r="N387">
        <v>80</v>
      </c>
      <c r="O387">
        <v>93</v>
      </c>
    </row>
    <row r="388" spans="1:15" hidden="1" x14ac:dyDescent="0.3">
      <c r="A388">
        <v>387</v>
      </c>
      <c r="B388" s="1">
        <v>40560</v>
      </c>
      <c r="C388">
        <v>14</v>
      </c>
      <c r="D388" s="2" t="s">
        <v>45</v>
      </c>
      <c r="E388" t="s">
        <v>86</v>
      </c>
      <c r="F388" s="2" t="s">
        <v>32</v>
      </c>
      <c r="G388" t="s">
        <v>29</v>
      </c>
      <c r="H388" s="3">
        <v>0.18</v>
      </c>
      <c r="I388" s="2" t="s">
        <v>44</v>
      </c>
      <c r="J388" s="3">
        <v>0.21210000000000001</v>
      </c>
      <c r="K388" s="3">
        <v>0.43</v>
      </c>
      <c r="L388" s="3">
        <v>0.1045</v>
      </c>
      <c r="M388">
        <v>12</v>
      </c>
      <c r="N388">
        <v>74</v>
      </c>
      <c r="O388">
        <v>86</v>
      </c>
    </row>
    <row r="389" spans="1:15" hidden="1" x14ac:dyDescent="0.3">
      <c r="A389">
        <v>388</v>
      </c>
      <c r="B389" s="1">
        <v>40560</v>
      </c>
      <c r="C389">
        <v>15</v>
      </c>
      <c r="D389" s="2" t="s">
        <v>45</v>
      </c>
      <c r="E389" t="s">
        <v>86</v>
      </c>
      <c r="F389" s="2" t="s">
        <v>32</v>
      </c>
      <c r="G389" t="s">
        <v>29</v>
      </c>
      <c r="H389" s="3">
        <v>0.2</v>
      </c>
      <c r="I389" s="2" t="s">
        <v>44</v>
      </c>
      <c r="J389" s="3">
        <v>0.21210000000000001</v>
      </c>
      <c r="K389" s="3">
        <v>0.47</v>
      </c>
      <c r="L389" s="3">
        <v>0.16420000000000001</v>
      </c>
      <c r="M389">
        <v>21</v>
      </c>
      <c r="N389">
        <v>72</v>
      </c>
      <c r="O389">
        <v>93</v>
      </c>
    </row>
    <row r="390" spans="1:15" hidden="1" x14ac:dyDescent="0.3">
      <c r="A390">
        <v>389</v>
      </c>
      <c r="B390" s="1">
        <v>40560</v>
      </c>
      <c r="C390">
        <v>16</v>
      </c>
      <c r="D390" s="2" t="s">
        <v>45</v>
      </c>
      <c r="E390" t="s">
        <v>86</v>
      </c>
      <c r="F390" s="2" t="s">
        <v>32</v>
      </c>
      <c r="G390" t="s">
        <v>29</v>
      </c>
      <c r="H390" s="3">
        <v>0.2</v>
      </c>
      <c r="I390" s="2" t="s">
        <v>44</v>
      </c>
      <c r="J390" s="3">
        <v>0.21210000000000001</v>
      </c>
      <c r="K390" s="3">
        <v>0.47</v>
      </c>
      <c r="L390" s="3">
        <v>0.16420000000000001</v>
      </c>
      <c r="M390">
        <v>6</v>
      </c>
      <c r="N390">
        <v>76</v>
      </c>
      <c r="O390">
        <v>82</v>
      </c>
    </row>
    <row r="391" spans="1:15" hidden="1" x14ac:dyDescent="0.3">
      <c r="A391">
        <v>390</v>
      </c>
      <c r="B391" s="1">
        <v>40560</v>
      </c>
      <c r="C391">
        <v>17</v>
      </c>
      <c r="D391" s="2" t="s">
        <v>47</v>
      </c>
      <c r="E391" t="s">
        <v>86</v>
      </c>
      <c r="F391" s="2" t="s">
        <v>32</v>
      </c>
      <c r="G391" t="s">
        <v>28</v>
      </c>
      <c r="H391" s="3">
        <v>0.2</v>
      </c>
      <c r="I391" s="2" t="s">
        <v>44</v>
      </c>
      <c r="J391" s="3">
        <v>0.19700000000000001</v>
      </c>
      <c r="K391" s="3">
        <v>0.51</v>
      </c>
      <c r="L391" s="3">
        <v>0.19400000000000001</v>
      </c>
      <c r="M391">
        <v>4</v>
      </c>
      <c r="N391">
        <v>67</v>
      </c>
      <c r="O391">
        <v>71</v>
      </c>
    </row>
    <row r="392" spans="1:15" hidden="1" x14ac:dyDescent="0.3">
      <c r="A392">
        <v>391</v>
      </c>
      <c r="B392" s="1">
        <v>40560</v>
      </c>
      <c r="C392">
        <v>18</v>
      </c>
      <c r="D392" s="2" t="s">
        <v>47</v>
      </c>
      <c r="E392" t="s">
        <v>86</v>
      </c>
      <c r="F392" s="2" t="s">
        <v>32</v>
      </c>
      <c r="G392" t="s">
        <v>29</v>
      </c>
      <c r="H392" s="3">
        <v>0.18</v>
      </c>
      <c r="I392" s="2" t="s">
        <v>44</v>
      </c>
      <c r="J392" s="3">
        <v>0.16669999999999999</v>
      </c>
      <c r="K392" s="3">
        <v>0.55000000000000004</v>
      </c>
      <c r="L392" s="3">
        <v>0.25369999999999998</v>
      </c>
      <c r="M392">
        <v>7</v>
      </c>
      <c r="N392">
        <v>85</v>
      </c>
      <c r="O392">
        <v>92</v>
      </c>
    </row>
    <row r="393" spans="1:15" hidden="1" x14ac:dyDescent="0.3">
      <c r="A393">
        <v>392</v>
      </c>
      <c r="B393" s="1">
        <v>40560</v>
      </c>
      <c r="C393">
        <v>19</v>
      </c>
      <c r="D393" s="2" t="s">
        <v>47</v>
      </c>
      <c r="E393" t="s">
        <v>86</v>
      </c>
      <c r="F393" s="2" t="s">
        <v>32</v>
      </c>
      <c r="G393" t="s">
        <v>30</v>
      </c>
      <c r="H393" s="3">
        <v>0.18</v>
      </c>
      <c r="I393" s="2" t="s">
        <v>44</v>
      </c>
      <c r="J393" s="3">
        <v>0.18179999999999999</v>
      </c>
      <c r="K393" s="3">
        <v>0.59</v>
      </c>
      <c r="L393" s="3">
        <v>0.19400000000000001</v>
      </c>
      <c r="M393">
        <v>2</v>
      </c>
      <c r="N393">
        <v>58</v>
      </c>
      <c r="O393">
        <v>60</v>
      </c>
    </row>
    <row r="394" spans="1:15" hidden="1" x14ac:dyDescent="0.3">
      <c r="A394">
        <v>393</v>
      </c>
      <c r="B394" s="1">
        <v>40560</v>
      </c>
      <c r="C394">
        <v>20</v>
      </c>
      <c r="D394" s="2" t="s">
        <v>47</v>
      </c>
      <c r="E394" t="s">
        <v>86</v>
      </c>
      <c r="F394" s="2" t="s">
        <v>32</v>
      </c>
      <c r="G394" t="s">
        <v>30</v>
      </c>
      <c r="H394" s="3">
        <v>0.16</v>
      </c>
      <c r="I394" s="2" t="s">
        <v>44</v>
      </c>
      <c r="J394" s="3">
        <v>0.1515</v>
      </c>
      <c r="K394" s="3">
        <v>0.8</v>
      </c>
      <c r="L394" s="3">
        <v>0.19400000000000001</v>
      </c>
      <c r="M394">
        <v>4</v>
      </c>
      <c r="N394">
        <v>29</v>
      </c>
      <c r="O394">
        <v>33</v>
      </c>
    </row>
    <row r="395" spans="1:15" hidden="1" x14ac:dyDescent="0.3">
      <c r="A395">
        <v>394</v>
      </c>
      <c r="B395" s="1">
        <v>40560</v>
      </c>
      <c r="C395">
        <v>21</v>
      </c>
      <c r="D395" s="2" t="s">
        <v>41</v>
      </c>
      <c r="E395" t="s">
        <v>86</v>
      </c>
      <c r="F395" s="2" t="s">
        <v>32</v>
      </c>
      <c r="G395" t="s">
        <v>30</v>
      </c>
      <c r="H395" s="3">
        <v>0.16</v>
      </c>
      <c r="I395" s="2" t="s">
        <v>44</v>
      </c>
      <c r="J395" s="3">
        <v>0.1515</v>
      </c>
      <c r="K395" s="3">
        <v>0.8</v>
      </c>
      <c r="L395" s="3">
        <v>0.19400000000000001</v>
      </c>
      <c r="M395">
        <v>3</v>
      </c>
      <c r="N395">
        <v>24</v>
      </c>
      <c r="O395">
        <v>27</v>
      </c>
    </row>
    <row r="396" spans="1:15" hidden="1" x14ac:dyDescent="0.3">
      <c r="A396">
        <v>395</v>
      </c>
      <c r="B396" s="1">
        <v>40560</v>
      </c>
      <c r="C396">
        <v>22</v>
      </c>
      <c r="D396" s="2" t="s">
        <v>41</v>
      </c>
      <c r="E396" t="s">
        <v>86</v>
      </c>
      <c r="F396" s="2" t="s">
        <v>32</v>
      </c>
      <c r="G396" t="s">
        <v>30</v>
      </c>
      <c r="H396" s="3">
        <v>0.14000000000000001</v>
      </c>
      <c r="I396" s="2" t="s">
        <v>44</v>
      </c>
      <c r="J396" s="3">
        <v>0.1212</v>
      </c>
      <c r="K396" s="3">
        <v>0.93</v>
      </c>
      <c r="L396" s="3">
        <v>0.25369999999999998</v>
      </c>
      <c r="M396">
        <v>0</v>
      </c>
      <c r="N396">
        <v>13</v>
      </c>
      <c r="O396">
        <v>13</v>
      </c>
    </row>
    <row r="397" spans="1:15" hidden="1" x14ac:dyDescent="0.3">
      <c r="A397">
        <v>396</v>
      </c>
      <c r="B397" s="1">
        <v>40560</v>
      </c>
      <c r="C397">
        <v>23</v>
      </c>
      <c r="D397" s="2" t="s">
        <v>41</v>
      </c>
      <c r="E397" t="s">
        <v>86</v>
      </c>
      <c r="F397" s="2" t="s">
        <v>32</v>
      </c>
      <c r="G397" t="s">
        <v>30</v>
      </c>
      <c r="H397" s="3">
        <v>0.16</v>
      </c>
      <c r="I397" s="2" t="s">
        <v>44</v>
      </c>
      <c r="J397" s="3">
        <v>0.13639999999999999</v>
      </c>
      <c r="K397" s="3">
        <v>0.86</v>
      </c>
      <c r="L397" s="3">
        <v>0.28360000000000002</v>
      </c>
      <c r="M397">
        <v>1</v>
      </c>
      <c r="N397">
        <v>3</v>
      </c>
      <c r="O397">
        <v>4</v>
      </c>
    </row>
    <row r="398" spans="1:15" hidden="1" x14ac:dyDescent="0.3">
      <c r="A398">
        <v>397</v>
      </c>
      <c r="B398" s="1">
        <v>40561</v>
      </c>
      <c r="C398">
        <v>12</v>
      </c>
      <c r="D398" s="2" t="s">
        <v>45</v>
      </c>
      <c r="E398" t="s">
        <v>26</v>
      </c>
      <c r="F398" s="2" t="s">
        <v>33</v>
      </c>
      <c r="G398" t="s">
        <v>29</v>
      </c>
      <c r="H398" s="3">
        <v>0.2</v>
      </c>
      <c r="I398" s="2" t="s">
        <v>44</v>
      </c>
      <c r="J398" s="3">
        <v>0.18179999999999999</v>
      </c>
      <c r="K398" s="3">
        <v>0.86</v>
      </c>
      <c r="L398" s="3">
        <v>0.32840000000000003</v>
      </c>
      <c r="M398">
        <v>0</v>
      </c>
      <c r="N398">
        <v>3</v>
      </c>
      <c r="O398">
        <v>3</v>
      </c>
    </row>
    <row r="399" spans="1:15" hidden="1" x14ac:dyDescent="0.3">
      <c r="A399">
        <v>398</v>
      </c>
      <c r="B399" s="1">
        <v>40561</v>
      </c>
      <c r="C399">
        <v>13</v>
      </c>
      <c r="D399" s="2" t="s">
        <v>45</v>
      </c>
      <c r="E399" t="s">
        <v>26</v>
      </c>
      <c r="F399" s="2" t="s">
        <v>33</v>
      </c>
      <c r="G399" t="s">
        <v>29</v>
      </c>
      <c r="H399" s="3">
        <v>0.2</v>
      </c>
      <c r="I399" s="2" t="s">
        <v>44</v>
      </c>
      <c r="J399" s="3">
        <v>0.19700000000000001</v>
      </c>
      <c r="K399" s="3">
        <v>0.86</v>
      </c>
      <c r="L399" s="3">
        <v>0.22389999999999999</v>
      </c>
      <c r="M399">
        <v>0</v>
      </c>
      <c r="N399">
        <v>22</v>
      </c>
      <c r="O399">
        <v>22</v>
      </c>
    </row>
    <row r="400" spans="1:15" hidden="1" x14ac:dyDescent="0.3">
      <c r="A400">
        <v>399</v>
      </c>
      <c r="B400" s="1">
        <v>40561</v>
      </c>
      <c r="C400">
        <v>14</v>
      </c>
      <c r="D400" s="2" t="s">
        <v>45</v>
      </c>
      <c r="E400" t="s">
        <v>26</v>
      </c>
      <c r="F400" s="2" t="s">
        <v>33</v>
      </c>
      <c r="G400" t="s">
        <v>29</v>
      </c>
      <c r="H400" s="3">
        <v>0.22</v>
      </c>
      <c r="I400" s="2" t="s">
        <v>42</v>
      </c>
      <c r="J400" s="3">
        <v>0.2273</v>
      </c>
      <c r="K400" s="3">
        <v>0.8</v>
      </c>
      <c r="L400" s="3">
        <v>0.16420000000000001</v>
      </c>
      <c r="M400">
        <v>2</v>
      </c>
      <c r="N400">
        <v>26</v>
      </c>
      <c r="O400">
        <v>28</v>
      </c>
    </row>
    <row r="401" spans="1:15" hidden="1" x14ac:dyDescent="0.3">
      <c r="A401">
        <v>400</v>
      </c>
      <c r="B401" s="1">
        <v>40561</v>
      </c>
      <c r="C401">
        <v>15</v>
      </c>
      <c r="D401" s="2" t="s">
        <v>45</v>
      </c>
      <c r="E401" t="s">
        <v>26</v>
      </c>
      <c r="F401" s="2" t="s">
        <v>33</v>
      </c>
      <c r="G401" t="s">
        <v>29</v>
      </c>
      <c r="H401" s="3">
        <v>0.22</v>
      </c>
      <c r="I401" s="2" t="s">
        <v>42</v>
      </c>
      <c r="J401" s="3">
        <v>0.2273</v>
      </c>
      <c r="K401" s="3">
        <v>0.87</v>
      </c>
      <c r="L401" s="3">
        <v>0.16420000000000001</v>
      </c>
      <c r="M401">
        <v>3</v>
      </c>
      <c r="N401">
        <v>32</v>
      </c>
      <c r="O401">
        <v>35</v>
      </c>
    </row>
    <row r="402" spans="1:15" hidden="1" x14ac:dyDescent="0.3">
      <c r="A402">
        <v>401</v>
      </c>
      <c r="B402" s="1">
        <v>40561</v>
      </c>
      <c r="C402">
        <v>16</v>
      </c>
      <c r="D402" s="2" t="s">
        <v>45</v>
      </c>
      <c r="E402" t="s">
        <v>26</v>
      </c>
      <c r="F402" s="2" t="s">
        <v>33</v>
      </c>
      <c r="G402" t="s">
        <v>29</v>
      </c>
      <c r="H402" s="3">
        <v>0.22</v>
      </c>
      <c r="I402" s="2" t="s">
        <v>42</v>
      </c>
      <c r="J402" s="3">
        <v>0.2273</v>
      </c>
      <c r="K402" s="3">
        <v>0.87</v>
      </c>
      <c r="L402" s="3">
        <v>0.19400000000000001</v>
      </c>
      <c r="M402">
        <v>0</v>
      </c>
      <c r="N402">
        <v>61</v>
      </c>
      <c r="O402">
        <v>61</v>
      </c>
    </row>
    <row r="403" spans="1:15" hidden="1" x14ac:dyDescent="0.3">
      <c r="A403">
        <v>402</v>
      </c>
      <c r="B403" s="1">
        <v>40561</v>
      </c>
      <c r="C403">
        <v>17</v>
      </c>
      <c r="D403" s="2" t="s">
        <v>47</v>
      </c>
      <c r="E403" t="s">
        <v>26</v>
      </c>
      <c r="F403" s="2" t="s">
        <v>33</v>
      </c>
      <c r="G403" t="s">
        <v>29</v>
      </c>
      <c r="H403" s="3">
        <v>0.22</v>
      </c>
      <c r="I403" s="2" t="s">
        <v>42</v>
      </c>
      <c r="J403" s="3">
        <v>0.2273</v>
      </c>
      <c r="K403" s="3">
        <v>0.82</v>
      </c>
      <c r="L403" s="3">
        <v>0.19400000000000001</v>
      </c>
      <c r="M403">
        <v>1</v>
      </c>
      <c r="N403">
        <v>124</v>
      </c>
      <c r="O403">
        <v>125</v>
      </c>
    </row>
    <row r="404" spans="1:15" hidden="1" x14ac:dyDescent="0.3">
      <c r="A404">
        <v>403</v>
      </c>
      <c r="B404" s="1">
        <v>40561</v>
      </c>
      <c r="C404">
        <v>18</v>
      </c>
      <c r="D404" s="2" t="s">
        <v>47</v>
      </c>
      <c r="E404" t="s">
        <v>26</v>
      </c>
      <c r="F404" s="2" t="s">
        <v>33</v>
      </c>
      <c r="G404" t="s">
        <v>29</v>
      </c>
      <c r="H404" s="3">
        <v>0.22</v>
      </c>
      <c r="I404" s="2" t="s">
        <v>42</v>
      </c>
      <c r="J404" s="3">
        <v>0.2273</v>
      </c>
      <c r="K404" s="3">
        <v>0.8</v>
      </c>
      <c r="L404" s="3">
        <v>0.16420000000000001</v>
      </c>
      <c r="M404">
        <v>1</v>
      </c>
      <c r="N404">
        <v>132</v>
      </c>
      <c r="O404">
        <v>133</v>
      </c>
    </row>
    <row r="405" spans="1:15" hidden="1" x14ac:dyDescent="0.3">
      <c r="A405">
        <v>404</v>
      </c>
      <c r="B405" s="1">
        <v>40561</v>
      </c>
      <c r="C405">
        <v>19</v>
      </c>
      <c r="D405" s="2" t="s">
        <v>47</v>
      </c>
      <c r="E405" t="s">
        <v>26</v>
      </c>
      <c r="F405" s="2" t="s">
        <v>33</v>
      </c>
      <c r="G405" t="s">
        <v>29</v>
      </c>
      <c r="H405" s="3">
        <v>0.22</v>
      </c>
      <c r="I405" s="2" t="s">
        <v>42</v>
      </c>
      <c r="J405" s="3">
        <v>0.2273</v>
      </c>
      <c r="K405" s="3">
        <v>0.8</v>
      </c>
      <c r="L405" s="3">
        <v>0.1343</v>
      </c>
      <c r="M405">
        <v>1</v>
      </c>
      <c r="N405">
        <v>98</v>
      </c>
      <c r="O405">
        <v>99</v>
      </c>
    </row>
    <row r="406" spans="1:15" hidden="1" x14ac:dyDescent="0.3">
      <c r="A406">
        <v>405</v>
      </c>
      <c r="B406" s="1">
        <v>40561</v>
      </c>
      <c r="C406">
        <v>20</v>
      </c>
      <c r="D406" s="2" t="s">
        <v>47</v>
      </c>
      <c r="E406" t="s">
        <v>26</v>
      </c>
      <c r="F406" s="2" t="s">
        <v>33</v>
      </c>
      <c r="G406" t="s">
        <v>29</v>
      </c>
      <c r="H406" s="3">
        <v>0.22</v>
      </c>
      <c r="I406" s="2" t="s">
        <v>42</v>
      </c>
      <c r="J406" s="3">
        <v>0.2727</v>
      </c>
      <c r="K406" s="3">
        <v>0.87</v>
      </c>
      <c r="L406" s="3">
        <v>0</v>
      </c>
      <c r="M406">
        <v>0</v>
      </c>
      <c r="N406">
        <v>83</v>
      </c>
      <c r="O406">
        <v>83</v>
      </c>
    </row>
    <row r="407" spans="1:15" hidden="1" x14ac:dyDescent="0.3">
      <c r="A407">
        <v>406</v>
      </c>
      <c r="B407" s="1">
        <v>40561</v>
      </c>
      <c r="C407">
        <v>21</v>
      </c>
      <c r="D407" s="2" t="s">
        <v>41</v>
      </c>
      <c r="E407" t="s">
        <v>26</v>
      </c>
      <c r="F407" s="2" t="s">
        <v>33</v>
      </c>
      <c r="G407" t="s">
        <v>29</v>
      </c>
      <c r="H407" s="3">
        <v>0.22</v>
      </c>
      <c r="I407" s="2" t="s">
        <v>42</v>
      </c>
      <c r="J407" s="3">
        <v>0.2424</v>
      </c>
      <c r="K407" s="3">
        <v>0.93</v>
      </c>
      <c r="L407" s="3">
        <v>0.1045</v>
      </c>
      <c r="M407">
        <v>0</v>
      </c>
      <c r="N407">
        <v>41</v>
      </c>
      <c r="O407">
        <v>41</v>
      </c>
    </row>
    <row r="408" spans="1:15" hidden="1" x14ac:dyDescent="0.3">
      <c r="A408">
        <v>407</v>
      </c>
      <c r="B408" s="1">
        <v>40561</v>
      </c>
      <c r="C408">
        <v>22</v>
      </c>
      <c r="D408" s="2" t="s">
        <v>41</v>
      </c>
      <c r="E408" t="s">
        <v>26</v>
      </c>
      <c r="F408" s="2" t="s">
        <v>33</v>
      </c>
      <c r="G408" t="s">
        <v>29</v>
      </c>
      <c r="H408" s="3">
        <v>0.22</v>
      </c>
      <c r="I408" s="2" t="s">
        <v>42</v>
      </c>
      <c r="J408" s="3">
        <v>0.2576</v>
      </c>
      <c r="K408" s="3">
        <v>0.93</v>
      </c>
      <c r="L408" s="3">
        <v>8.9599999999999999E-2</v>
      </c>
      <c r="M408">
        <v>0</v>
      </c>
      <c r="N408">
        <v>33</v>
      </c>
      <c r="O408">
        <v>33</v>
      </c>
    </row>
    <row r="409" spans="1:15" hidden="1" x14ac:dyDescent="0.3">
      <c r="A409">
        <v>408</v>
      </c>
      <c r="B409" s="1">
        <v>40561</v>
      </c>
      <c r="C409">
        <v>23</v>
      </c>
      <c r="D409" s="2" t="s">
        <v>41</v>
      </c>
      <c r="E409" t="s">
        <v>26</v>
      </c>
      <c r="F409" s="2" t="s">
        <v>33</v>
      </c>
      <c r="G409" t="s">
        <v>29</v>
      </c>
      <c r="H409" s="3">
        <v>0.22</v>
      </c>
      <c r="I409" s="2" t="s">
        <v>42</v>
      </c>
      <c r="J409" s="3">
        <v>0.2727</v>
      </c>
      <c r="K409" s="3">
        <v>0.93</v>
      </c>
      <c r="L409" s="3">
        <v>0</v>
      </c>
      <c r="M409">
        <v>1</v>
      </c>
      <c r="N409">
        <v>19</v>
      </c>
      <c r="O409">
        <v>20</v>
      </c>
    </row>
    <row r="410" spans="1:15" hidden="1" x14ac:dyDescent="0.3">
      <c r="A410">
        <v>409</v>
      </c>
      <c r="B410" s="1">
        <v>40562</v>
      </c>
      <c r="C410">
        <v>0</v>
      </c>
      <c r="D410" s="2" t="s">
        <v>41</v>
      </c>
      <c r="E410" t="s">
        <v>26</v>
      </c>
      <c r="F410" s="2" t="s">
        <v>34</v>
      </c>
      <c r="G410" t="s">
        <v>29</v>
      </c>
      <c r="H410" s="3">
        <v>0.22</v>
      </c>
      <c r="I410" s="2" t="s">
        <v>42</v>
      </c>
      <c r="J410" s="3">
        <v>0.2727</v>
      </c>
      <c r="K410" s="3">
        <v>0.93</v>
      </c>
      <c r="L410" s="3">
        <v>0</v>
      </c>
      <c r="M410">
        <v>0</v>
      </c>
      <c r="N410">
        <v>3</v>
      </c>
      <c r="O410">
        <v>3</v>
      </c>
    </row>
    <row r="411" spans="1:15" hidden="1" x14ac:dyDescent="0.3">
      <c r="A411">
        <v>410</v>
      </c>
      <c r="B411" s="1">
        <v>40562</v>
      </c>
      <c r="C411">
        <v>1</v>
      </c>
      <c r="D411" s="2" t="s">
        <v>41</v>
      </c>
      <c r="E411" t="s">
        <v>26</v>
      </c>
      <c r="F411" s="2" t="s">
        <v>34</v>
      </c>
      <c r="G411" t="s">
        <v>30</v>
      </c>
      <c r="H411" s="3">
        <v>0.22</v>
      </c>
      <c r="I411" s="2" t="s">
        <v>42</v>
      </c>
      <c r="J411" s="3">
        <v>0.2273</v>
      </c>
      <c r="K411" s="3">
        <v>0.93</v>
      </c>
      <c r="L411" s="3">
        <v>0.1343</v>
      </c>
      <c r="M411">
        <v>1</v>
      </c>
      <c r="N411">
        <v>6</v>
      </c>
      <c r="O411">
        <v>7</v>
      </c>
    </row>
    <row r="412" spans="1:15" hidden="1" x14ac:dyDescent="0.3">
      <c r="A412">
        <v>411</v>
      </c>
      <c r="B412" s="1">
        <v>40562</v>
      </c>
      <c r="C412">
        <v>2</v>
      </c>
      <c r="D412" s="2" t="s">
        <v>41</v>
      </c>
      <c r="E412" t="s">
        <v>26</v>
      </c>
      <c r="F412" s="2" t="s">
        <v>34</v>
      </c>
      <c r="G412" t="s">
        <v>30</v>
      </c>
      <c r="H412" s="3">
        <v>0.22</v>
      </c>
      <c r="I412" s="2" t="s">
        <v>42</v>
      </c>
      <c r="J412" s="3">
        <v>0.2273</v>
      </c>
      <c r="K412" s="3">
        <v>0.93</v>
      </c>
      <c r="L412" s="3">
        <v>0.1343</v>
      </c>
      <c r="M412">
        <v>0</v>
      </c>
      <c r="N412">
        <v>3</v>
      </c>
      <c r="O412">
        <v>3</v>
      </c>
    </row>
    <row r="413" spans="1:15" hidden="1" x14ac:dyDescent="0.3">
      <c r="A413">
        <v>412</v>
      </c>
      <c r="B413" s="1">
        <v>40562</v>
      </c>
      <c r="C413">
        <v>4</v>
      </c>
      <c r="D413" s="2" t="s">
        <v>41</v>
      </c>
      <c r="E413" t="s">
        <v>26</v>
      </c>
      <c r="F413" s="2" t="s">
        <v>34</v>
      </c>
      <c r="G413" t="s">
        <v>30</v>
      </c>
      <c r="H413" s="3">
        <v>0.22</v>
      </c>
      <c r="I413" s="2" t="s">
        <v>42</v>
      </c>
      <c r="J413" s="3">
        <v>0.2273</v>
      </c>
      <c r="K413" s="3">
        <v>0.93</v>
      </c>
      <c r="L413" s="3">
        <v>0.1343</v>
      </c>
      <c r="M413">
        <v>1</v>
      </c>
      <c r="N413">
        <v>1</v>
      </c>
      <c r="O413">
        <v>2</v>
      </c>
    </row>
    <row r="414" spans="1:15" x14ac:dyDescent="0.3">
      <c r="A414">
        <v>413</v>
      </c>
      <c r="B414" s="1">
        <v>40562</v>
      </c>
      <c r="C414">
        <v>5</v>
      </c>
      <c r="D414" s="2" t="s">
        <v>43</v>
      </c>
      <c r="E414" t="s">
        <v>26</v>
      </c>
      <c r="F414" s="2" t="s">
        <v>34</v>
      </c>
      <c r="G414" t="s">
        <v>29</v>
      </c>
      <c r="H414" s="3">
        <v>0.22</v>
      </c>
      <c r="I414" s="2" t="s">
        <v>42</v>
      </c>
      <c r="J414" s="3">
        <v>0.2576</v>
      </c>
      <c r="K414" s="3">
        <v>0.93</v>
      </c>
      <c r="L414" s="3">
        <v>8.9599999999999999E-2</v>
      </c>
      <c r="M414">
        <v>0</v>
      </c>
      <c r="N414">
        <v>7</v>
      </c>
      <c r="O414">
        <v>7</v>
      </c>
    </row>
    <row r="415" spans="1:15" x14ac:dyDescent="0.3">
      <c r="A415">
        <v>414</v>
      </c>
      <c r="B415" s="1">
        <v>40562</v>
      </c>
      <c r="C415">
        <v>6</v>
      </c>
      <c r="D415" s="2" t="s">
        <v>43</v>
      </c>
      <c r="E415" t="s">
        <v>26</v>
      </c>
      <c r="F415" s="2" t="s">
        <v>34</v>
      </c>
      <c r="G415" t="s">
        <v>29</v>
      </c>
      <c r="H415" s="3">
        <v>0.22</v>
      </c>
      <c r="I415" s="2" t="s">
        <v>42</v>
      </c>
      <c r="J415" s="3">
        <v>0.2576</v>
      </c>
      <c r="K415" s="3">
        <v>0.93</v>
      </c>
      <c r="L415" s="3">
        <v>8.9599999999999999E-2</v>
      </c>
      <c r="M415">
        <v>0</v>
      </c>
      <c r="N415">
        <v>32</v>
      </c>
      <c r="O415">
        <v>32</v>
      </c>
    </row>
    <row r="416" spans="1:15" x14ac:dyDescent="0.3">
      <c r="A416">
        <v>415</v>
      </c>
      <c r="B416" s="1">
        <v>40562</v>
      </c>
      <c r="C416">
        <v>7</v>
      </c>
      <c r="D416" s="2" t="s">
        <v>43</v>
      </c>
      <c r="E416" t="s">
        <v>26</v>
      </c>
      <c r="F416" s="2" t="s">
        <v>34</v>
      </c>
      <c r="G416" t="s">
        <v>29</v>
      </c>
      <c r="H416" s="3">
        <v>0.24</v>
      </c>
      <c r="I416" s="2" t="s">
        <v>42</v>
      </c>
      <c r="J416" s="3">
        <v>0.2576</v>
      </c>
      <c r="K416" s="3">
        <v>0.92</v>
      </c>
      <c r="L416" s="3">
        <v>0.1045</v>
      </c>
      <c r="M416">
        <v>1</v>
      </c>
      <c r="N416">
        <v>89</v>
      </c>
      <c r="O416">
        <v>90</v>
      </c>
    </row>
    <row r="417" spans="1:15" x14ac:dyDescent="0.3">
      <c r="A417">
        <v>416</v>
      </c>
      <c r="B417" s="1">
        <v>40562</v>
      </c>
      <c r="C417">
        <v>8</v>
      </c>
      <c r="D417" s="2" t="s">
        <v>43</v>
      </c>
      <c r="E417" t="s">
        <v>26</v>
      </c>
      <c r="F417" s="2" t="s">
        <v>34</v>
      </c>
      <c r="G417" t="s">
        <v>29</v>
      </c>
      <c r="H417" s="3">
        <v>0.24</v>
      </c>
      <c r="I417" s="2" t="s">
        <v>42</v>
      </c>
      <c r="J417" s="3">
        <v>0.2576</v>
      </c>
      <c r="K417" s="3">
        <v>0.93</v>
      </c>
      <c r="L417" s="3">
        <v>0.1045</v>
      </c>
      <c r="M417">
        <v>1</v>
      </c>
      <c r="N417">
        <v>196</v>
      </c>
      <c r="O417">
        <v>197</v>
      </c>
    </row>
    <row r="418" spans="1:15" x14ac:dyDescent="0.3">
      <c r="A418">
        <v>417</v>
      </c>
      <c r="B418" s="1">
        <v>40562</v>
      </c>
      <c r="C418">
        <v>9</v>
      </c>
      <c r="D418" s="2" t="s">
        <v>43</v>
      </c>
      <c r="E418" t="s">
        <v>26</v>
      </c>
      <c r="F418" s="2" t="s">
        <v>34</v>
      </c>
      <c r="G418" t="s">
        <v>29</v>
      </c>
      <c r="H418" s="3">
        <v>0.24</v>
      </c>
      <c r="I418" s="2" t="s">
        <v>42</v>
      </c>
      <c r="J418" s="3">
        <v>0.2576</v>
      </c>
      <c r="K418" s="3">
        <v>0.93</v>
      </c>
      <c r="L418" s="3">
        <v>0.1045</v>
      </c>
      <c r="M418">
        <v>2</v>
      </c>
      <c r="N418">
        <v>107</v>
      </c>
      <c r="O418">
        <v>109</v>
      </c>
    </row>
    <row r="419" spans="1:15" x14ac:dyDescent="0.3">
      <c r="A419">
        <v>418</v>
      </c>
      <c r="B419" s="1">
        <v>40562</v>
      </c>
      <c r="C419">
        <v>10</v>
      </c>
      <c r="D419" s="2" t="s">
        <v>43</v>
      </c>
      <c r="E419" t="s">
        <v>26</v>
      </c>
      <c r="F419" s="2" t="s">
        <v>34</v>
      </c>
      <c r="G419" t="s">
        <v>29</v>
      </c>
      <c r="H419" s="3">
        <v>0.26</v>
      </c>
      <c r="I419" s="2" t="s">
        <v>42</v>
      </c>
      <c r="J419" s="3">
        <v>0.2727</v>
      </c>
      <c r="K419" s="3">
        <v>0.93</v>
      </c>
      <c r="L419" s="3">
        <v>0.1343</v>
      </c>
      <c r="M419">
        <v>1</v>
      </c>
      <c r="N419">
        <v>46</v>
      </c>
      <c r="O419">
        <v>47</v>
      </c>
    </row>
    <row r="420" spans="1:15" x14ac:dyDescent="0.3">
      <c r="A420">
        <v>419</v>
      </c>
      <c r="B420" s="1">
        <v>40562</v>
      </c>
      <c r="C420">
        <v>11</v>
      </c>
      <c r="D420" s="2" t="s">
        <v>43</v>
      </c>
      <c r="E420" t="s">
        <v>26</v>
      </c>
      <c r="F420" s="2" t="s">
        <v>34</v>
      </c>
      <c r="G420" t="s">
        <v>29</v>
      </c>
      <c r="H420" s="3">
        <v>0.28000000000000003</v>
      </c>
      <c r="I420" s="2" t="s">
        <v>42</v>
      </c>
      <c r="J420" s="3">
        <v>0.30299999999999999</v>
      </c>
      <c r="K420" s="3">
        <v>0.87</v>
      </c>
      <c r="L420" s="3">
        <v>8.9599999999999999E-2</v>
      </c>
      <c r="M420">
        <v>5</v>
      </c>
      <c r="N420">
        <v>47</v>
      </c>
      <c r="O420">
        <v>52</v>
      </c>
    </row>
    <row r="421" spans="1:15" hidden="1" x14ac:dyDescent="0.3">
      <c r="A421">
        <v>420</v>
      </c>
      <c r="B421" s="1">
        <v>40562</v>
      </c>
      <c r="C421">
        <v>12</v>
      </c>
      <c r="D421" s="2" t="s">
        <v>45</v>
      </c>
      <c r="E421" t="s">
        <v>26</v>
      </c>
      <c r="F421" s="2" t="s">
        <v>34</v>
      </c>
      <c r="G421" t="s">
        <v>29</v>
      </c>
      <c r="H421" s="3">
        <v>0.3</v>
      </c>
      <c r="I421" s="2" t="s">
        <v>42</v>
      </c>
      <c r="J421" s="3">
        <v>0.31819999999999998</v>
      </c>
      <c r="K421" s="3">
        <v>0.81</v>
      </c>
      <c r="L421" s="3">
        <v>8.9599999999999999E-2</v>
      </c>
      <c r="M421">
        <v>5</v>
      </c>
      <c r="N421">
        <v>65</v>
      </c>
      <c r="O421">
        <v>70</v>
      </c>
    </row>
    <row r="422" spans="1:15" hidden="1" x14ac:dyDescent="0.3">
      <c r="A422">
        <v>421</v>
      </c>
      <c r="B422" s="1">
        <v>40562</v>
      </c>
      <c r="C422">
        <v>13</v>
      </c>
      <c r="D422" s="2" t="s">
        <v>45</v>
      </c>
      <c r="E422" t="s">
        <v>26</v>
      </c>
      <c r="F422" s="2" t="s">
        <v>34</v>
      </c>
      <c r="G422" t="s">
        <v>28</v>
      </c>
      <c r="H422" s="3">
        <v>0.4</v>
      </c>
      <c r="I422" s="2" t="s">
        <v>42</v>
      </c>
      <c r="J422" s="3">
        <v>0.40910000000000002</v>
      </c>
      <c r="K422" s="3">
        <v>0.62</v>
      </c>
      <c r="L422" s="3">
        <v>0.28360000000000002</v>
      </c>
      <c r="M422">
        <v>11</v>
      </c>
      <c r="N422">
        <v>67</v>
      </c>
      <c r="O422">
        <v>78</v>
      </c>
    </row>
    <row r="423" spans="1:15" hidden="1" x14ac:dyDescent="0.3">
      <c r="A423">
        <v>422</v>
      </c>
      <c r="B423" s="1">
        <v>40562</v>
      </c>
      <c r="C423">
        <v>14</v>
      </c>
      <c r="D423" s="2" t="s">
        <v>45</v>
      </c>
      <c r="E423" t="s">
        <v>26</v>
      </c>
      <c r="F423" s="2" t="s">
        <v>34</v>
      </c>
      <c r="G423" t="s">
        <v>28</v>
      </c>
      <c r="H423" s="3">
        <v>0.4</v>
      </c>
      <c r="I423" s="2" t="s">
        <v>42</v>
      </c>
      <c r="J423" s="3">
        <v>0.40910000000000002</v>
      </c>
      <c r="K423" s="3">
        <v>0.57999999999999996</v>
      </c>
      <c r="L423" s="3">
        <v>0.25369999999999998</v>
      </c>
      <c r="M423">
        <v>7</v>
      </c>
      <c r="N423">
        <v>68</v>
      </c>
      <c r="O423">
        <v>75</v>
      </c>
    </row>
    <row r="424" spans="1:15" hidden="1" x14ac:dyDescent="0.3">
      <c r="A424">
        <v>423</v>
      </c>
      <c r="B424" s="1">
        <v>40562</v>
      </c>
      <c r="C424">
        <v>15</v>
      </c>
      <c r="D424" s="2" t="s">
        <v>45</v>
      </c>
      <c r="E424" t="s">
        <v>26</v>
      </c>
      <c r="F424" s="2" t="s">
        <v>34</v>
      </c>
      <c r="G424" t="s">
        <v>28</v>
      </c>
      <c r="H424" s="3">
        <v>0.4</v>
      </c>
      <c r="I424" s="2" t="s">
        <v>42</v>
      </c>
      <c r="J424" s="3">
        <v>0.40910000000000002</v>
      </c>
      <c r="K424" s="3">
        <v>0.54</v>
      </c>
      <c r="L424" s="3">
        <v>0.28360000000000002</v>
      </c>
      <c r="M424">
        <v>4</v>
      </c>
      <c r="N424">
        <v>78</v>
      </c>
      <c r="O424">
        <v>82</v>
      </c>
    </row>
    <row r="425" spans="1:15" hidden="1" x14ac:dyDescent="0.3">
      <c r="A425">
        <v>424</v>
      </c>
      <c r="B425" s="1">
        <v>40562</v>
      </c>
      <c r="C425">
        <v>16</v>
      </c>
      <c r="D425" s="2" t="s">
        <v>45</v>
      </c>
      <c r="E425" t="s">
        <v>26</v>
      </c>
      <c r="F425" s="2" t="s">
        <v>34</v>
      </c>
      <c r="G425" t="s">
        <v>28</v>
      </c>
      <c r="H425" s="3">
        <v>0.38</v>
      </c>
      <c r="I425" s="2" t="s">
        <v>42</v>
      </c>
      <c r="J425" s="3">
        <v>0.39389999999999997</v>
      </c>
      <c r="K425" s="3">
        <v>0.57999999999999996</v>
      </c>
      <c r="L425" s="3">
        <v>0.3881</v>
      </c>
      <c r="M425">
        <v>10</v>
      </c>
      <c r="N425">
        <v>94</v>
      </c>
      <c r="O425">
        <v>104</v>
      </c>
    </row>
    <row r="426" spans="1:15" hidden="1" x14ac:dyDescent="0.3">
      <c r="A426">
        <v>425</v>
      </c>
      <c r="B426" s="1">
        <v>40562</v>
      </c>
      <c r="C426">
        <v>17</v>
      </c>
      <c r="D426" s="2" t="s">
        <v>47</v>
      </c>
      <c r="E426" t="s">
        <v>26</v>
      </c>
      <c r="F426" s="2" t="s">
        <v>34</v>
      </c>
      <c r="G426" t="s">
        <v>28</v>
      </c>
      <c r="H426" s="3">
        <v>0.36</v>
      </c>
      <c r="I426" s="2" t="s">
        <v>42</v>
      </c>
      <c r="J426" s="3">
        <v>0.33329999999999999</v>
      </c>
      <c r="K426" s="3">
        <v>0.56999999999999995</v>
      </c>
      <c r="L426" s="3">
        <v>0.32840000000000003</v>
      </c>
      <c r="M426">
        <v>7</v>
      </c>
      <c r="N426">
        <v>190</v>
      </c>
      <c r="O426">
        <v>197</v>
      </c>
    </row>
    <row r="427" spans="1:15" hidden="1" x14ac:dyDescent="0.3">
      <c r="A427">
        <v>426</v>
      </c>
      <c r="B427" s="1">
        <v>40562</v>
      </c>
      <c r="C427">
        <v>18</v>
      </c>
      <c r="D427" s="2" t="s">
        <v>47</v>
      </c>
      <c r="E427" t="s">
        <v>26</v>
      </c>
      <c r="F427" s="2" t="s">
        <v>34</v>
      </c>
      <c r="G427" t="s">
        <v>28</v>
      </c>
      <c r="H427" s="3">
        <v>0.34</v>
      </c>
      <c r="I427" s="2" t="s">
        <v>42</v>
      </c>
      <c r="J427" s="3">
        <v>0.31819999999999998</v>
      </c>
      <c r="K427" s="3">
        <v>0.61</v>
      </c>
      <c r="L427" s="3">
        <v>0.28360000000000002</v>
      </c>
      <c r="M427">
        <v>5</v>
      </c>
      <c r="N427">
        <v>156</v>
      </c>
      <c r="O427">
        <v>161</v>
      </c>
    </row>
    <row r="428" spans="1:15" hidden="1" x14ac:dyDescent="0.3">
      <c r="A428">
        <v>427</v>
      </c>
      <c r="B428" s="1">
        <v>40562</v>
      </c>
      <c r="C428">
        <v>19</v>
      </c>
      <c r="D428" s="2" t="s">
        <v>47</v>
      </c>
      <c r="E428" t="s">
        <v>26</v>
      </c>
      <c r="F428" s="2" t="s">
        <v>34</v>
      </c>
      <c r="G428" t="s">
        <v>28</v>
      </c>
      <c r="H428" s="3">
        <v>0.32</v>
      </c>
      <c r="I428" s="2" t="s">
        <v>42</v>
      </c>
      <c r="J428" s="3">
        <v>0.28789999999999999</v>
      </c>
      <c r="K428" s="3">
        <v>0.56999999999999995</v>
      </c>
      <c r="L428" s="3">
        <v>0.41789999999999999</v>
      </c>
      <c r="M428">
        <v>4</v>
      </c>
      <c r="N428">
        <v>108</v>
      </c>
      <c r="O428">
        <v>112</v>
      </c>
    </row>
    <row r="429" spans="1:15" hidden="1" x14ac:dyDescent="0.3">
      <c r="A429">
        <v>428</v>
      </c>
      <c r="B429" s="1">
        <v>40562</v>
      </c>
      <c r="C429">
        <v>20</v>
      </c>
      <c r="D429" s="2" t="s">
        <v>47</v>
      </c>
      <c r="E429" t="s">
        <v>26</v>
      </c>
      <c r="F429" s="2" t="s">
        <v>34</v>
      </c>
      <c r="G429" t="s">
        <v>28</v>
      </c>
      <c r="H429" s="3">
        <v>0.32</v>
      </c>
      <c r="I429" s="2" t="s">
        <v>42</v>
      </c>
      <c r="J429" s="3">
        <v>0.30299999999999999</v>
      </c>
      <c r="K429" s="3">
        <v>0.49</v>
      </c>
      <c r="L429" s="3">
        <v>0.29849999999999999</v>
      </c>
      <c r="M429">
        <v>2</v>
      </c>
      <c r="N429">
        <v>74</v>
      </c>
      <c r="O429">
        <v>76</v>
      </c>
    </row>
    <row r="430" spans="1:15" hidden="1" x14ac:dyDescent="0.3">
      <c r="A430">
        <v>429</v>
      </c>
      <c r="B430" s="1">
        <v>40562</v>
      </c>
      <c r="C430">
        <v>21</v>
      </c>
      <c r="D430" s="2" t="s">
        <v>41</v>
      </c>
      <c r="E430" t="s">
        <v>26</v>
      </c>
      <c r="F430" s="2" t="s">
        <v>34</v>
      </c>
      <c r="G430" t="s">
        <v>28</v>
      </c>
      <c r="H430" s="3">
        <v>0.32</v>
      </c>
      <c r="I430" s="2" t="s">
        <v>42</v>
      </c>
      <c r="J430" s="3">
        <v>0.28789999999999999</v>
      </c>
      <c r="K430" s="3">
        <v>0.49</v>
      </c>
      <c r="L430" s="3">
        <v>0.41789999999999999</v>
      </c>
      <c r="M430">
        <v>4</v>
      </c>
      <c r="N430">
        <v>55</v>
      </c>
      <c r="O430">
        <v>59</v>
      </c>
    </row>
    <row r="431" spans="1:15" hidden="1" x14ac:dyDescent="0.3">
      <c r="A431">
        <v>430</v>
      </c>
      <c r="B431" s="1">
        <v>40562</v>
      </c>
      <c r="C431">
        <v>22</v>
      </c>
      <c r="D431" s="2" t="s">
        <v>41</v>
      </c>
      <c r="E431" t="s">
        <v>26</v>
      </c>
      <c r="F431" s="2" t="s">
        <v>34</v>
      </c>
      <c r="G431" t="s">
        <v>28</v>
      </c>
      <c r="H431" s="3">
        <v>0.3</v>
      </c>
      <c r="I431" s="2" t="s">
        <v>42</v>
      </c>
      <c r="J431" s="3">
        <v>0.30299999999999999</v>
      </c>
      <c r="K431" s="3">
        <v>0.52</v>
      </c>
      <c r="L431" s="3">
        <v>0.16420000000000001</v>
      </c>
      <c r="M431">
        <v>6</v>
      </c>
      <c r="N431">
        <v>53</v>
      </c>
      <c r="O431">
        <v>59</v>
      </c>
    </row>
    <row r="432" spans="1:15" hidden="1" x14ac:dyDescent="0.3">
      <c r="A432">
        <v>431</v>
      </c>
      <c r="B432" s="1">
        <v>40562</v>
      </c>
      <c r="C432">
        <v>23</v>
      </c>
      <c r="D432" s="2" t="s">
        <v>41</v>
      </c>
      <c r="E432" t="s">
        <v>26</v>
      </c>
      <c r="F432" s="2" t="s">
        <v>34</v>
      </c>
      <c r="G432" t="s">
        <v>28</v>
      </c>
      <c r="H432" s="3">
        <v>0.3</v>
      </c>
      <c r="I432" s="2" t="s">
        <v>42</v>
      </c>
      <c r="J432" s="3">
        <v>0.2727</v>
      </c>
      <c r="K432" s="3">
        <v>0.52</v>
      </c>
      <c r="L432" s="3">
        <v>0.4627</v>
      </c>
      <c r="M432">
        <v>1</v>
      </c>
      <c r="N432">
        <v>27</v>
      </c>
      <c r="O432">
        <v>28</v>
      </c>
    </row>
    <row r="433" spans="1:15" hidden="1" x14ac:dyDescent="0.3">
      <c r="A433">
        <v>432</v>
      </c>
      <c r="B433" s="1">
        <v>40563</v>
      </c>
      <c r="C433">
        <v>0</v>
      </c>
      <c r="D433" s="2" t="s">
        <v>41</v>
      </c>
      <c r="E433" t="s">
        <v>26</v>
      </c>
      <c r="F433" s="2" t="s">
        <v>35</v>
      </c>
      <c r="G433" t="s">
        <v>28</v>
      </c>
      <c r="H433" s="3">
        <v>0.26</v>
      </c>
      <c r="I433" s="2" t="s">
        <v>42</v>
      </c>
      <c r="J433" s="3">
        <v>0.2273</v>
      </c>
      <c r="K433" s="3">
        <v>0.56000000000000005</v>
      </c>
      <c r="L433" s="3">
        <v>0.3881</v>
      </c>
      <c r="M433">
        <v>5</v>
      </c>
      <c r="N433">
        <v>8</v>
      </c>
      <c r="O433">
        <v>13</v>
      </c>
    </row>
    <row r="434" spans="1:15" hidden="1" x14ac:dyDescent="0.3">
      <c r="A434">
        <v>433</v>
      </c>
      <c r="B434" s="1">
        <v>40563</v>
      </c>
      <c r="C434">
        <v>1</v>
      </c>
      <c r="D434" s="2" t="s">
        <v>41</v>
      </c>
      <c r="E434" t="s">
        <v>26</v>
      </c>
      <c r="F434" s="2" t="s">
        <v>35</v>
      </c>
      <c r="G434" t="s">
        <v>28</v>
      </c>
      <c r="H434" s="3">
        <v>0.26</v>
      </c>
      <c r="I434" s="2" t="s">
        <v>42</v>
      </c>
      <c r="J434" s="3">
        <v>0.2727</v>
      </c>
      <c r="K434" s="3">
        <v>0.56000000000000005</v>
      </c>
      <c r="L434" s="3">
        <v>0</v>
      </c>
      <c r="M434">
        <v>2</v>
      </c>
      <c r="N434">
        <v>3</v>
      </c>
      <c r="O434">
        <v>5</v>
      </c>
    </row>
    <row r="435" spans="1:15" hidden="1" x14ac:dyDescent="0.3">
      <c r="A435">
        <v>434</v>
      </c>
      <c r="B435" s="1">
        <v>40563</v>
      </c>
      <c r="C435">
        <v>2</v>
      </c>
      <c r="D435" s="2" t="s">
        <v>41</v>
      </c>
      <c r="E435" t="s">
        <v>26</v>
      </c>
      <c r="F435" s="2" t="s">
        <v>35</v>
      </c>
      <c r="G435" t="s">
        <v>28</v>
      </c>
      <c r="H435" s="3">
        <v>0.26</v>
      </c>
      <c r="I435" s="2" t="s">
        <v>42</v>
      </c>
      <c r="J435" s="3">
        <v>0.2727</v>
      </c>
      <c r="K435" s="3">
        <v>0.56000000000000005</v>
      </c>
      <c r="L435" s="3">
        <v>0</v>
      </c>
      <c r="M435">
        <v>0</v>
      </c>
      <c r="N435">
        <v>2</v>
      </c>
      <c r="O435">
        <v>2</v>
      </c>
    </row>
    <row r="436" spans="1:15" hidden="1" x14ac:dyDescent="0.3">
      <c r="A436">
        <v>435</v>
      </c>
      <c r="B436" s="1">
        <v>40563</v>
      </c>
      <c r="C436">
        <v>3</v>
      </c>
      <c r="D436" s="2" t="s">
        <v>41</v>
      </c>
      <c r="E436" t="s">
        <v>26</v>
      </c>
      <c r="F436" s="2" t="s">
        <v>35</v>
      </c>
      <c r="G436" t="s">
        <v>28</v>
      </c>
      <c r="H436" s="3">
        <v>0.26</v>
      </c>
      <c r="I436" s="2" t="s">
        <v>42</v>
      </c>
      <c r="J436" s="3">
        <v>0.2576</v>
      </c>
      <c r="K436" s="3">
        <v>0.56000000000000005</v>
      </c>
      <c r="L436" s="3">
        <v>0.16420000000000001</v>
      </c>
      <c r="M436">
        <v>0</v>
      </c>
      <c r="N436">
        <v>1</v>
      </c>
      <c r="O436">
        <v>1</v>
      </c>
    </row>
    <row r="437" spans="1:15" hidden="1" x14ac:dyDescent="0.3">
      <c r="A437">
        <v>436</v>
      </c>
      <c r="B437" s="1">
        <v>40563</v>
      </c>
      <c r="C437">
        <v>4</v>
      </c>
      <c r="D437" s="2" t="s">
        <v>41</v>
      </c>
      <c r="E437" t="s">
        <v>26</v>
      </c>
      <c r="F437" s="2" t="s">
        <v>35</v>
      </c>
      <c r="G437" t="s">
        <v>28</v>
      </c>
      <c r="H437" s="3">
        <v>0.26</v>
      </c>
      <c r="I437" s="2" t="s">
        <v>42</v>
      </c>
      <c r="J437" s="3">
        <v>0.2576</v>
      </c>
      <c r="K437" s="3">
        <v>0.56000000000000005</v>
      </c>
      <c r="L437" s="3">
        <v>0.16420000000000001</v>
      </c>
      <c r="M437">
        <v>0</v>
      </c>
      <c r="N437">
        <v>1</v>
      </c>
      <c r="O437">
        <v>1</v>
      </c>
    </row>
    <row r="438" spans="1:15" x14ac:dyDescent="0.3">
      <c r="A438">
        <v>437</v>
      </c>
      <c r="B438" s="1">
        <v>40563</v>
      </c>
      <c r="C438">
        <v>5</v>
      </c>
      <c r="D438" s="2" t="s">
        <v>43</v>
      </c>
      <c r="E438" t="s">
        <v>26</v>
      </c>
      <c r="F438" s="2" t="s">
        <v>35</v>
      </c>
      <c r="G438" t="s">
        <v>28</v>
      </c>
      <c r="H438" s="3">
        <v>0.24</v>
      </c>
      <c r="I438" s="2" t="s">
        <v>42</v>
      </c>
      <c r="J438" s="3">
        <v>0.2273</v>
      </c>
      <c r="K438" s="3">
        <v>0.6</v>
      </c>
      <c r="L438" s="3">
        <v>0.22389999999999999</v>
      </c>
      <c r="M438">
        <v>0</v>
      </c>
      <c r="N438">
        <v>6</v>
      </c>
      <c r="O438">
        <v>6</v>
      </c>
    </row>
    <row r="439" spans="1:15" x14ac:dyDescent="0.3">
      <c r="A439">
        <v>438</v>
      </c>
      <c r="B439" s="1">
        <v>40563</v>
      </c>
      <c r="C439">
        <v>6</v>
      </c>
      <c r="D439" s="2" t="s">
        <v>43</v>
      </c>
      <c r="E439" t="s">
        <v>26</v>
      </c>
      <c r="F439" s="2" t="s">
        <v>35</v>
      </c>
      <c r="G439" t="s">
        <v>28</v>
      </c>
      <c r="H439" s="3">
        <v>0.22</v>
      </c>
      <c r="I439" s="2" t="s">
        <v>42</v>
      </c>
      <c r="J439" s="3">
        <v>0.21210000000000001</v>
      </c>
      <c r="K439" s="3">
        <v>0.6</v>
      </c>
      <c r="L439" s="3">
        <v>0.22389999999999999</v>
      </c>
      <c r="M439">
        <v>0</v>
      </c>
      <c r="N439">
        <v>35</v>
      </c>
      <c r="O439">
        <v>35</v>
      </c>
    </row>
    <row r="440" spans="1:15" x14ac:dyDescent="0.3">
      <c r="A440">
        <v>439</v>
      </c>
      <c r="B440" s="1">
        <v>40563</v>
      </c>
      <c r="C440">
        <v>7</v>
      </c>
      <c r="D440" s="2" t="s">
        <v>43</v>
      </c>
      <c r="E440" t="s">
        <v>26</v>
      </c>
      <c r="F440" s="2" t="s">
        <v>35</v>
      </c>
      <c r="G440" t="s">
        <v>28</v>
      </c>
      <c r="H440" s="3">
        <v>0.22</v>
      </c>
      <c r="I440" s="2" t="s">
        <v>42</v>
      </c>
      <c r="J440" s="3">
        <v>0.21210000000000001</v>
      </c>
      <c r="K440" s="3">
        <v>0.55000000000000004</v>
      </c>
      <c r="L440" s="3">
        <v>0.22389999999999999</v>
      </c>
      <c r="M440">
        <v>1</v>
      </c>
      <c r="N440">
        <v>100</v>
      </c>
      <c r="O440">
        <v>101</v>
      </c>
    </row>
    <row r="441" spans="1:15" x14ac:dyDescent="0.3">
      <c r="A441">
        <v>440</v>
      </c>
      <c r="B441" s="1">
        <v>40563</v>
      </c>
      <c r="C441">
        <v>8</v>
      </c>
      <c r="D441" s="2" t="s">
        <v>43</v>
      </c>
      <c r="E441" t="s">
        <v>26</v>
      </c>
      <c r="F441" s="2" t="s">
        <v>35</v>
      </c>
      <c r="G441" t="s">
        <v>28</v>
      </c>
      <c r="H441" s="3">
        <v>0.22</v>
      </c>
      <c r="I441" s="2" t="s">
        <v>42</v>
      </c>
      <c r="J441" s="3">
        <v>0.21210000000000001</v>
      </c>
      <c r="K441" s="3">
        <v>0.55000000000000004</v>
      </c>
      <c r="L441" s="3">
        <v>0.28360000000000002</v>
      </c>
      <c r="M441">
        <v>2</v>
      </c>
      <c r="N441">
        <v>247</v>
      </c>
      <c r="O441">
        <v>249</v>
      </c>
    </row>
    <row r="442" spans="1:15" x14ac:dyDescent="0.3">
      <c r="A442">
        <v>441</v>
      </c>
      <c r="B442" s="1">
        <v>40563</v>
      </c>
      <c r="C442">
        <v>9</v>
      </c>
      <c r="D442" s="2" t="s">
        <v>43</v>
      </c>
      <c r="E442" t="s">
        <v>26</v>
      </c>
      <c r="F442" s="2" t="s">
        <v>35</v>
      </c>
      <c r="G442" t="s">
        <v>29</v>
      </c>
      <c r="H442" s="3">
        <v>0.24</v>
      </c>
      <c r="I442" s="2" t="s">
        <v>42</v>
      </c>
      <c r="J442" s="3">
        <v>0.2273</v>
      </c>
      <c r="K442" s="3">
        <v>0.52</v>
      </c>
      <c r="L442" s="3">
        <v>0.22389999999999999</v>
      </c>
      <c r="M442">
        <v>3</v>
      </c>
      <c r="N442">
        <v>140</v>
      </c>
      <c r="O442">
        <v>143</v>
      </c>
    </row>
    <row r="443" spans="1:15" x14ac:dyDescent="0.3">
      <c r="A443">
        <v>442</v>
      </c>
      <c r="B443" s="1">
        <v>40563</v>
      </c>
      <c r="C443">
        <v>10</v>
      </c>
      <c r="D443" s="2" t="s">
        <v>43</v>
      </c>
      <c r="E443" t="s">
        <v>26</v>
      </c>
      <c r="F443" s="2" t="s">
        <v>35</v>
      </c>
      <c r="G443" t="s">
        <v>28</v>
      </c>
      <c r="H443" s="3">
        <v>0.26</v>
      </c>
      <c r="I443" s="2" t="s">
        <v>42</v>
      </c>
      <c r="J443" s="3">
        <v>0.2273</v>
      </c>
      <c r="K443" s="3">
        <v>0.48</v>
      </c>
      <c r="L443" s="3">
        <v>0.29849999999999999</v>
      </c>
      <c r="M443">
        <v>1</v>
      </c>
      <c r="N443">
        <v>56</v>
      </c>
      <c r="O443">
        <v>57</v>
      </c>
    </row>
    <row r="444" spans="1:15" x14ac:dyDescent="0.3">
      <c r="A444">
        <v>443</v>
      </c>
      <c r="B444" s="1">
        <v>40563</v>
      </c>
      <c r="C444">
        <v>11</v>
      </c>
      <c r="D444" s="2" t="s">
        <v>43</v>
      </c>
      <c r="E444" t="s">
        <v>26</v>
      </c>
      <c r="F444" s="2" t="s">
        <v>35</v>
      </c>
      <c r="G444" t="s">
        <v>29</v>
      </c>
      <c r="H444" s="3">
        <v>0.28000000000000003</v>
      </c>
      <c r="I444" s="2" t="s">
        <v>42</v>
      </c>
      <c r="J444" s="3">
        <v>0.2727</v>
      </c>
      <c r="K444" s="3">
        <v>0.45</v>
      </c>
      <c r="L444" s="3">
        <v>0.16420000000000001</v>
      </c>
      <c r="M444">
        <v>5</v>
      </c>
      <c r="N444">
        <v>63</v>
      </c>
      <c r="O444">
        <v>68</v>
      </c>
    </row>
    <row r="445" spans="1:15" hidden="1" x14ac:dyDescent="0.3">
      <c r="A445">
        <v>444</v>
      </c>
      <c r="B445" s="1">
        <v>40563</v>
      </c>
      <c r="C445">
        <v>12</v>
      </c>
      <c r="D445" s="2" t="s">
        <v>45</v>
      </c>
      <c r="E445" t="s">
        <v>26</v>
      </c>
      <c r="F445" s="2" t="s">
        <v>35</v>
      </c>
      <c r="G445" t="s">
        <v>29</v>
      </c>
      <c r="H445" s="3">
        <v>0.3</v>
      </c>
      <c r="I445" s="2" t="s">
        <v>42</v>
      </c>
      <c r="J445" s="3">
        <v>0.33329999999999999</v>
      </c>
      <c r="K445" s="3">
        <v>0.42</v>
      </c>
      <c r="L445" s="3">
        <v>0</v>
      </c>
      <c r="M445">
        <v>7</v>
      </c>
      <c r="N445">
        <v>77</v>
      </c>
      <c r="O445">
        <v>84</v>
      </c>
    </row>
    <row r="446" spans="1:15" hidden="1" x14ac:dyDescent="0.3">
      <c r="A446">
        <v>445</v>
      </c>
      <c r="B446" s="1">
        <v>40563</v>
      </c>
      <c r="C446">
        <v>13</v>
      </c>
      <c r="D446" s="2" t="s">
        <v>45</v>
      </c>
      <c r="E446" t="s">
        <v>26</v>
      </c>
      <c r="F446" s="2" t="s">
        <v>35</v>
      </c>
      <c r="G446" t="s">
        <v>29</v>
      </c>
      <c r="H446" s="3">
        <v>0.28000000000000003</v>
      </c>
      <c r="I446" s="2" t="s">
        <v>42</v>
      </c>
      <c r="J446" s="3">
        <v>0.28789999999999999</v>
      </c>
      <c r="K446" s="3">
        <v>0.45</v>
      </c>
      <c r="L446" s="3">
        <v>0.1045</v>
      </c>
      <c r="M446">
        <v>12</v>
      </c>
      <c r="N446">
        <v>86</v>
      </c>
      <c r="O446">
        <v>98</v>
      </c>
    </row>
    <row r="447" spans="1:15" hidden="1" x14ac:dyDescent="0.3">
      <c r="A447">
        <v>446</v>
      </c>
      <c r="B447" s="1">
        <v>40563</v>
      </c>
      <c r="C447">
        <v>14</v>
      </c>
      <c r="D447" s="2" t="s">
        <v>45</v>
      </c>
      <c r="E447" t="s">
        <v>26</v>
      </c>
      <c r="F447" s="2" t="s">
        <v>35</v>
      </c>
      <c r="G447" t="s">
        <v>29</v>
      </c>
      <c r="H447" s="3">
        <v>0.3</v>
      </c>
      <c r="I447" s="2" t="s">
        <v>42</v>
      </c>
      <c r="J447" s="3">
        <v>0.30299999999999999</v>
      </c>
      <c r="K447" s="3">
        <v>0.45</v>
      </c>
      <c r="L447" s="3">
        <v>0.1343</v>
      </c>
      <c r="M447">
        <v>6</v>
      </c>
      <c r="N447">
        <v>75</v>
      </c>
      <c r="O447">
        <v>81</v>
      </c>
    </row>
    <row r="448" spans="1:15" hidden="1" x14ac:dyDescent="0.3">
      <c r="A448">
        <v>447</v>
      </c>
      <c r="B448" s="1">
        <v>40563</v>
      </c>
      <c r="C448">
        <v>15</v>
      </c>
      <c r="D448" s="2" t="s">
        <v>45</v>
      </c>
      <c r="E448" t="s">
        <v>26</v>
      </c>
      <c r="F448" s="2" t="s">
        <v>35</v>
      </c>
      <c r="G448" t="s">
        <v>29</v>
      </c>
      <c r="H448" s="3">
        <v>0.32</v>
      </c>
      <c r="I448" s="2" t="s">
        <v>42</v>
      </c>
      <c r="J448" s="3">
        <v>0.31819999999999998</v>
      </c>
      <c r="K448" s="3">
        <v>0.45</v>
      </c>
      <c r="L448" s="3">
        <v>0.19400000000000001</v>
      </c>
      <c r="M448">
        <v>8</v>
      </c>
      <c r="N448">
        <v>62</v>
      </c>
      <c r="O448">
        <v>70</v>
      </c>
    </row>
    <row r="449" spans="1:15" hidden="1" x14ac:dyDescent="0.3">
      <c r="A449">
        <v>448</v>
      </c>
      <c r="B449" s="1">
        <v>40563</v>
      </c>
      <c r="C449">
        <v>16</v>
      </c>
      <c r="D449" s="2" t="s">
        <v>45</v>
      </c>
      <c r="E449" t="s">
        <v>26</v>
      </c>
      <c r="F449" s="2" t="s">
        <v>35</v>
      </c>
      <c r="G449" t="s">
        <v>29</v>
      </c>
      <c r="H449" s="3">
        <v>0.3</v>
      </c>
      <c r="I449" s="2" t="s">
        <v>42</v>
      </c>
      <c r="J449" s="3">
        <v>0.30299999999999999</v>
      </c>
      <c r="K449" s="3">
        <v>0.49</v>
      </c>
      <c r="L449" s="3">
        <v>0.1343</v>
      </c>
      <c r="M449">
        <v>8</v>
      </c>
      <c r="N449">
        <v>83</v>
      </c>
      <c r="O449">
        <v>91</v>
      </c>
    </row>
    <row r="450" spans="1:15" hidden="1" x14ac:dyDescent="0.3">
      <c r="A450">
        <v>449</v>
      </c>
      <c r="B450" s="1">
        <v>40563</v>
      </c>
      <c r="C450">
        <v>17</v>
      </c>
      <c r="D450" s="2" t="s">
        <v>47</v>
      </c>
      <c r="E450" t="s">
        <v>26</v>
      </c>
      <c r="F450" s="2" t="s">
        <v>35</v>
      </c>
      <c r="G450" t="s">
        <v>29</v>
      </c>
      <c r="H450" s="3">
        <v>0.3</v>
      </c>
      <c r="I450" s="2" t="s">
        <v>42</v>
      </c>
      <c r="J450" s="3">
        <v>0.31819999999999998</v>
      </c>
      <c r="K450" s="3">
        <v>0.49</v>
      </c>
      <c r="L450" s="3">
        <v>0.1045</v>
      </c>
      <c r="M450">
        <v>8</v>
      </c>
      <c r="N450">
        <v>207</v>
      </c>
      <c r="O450">
        <v>215</v>
      </c>
    </row>
    <row r="451" spans="1:15" hidden="1" x14ac:dyDescent="0.3">
      <c r="A451">
        <v>450</v>
      </c>
      <c r="B451" s="1">
        <v>40563</v>
      </c>
      <c r="C451">
        <v>18</v>
      </c>
      <c r="D451" s="2" t="s">
        <v>47</v>
      </c>
      <c r="E451" t="s">
        <v>26</v>
      </c>
      <c r="F451" s="2" t="s">
        <v>35</v>
      </c>
      <c r="G451" t="s">
        <v>29</v>
      </c>
      <c r="H451" s="3">
        <v>0.26</v>
      </c>
      <c r="I451" s="2" t="s">
        <v>42</v>
      </c>
      <c r="J451" s="3">
        <v>0.2576</v>
      </c>
      <c r="K451" s="3">
        <v>0.56000000000000005</v>
      </c>
      <c r="L451" s="3">
        <v>0.19400000000000001</v>
      </c>
      <c r="M451">
        <v>1</v>
      </c>
      <c r="N451">
        <v>184</v>
      </c>
      <c r="O451">
        <v>185</v>
      </c>
    </row>
    <row r="452" spans="1:15" hidden="1" x14ac:dyDescent="0.3">
      <c r="A452">
        <v>451</v>
      </c>
      <c r="B452" s="1">
        <v>40563</v>
      </c>
      <c r="C452">
        <v>19</v>
      </c>
      <c r="D452" s="2" t="s">
        <v>47</v>
      </c>
      <c r="E452" t="s">
        <v>26</v>
      </c>
      <c r="F452" s="2" t="s">
        <v>35</v>
      </c>
      <c r="G452" t="s">
        <v>28</v>
      </c>
      <c r="H452" s="3">
        <v>0.26</v>
      </c>
      <c r="I452" s="2" t="s">
        <v>42</v>
      </c>
      <c r="J452" s="3">
        <v>0.2273</v>
      </c>
      <c r="K452" s="3">
        <v>0.56000000000000005</v>
      </c>
      <c r="L452" s="3">
        <v>0.32840000000000003</v>
      </c>
      <c r="M452">
        <v>6</v>
      </c>
      <c r="N452">
        <v>146</v>
      </c>
      <c r="O452">
        <v>152</v>
      </c>
    </row>
    <row r="453" spans="1:15" hidden="1" x14ac:dyDescent="0.3">
      <c r="A453">
        <v>452</v>
      </c>
      <c r="B453" s="1">
        <v>40563</v>
      </c>
      <c r="C453">
        <v>20</v>
      </c>
      <c r="D453" s="2" t="s">
        <v>47</v>
      </c>
      <c r="E453" t="s">
        <v>26</v>
      </c>
      <c r="F453" s="2" t="s">
        <v>35</v>
      </c>
      <c r="G453" t="s">
        <v>29</v>
      </c>
      <c r="H453" s="3">
        <v>0.26</v>
      </c>
      <c r="I453" s="2" t="s">
        <v>42</v>
      </c>
      <c r="J453" s="3">
        <v>0.2424</v>
      </c>
      <c r="K453" s="3">
        <v>0.6</v>
      </c>
      <c r="L453" s="3">
        <v>0.28360000000000002</v>
      </c>
      <c r="M453">
        <v>2</v>
      </c>
      <c r="N453">
        <v>124</v>
      </c>
      <c r="O453">
        <v>126</v>
      </c>
    </row>
    <row r="454" spans="1:15" hidden="1" x14ac:dyDescent="0.3">
      <c r="A454">
        <v>453</v>
      </c>
      <c r="B454" s="1">
        <v>40563</v>
      </c>
      <c r="C454">
        <v>21</v>
      </c>
      <c r="D454" s="2" t="s">
        <v>41</v>
      </c>
      <c r="E454" t="s">
        <v>26</v>
      </c>
      <c r="F454" s="2" t="s">
        <v>35</v>
      </c>
      <c r="G454" t="s">
        <v>29</v>
      </c>
      <c r="H454" s="3">
        <v>0.24</v>
      </c>
      <c r="I454" s="2" t="s">
        <v>42</v>
      </c>
      <c r="J454" s="3">
        <v>0.2273</v>
      </c>
      <c r="K454" s="3">
        <v>0.6</v>
      </c>
      <c r="L454" s="3">
        <v>0.25369999999999998</v>
      </c>
      <c r="M454">
        <v>3</v>
      </c>
      <c r="N454">
        <v>54</v>
      </c>
      <c r="O454">
        <v>57</v>
      </c>
    </row>
    <row r="455" spans="1:15" hidden="1" x14ac:dyDescent="0.3">
      <c r="A455">
        <v>454</v>
      </c>
      <c r="B455" s="1">
        <v>40563</v>
      </c>
      <c r="C455">
        <v>22</v>
      </c>
      <c r="D455" s="2" t="s">
        <v>41</v>
      </c>
      <c r="E455" t="s">
        <v>26</v>
      </c>
      <c r="F455" s="2" t="s">
        <v>35</v>
      </c>
      <c r="G455" t="s">
        <v>29</v>
      </c>
      <c r="H455" s="3">
        <v>0.24</v>
      </c>
      <c r="I455" s="2" t="s">
        <v>42</v>
      </c>
      <c r="J455" s="3">
        <v>0.21210000000000001</v>
      </c>
      <c r="K455" s="3">
        <v>0.65</v>
      </c>
      <c r="L455" s="3">
        <v>0.28360000000000002</v>
      </c>
      <c r="M455">
        <v>0</v>
      </c>
      <c r="N455">
        <v>56</v>
      </c>
      <c r="O455">
        <v>56</v>
      </c>
    </row>
    <row r="456" spans="1:15" hidden="1" x14ac:dyDescent="0.3">
      <c r="A456">
        <v>455</v>
      </c>
      <c r="B456" s="1">
        <v>40563</v>
      </c>
      <c r="C456">
        <v>23</v>
      </c>
      <c r="D456" s="2" t="s">
        <v>41</v>
      </c>
      <c r="E456" t="s">
        <v>26</v>
      </c>
      <c r="F456" s="2" t="s">
        <v>35</v>
      </c>
      <c r="G456" t="s">
        <v>29</v>
      </c>
      <c r="H456" s="3">
        <v>0.24</v>
      </c>
      <c r="I456" s="2" t="s">
        <v>42</v>
      </c>
      <c r="J456" s="3">
        <v>0.21210000000000001</v>
      </c>
      <c r="K456" s="3">
        <v>0.65</v>
      </c>
      <c r="L456" s="3">
        <v>0.32840000000000003</v>
      </c>
      <c r="M456">
        <v>3</v>
      </c>
      <c r="N456">
        <v>28</v>
      </c>
      <c r="O456">
        <v>31</v>
      </c>
    </row>
    <row r="457" spans="1:15" hidden="1" x14ac:dyDescent="0.3">
      <c r="A457">
        <v>456</v>
      </c>
      <c r="B457" s="1">
        <v>40564</v>
      </c>
      <c r="C457">
        <v>0</v>
      </c>
      <c r="D457" s="2" t="s">
        <v>41</v>
      </c>
      <c r="E457" t="s">
        <v>26</v>
      </c>
      <c r="F457" s="2" t="s">
        <v>36</v>
      </c>
      <c r="G457" t="s">
        <v>29</v>
      </c>
      <c r="H457" s="3">
        <v>0.24</v>
      </c>
      <c r="I457" s="2" t="s">
        <v>42</v>
      </c>
      <c r="J457" s="3">
        <v>0.2273</v>
      </c>
      <c r="K457" s="3">
        <v>0.7</v>
      </c>
      <c r="L457" s="3">
        <v>0.25369999999999998</v>
      </c>
      <c r="M457">
        <v>1</v>
      </c>
      <c r="N457">
        <v>20</v>
      </c>
      <c r="O457">
        <v>21</v>
      </c>
    </row>
    <row r="458" spans="1:15" hidden="1" x14ac:dyDescent="0.3">
      <c r="A458">
        <v>457</v>
      </c>
      <c r="B458" s="1">
        <v>40564</v>
      </c>
      <c r="C458">
        <v>1</v>
      </c>
      <c r="D458" s="2" t="s">
        <v>41</v>
      </c>
      <c r="E458" t="s">
        <v>26</v>
      </c>
      <c r="F458" s="2" t="s">
        <v>36</v>
      </c>
      <c r="G458" t="s">
        <v>29</v>
      </c>
      <c r="H458" s="3">
        <v>0.24</v>
      </c>
      <c r="I458" s="2" t="s">
        <v>42</v>
      </c>
      <c r="J458" s="3">
        <v>0.2273</v>
      </c>
      <c r="K458" s="3">
        <v>0.7</v>
      </c>
      <c r="L458" s="3">
        <v>0.25369999999999998</v>
      </c>
      <c r="M458">
        <v>0</v>
      </c>
      <c r="N458">
        <v>6</v>
      </c>
      <c r="O458">
        <v>6</v>
      </c>
    </row>
    <row r="459" spans="1:15" hidden="1" x14ac:dyDescent="0.3">
      <c r="A459">
        <v>458</v>
      </c>
      <c r="B459" s="1">
        <v>40564</v>
      </c>
      <c r="C459">
        <v>2</v>
      </c>
      <c r="D459" s="2" t="s">
        <v>41</v>
      </c>
      <c r="E459" t="s">
        <v>26</v>
      </c>
      <c r="F459" s="2" t="s">
        <v>36</v>
      </c>
      <c r="G459" t="s">
        <v>30</v>
      </c>
      <c r="H459" s="3">
        <v>0.24</v>
      </c>
      <c r="I459" s="2" t="s">
        <v>42</v>
      </c>
      <c r="J459" s="3">
        <v>0.2424</v>
      </c>
      <c r="K459" s="3">
        <v>0.75</v>
      </c>
      <c r="L459" s="3">
        <v>0.16420000000000001</v>
      </c>
      <c r="M459">
        <v>0</v>
      </c>
      <c r="N459">
        <v>2</v>
      </c>
      <c r="O459">
        <v>2</v>
      </c>
    </row>
    <row r="460" spans="1:15" hidden="1" x14ac:dyDescent="0.3">
      <c r="A460">
        <v>459</v>
      </c>
      <c r="B460" s="1">
        <v>40564</v>
      </c>
      <c r="C460">
        <v>3</v>
      </c>
      <c r="D460" s="2" t="s">
        <v>41</v>
      </c>
      <c r="E460" t="s">
        <v>26</v>
      </c>
      <c r="F460" s="2" t="s">
        <v>36</v>
      </c>
      <c r="G460" t="s">
        <v>30</v>
      </c>
      <c r="H460" s="3">
        <v>0.22</v>
      </c>
      <c r="I460" s="2" t="s">
        <v>42</v>
      </c>
      <c r="J460" s="3">
        <v>0.21210000000000001</v>
      </c>
      <c r="K460" s="3">
        <v>0.8</v>
      </c>
      <c r="L460" s="3">
        <v>0.29849999999999999</v>
      </c>
      <c r="M460">
        <v>0</v>
      </c>
      <c r="N460">
        <v>1</v>
      </c>
      <c r="O460">
        <v>1</v>
      </c>
    </row>
    <row r="461" spans="1:15" hidden="1" x14ac:dyDescent="0.3">
      <c r="A461">
        <v>460</v>
      </c>
      <c r="B461" s="1">
        <v>40564</v>
      </c>
      <c r="C461">
        <v>4</v>
      </c>
      <c r="D461" s="2" t="s">
        <v>41</v>
      </c>
      <c r="E461" t="s">
        <v>26</v>
      </c>
      <c r="F461" s="2" t="s">
        <v>36</v>
      </c>
      <c r="G461" t="s">
        <v>29</v>
      </c>
      <c r="H461" s="3">
        <v>0.22</v>
      </c>
      <c r="I461" s="2" t="s">
        <v>42</v>
      </c>
      <c r="J461" s="3">
        <v>0.2576</v>
      </c>
      <c r="K461" s="3">
        <v>0.87</v>
      </c>
      <c r="L461" s="3">
        <v>8.9599999999999999E-2</v>
      </c>
      <c r="M461">
        <v>0</v>
      </c>
      <c r="N461">
        <v>1</v>
      </c>
      <c r="O461">
        <v>1</v>
      </c>
    </row>
    <row r="462" spans="1:15" x14ac:dyDescent="0.3">
      <c r="A462">
        <v>461</v>
      </c>
      <c r="B462" s="1">
        <v>40564</v>
      </c>
      <c r="C462">
        <v>5</v>
      </c>
      <c r="D462" s="2" t="s">
        <v>43</v>
      </c>
      <c r="E462" t="s">
        <v>26</v>
      </c>
      <c r="F462" s="2" t="s">
        <v>36</v>
      </c>
      <c r="G462" t="s">
        <v>28</v>
      </c>
      <c r="H462" s="3">
        <v>0.24</v>
      </c>
      <c r="I462" s="2" t="s">
        <v>42</v>
      </c>
      <c r="J462" s="3">
        <v>0.19700000000000001</v>
      </c>
      <c r="K462" s="3">
        <v>0.6</v>
      </c>
      <c r="L462" s="3">
        <v>0.41789999999999999</v>
      </c>
      <c r="M462">
        <v>1</v>
      </c>
      <c r="N462">
        <v>4</v>
      </c>
      <c r="O462">
        <v>5</v>
      </c>
    </row>
    <row r="463" spans="1:15" x14ac:dyDescent="0.3">
      <c r="A463">
        <v>462</v>
      </c>
      <c r="B463" s="1">
        <v>40564</v>
      </c>
      <c r="C463">
        <v>6</v>
      </c>
      <c r="D463" s="2" t="s">
        <v>43</v>
      </c>
      <c r="E463" t="s">
        <v>26</v>
      </c>
      <c r="F463" s="2" t="s">
        <v>36</v>
      </c>
      <c r="G463" t="s">
        <v>28</v>
      </c>
      <c r="H463" s="3">
        <v>0.22</v>
      </c>
      <c r="I463" s="2" t="s">
        <v>42</v>
      </c>
      <c r="J463" s="3">
        <v>0.21210000000000001</v>
      </c>
      <c r="K463" s="3">
        <v>0.55000000000000004</v>
      </c>
      <c r="L463" s="3">
        <v>0.25369999999999998</v>
      </c>
      <c r="M463">
        <v>0</v>
      </c>
      <c r="N463">
        <v>27</v>
      </c>
      <c r="O463">
        <v>27</v>
      </c>
    </row>
    <row r="464" spans="1:15" x14ac:dyDescent="0.3">
      <c r="A464">
        <v>463</v>
      </c>
      <c r="B464" s="1">
        <v>40564</v>
      </c>
      <c r="C464">
        <v>7</v>
      </c>
      <c r="D464" s="2" t="s">
        <v>43</v>
      </c>
      <c r="E464" t="s">
        <v>26</v>
      </c>
      <c r="F464" s="2" t="s">
        <v>36</v>
      </c>
      <c r="G464" t="s">
        <v>28</v>
      </c>
      <c r="H464" s="3">
        <v>0.2</v>
      </c>
      <c r="I464" s="2" t="s">
        <v>44</v>
      </c>
      <c r="J464" s="3">
        <v>0.18179999999999999</v>
      </c>
      <c r="K464" s="3">
        <v>0.51</v>
      </c>
      <c r="L464" s="3">
        <v>0.28360000000000002</v>
      </c>
      <c r="M464">
        <v>2</v>
      </c>
      <c r="N464">
        <v>66</v>
      </c>
      <c r="O464">
        <v>68</v>
      </c>
    </row>
    <row r="465" spans="1:15" x14ac:dyDescent="0.3">
      <c r="A465">
        <v>464</v>
      </c>
      <c r="B465" s="1">
        <v>40564</v>
      </c>
      <c r="C465">
        <v>8</v>
      </c>
      <c r="D465" s="2" t="s">
        <v>43</v>
      </c>
      <c r="E465" t="s">
        <v>26</v>
      </c>
      <c r="F465" s="2" t="s">
        <v>36</v>
      </c>
      <c r="G465" t="s">
        <v>28</v>
      </c>
      <c r="H465" s="3">
        <v>0.2</v>
      </c>
      <c r="I465" s="2" t="s">
        <v>44</v>
      </c>
      <c r="J465" s="3">
        <v>0.18179999999999999</v>
      </c>
      <c r="K465" s="3">
        <v>0.47</v>
      </c>
      <c r="L465" s="3">
        <v>0.32840000000000003</v>
      </c>
      <c r="M465">
        <v>7</v>
      </c>
      <c r="N465">
        <v>210</v>
      </c>
      <c r="O465">
        <v>217</v>
      </c>
    </row>
    <row r="466" spans="1:15" x14ac:dyDescent="0.3">
      <c r="A466">
        <v>465</v>
      </c>
      <c r="B466" s="1">
        <v>40564</v>
      </c>
      <c r="C466">
        <v>9</v>
      </c>
      <c r="D466" s="2" t="s">
        <v>43</v>
      </c>
      <c r="E466" t="s">
        <v>26</v>
      </c>
      <c r="F466" s="2" t="s">
        <v>36</v>
      </c>
      <c r="G466" t="s">
        <v>28</v>
      </c>
      <c r="H466" s="3">
        <v>0.2</v>
      </c>
      <c r="I466" s="2" t="s">
        <v>44</v>
      </c>
      <c r="J466" s="3">
        <v>0.18179999999999999</v>
      </c>
      <c r="K466" s="3">
        <v>0.51</v>
      </c>
      <c r="L466" s="3">
        <v>0.35820000000000002</v>
      </c>
      <c r="M466">
        <v>7</v>
      </c>
      <c r="N466">
        <v>159</v>
      </c>
      <c r="O466">
        <v>166</v>
      </c>
    </row>
    <row r="467" spans="1:15" x14ac:dyDescent="0.3">
      <c r="A467">
        <v>466</v>
      </c>
      <c r="B467" s="1">
        <v>40564</v>
      </c>
      <c r="C467">
        <v>10</v>
      </c>
      <c r="D467" s="2" t="s">
        <v>43</v>
      </c>
      <c r="E467" t="s">
        <v>26</v>
      </c>
      <c r="F467" s="2" t="s">
        <v>36</v>
      </c>
      <c r="G467" t="s">
        <v>28</v>
      </c>
      <c r="H467" s="3">
        <v>0.2</v>
      </c>
      <c r="I467" s="2" t="s">
        <v>44</v>
      </c>
      <c r="J467" s="3">
        <v>0.16669999999999999</v>
      </c>
      <c r="K467" s="3">
        <v>0.47</v>
      </c>
      <c r="L467" s="3">
        <v>0.4627</v>
      </c>
      <c r="M467">
        <v>6</v>
      </c>
      <c r="N467">
        <v>57</v>
      </c>
      <c r="O467">
        <v>63</v>
      </c>
    </row>
    <row r="468" spans="1:15" x14ac:dyDescent="0.3">
      <c r="A468">
        <v>467</v>
      </c>
      <c r="B468" s="1">
        <v>40564</v>
      </c>
      <c r="C468">
        <v>11</v>
      </c>
      <c r="D468" s="2" t="s">
        <v>43</v>
      </c>
      <c r="E468" t="s">
        <v>26</v>
      </c>
      <c r="F468" s="2" t="s">
        <v>36</v>
      </c>
      <c r="G468" t="s">
        <v>28</v>
      </c>
      <c r="H468" s="3">
        <v>0.22</v>
      </c>
      <c r="I468" s="2" t="s">
        <v>42</v>
      </c>
      <c r="J468" s="3">
        <v>0.18179999999999999</v>
      </c>
      <c r="K468" s="3">
        <v>0.41</v>
      </c>
      <c r="L468" s="3">
        <v>0.4627</v>
      </c>
      <c r="M468">
        <v>6</v>
      </c>
      <c r="N468">
        <v>53</v>
      </c>
      <c r="O468">
        <v>59</v>
      </c>
    </row>
    <row r="469" spans="1:15" hidden="1" x14ac:dyDescent="0.3">
      <c r="A469">
        <v>468</v>
      </c>
      <c r="B469" s="1">
        <v>40564</v>
      </c>
      <c r="C469">
        <v>12</v>
      </c>
      <c r="D469" s="2" t="s">
        <v>45</v>
      </c>
      <c r="E469" t="s">
        <v>26</v>
      </c>
      <c r="F469" s="2" t="s">
        <v>36</v>
      </c>
      <c r="G469" t="s">
        <v>28</v>
      </c>
      <c r="H469" s="3">
        <v>0.22</v>
      </c>
      <c r="I469" s="2" t="s">
        <v>42</v>
      </c>
      <c r="J469" s="3">
        <v>0.18179999999999999</v>
      </c>
      <c r="K469" s="3">
        <v>0.27</v>
      </c>
      <c r="L469" s="3">
        <v>0.58209999999999995</v>
      </c>
      <c r="M469">
        <v>11</v>
      </c>
      <c r="N469">
        <v>67</v>
      </c>
      <c r="O469">
        <v>78</v>
      </c>
    </row>
    <row r="470" spans="1:15" hidden="1" x14ac:dyDescent="0.3">
      <c r="A470">
        <v>469</v>
      </c>
      <c r="B470" s="1">
        <v>40564</v>
      </c>
      <c r="C470">
        <v>13</v>
      </c>
      <c r="D470" s="2" t="s">
        <v>45</v>
      </c>
      <c r="E470" t="s">
        <v>26</v>
      </c>
      <c r="F470" s="2" t="s">
        <v>36</v>
      </c>
      <c r="G470" t="s">
        <v>28</v>
      </c>
      <c r="H470" s="3">
        <v>0.2</v>
      </c>
      <c r="I470" s="2" t="s">
        <v>44</v>
      </c>
      <c r="J470" s="3">
        <v>0.1515</v>
      </c>
      <c r="K470" s="3">
        <v>0.21</v>
      </c>
      <c r="L470" s="3">
        <v>0.58209999999999995</v>
      </c>
      <c r="M470">
        <v>8</v>
      </c>
      <c r="N470">
        <v>65</v>
      </c>
      <c r="O470">
        <v>73</v>
      </c>
    </row>
    <row r="471" spans="1:15" hidden="1" x14ac:dyDescent="0.3">
      <c r="A471">
        <v>470</v>
      </c>
      <c r="B471" s="1">
        <v>40564</v>
      </c>
      <c r="C471">
        <v>14</v>
      </c>
      <c r="D471" s="2" t="s">
        <v>45</v>
      </c>
      <c r="E471" t="s">
        <v>26</v>
      </c>
      <c r="F471" s="2" t="s">
        <v>36</v>
      </c>
      <c r="G471" t="s">
        <v>28</v>
      </c>
      <c r="H471" s="3">
        <v>0.2</v>
      </c>
      <c r="I471" s="2" t="s">
        <v>44</v>
      </c>
      <c r="J471" s="3">
        <v>0.1515</v>
      </c>
      <c r="K471" s="3">
        <v>0.25</v>
      </c>
      <c r="L471" s="3">
        <v>0.52239999999999998</v>
      </c>
      <c r="M471">
        <v>6</v>
      </c>
      <c r="N471">
        <v>56</v>
      </c>
      <c r="O471">
        <v>62</v>
      </c>
    </row>
    <row r="472" spans="1:15" hidden="1" x14ac:dyDescent="0.3">
      <c r="A472">
        <v>471</v>
      </c>
      <c r="B472" s="1">
        <v>40564</v>
      </c>
      <c r="C472">
        <v>15</v>
      </c>
      <c r="D472" s="2" t="s">
        <v>45</v>
      </c>
      <c r="E472" t="s">
        <v>26</v>
      </c>
      <c r="F472" s="2" t="s">
        <v>36</v>
      </c>
      <c r="G472" t="s">
        <v>28</v>
      </c>
      <c r="H472" s="3">
        <v>0.16</v>
      </c>
      <c r="I472" s="2" t="s">
        <v>44</v>
      </c>
      <c r="J472" s="3">
        <v>0.1212</v>
      </c>
      <c r="K472" s="3">
        <v>0.26</v>
      </c>
      <c r="L472" s="3">
        <v>0.44779999999999998</v>
      </c>
      <c r="M472">
        <v>4</v>
      </c>
      <c r="N472">
        <v>61</v>
      </c>
      <c r="O472">
        <v>65</v>
      </c>
    </row>
    <row r="473" spans="1:15" hidden="1" x14ac:dyDescent="0.3">
      <c r="A473">
        <v>472</v>
      </c>
      <c r="B473" s="1">
        <v>40564</v>
      </c>
      <c r="C473">
        <v>16</v>
      </c>
      <c r="D473" s="2" t="s">
        <v>45</v>
      </c>
      <c r="E473" t="s">
        <v>26</v>
      </c>
      <c r="F473" s="2" t="s">
        <v>36</v>
      </c>
      <c r="G473" t="s">
        <v>28</v>
      </c>
      <c r="H473" s="3">
        <v>0.16</v>
      </c>
      <c r="I473" s="2" t="s">
        <v>44</v>
      </c>
      <c r="J473" s="3">
        <v>0.13639999999999999</v>
      </c>
      <c r="K473" s="3">
        <v>0.26</v>
      </c>
      <c r="L473" s="3">
        <v>0.35820000000000002</v>
      </c>
      <c r="M473">
        <v>0</v>
      </c>
      <c r="N473">
        <v>97</v>
      </c>
      <c r="O473">
        <v>97</v>
      </c>
    </row>
    <row r="474" spans="1:15" hidden="1" x14ac:dyDescent="0.3">
      <c r="A474">
        <v>473</v>
      </c>
      <c r="B474" s="1">
        <v>40564</v>
      </c>
      <c r="C474">
        <v>17</v>
      </c>
      <c r="D474" s="2" t="s">
        <v>47</v>
      </c>
      <c r="E474" t="s">
        <v>26</v>
      </c>
      <c r="F474" s="2" t="s">
        <v>36</v>
      </c>
      <c r="G474" t="s">
        <v>28</v>
      </c>
      <c r="H474" s="3">
        <v>0.14000000000000001</v>
      </c>
      <c r="I474" s="2" t="s">
        <v>44</v>
      </c>
      <c r="J474" s="3">
        <v>0.1212</v>
      </c>
      <c r="K474" s="3">
        <v>0.28000000000000003</v>
      </c>
      <c r="L474" s="3">
        <v>0.35820000000000002</v>
      </c>
      <c r="M474">
        <v>10</v>
      </c>
      <c r="N474">
        <v>151</v>
      </c>
      <c r="O474">
        <v>161</v>
      </c>
    </row>
    <row r="475" spans="1:15" hidden="1" x14ac:dyDescent="0.3">
      <c r="A475">
        <v>474</v>
      </c>
      <c r="B475" s="1">
        <v>40564</v>
      </c>
      <c r="C475">
        <v>18</v>
      </c>
      <c r="D475" s="2" t="s">
        <v>47</v>
      </c>
      <c r="E475" t="s">
        <v>26</v>
      </c>
      <c r="F475" s="2" t="s">
        <v>36</v>
      </c>
      <c r="G475" t="s">
        <v>28</v>
      </c>
      <c r="H475" s="3">
        <v>0.12</v>
      </c>
      <c r="I475" s="2" t="s">
        <v>44</v>
      </c>
      <c r="J475" s="3">
        <v>0.1212</v>
      </c>
      <c r="K475" s="3">
        <v>0.3</v>
      </c>
      <c r="L475" s="3">
        <v>0.25369999999999998</v>
      </c>
      <c r="M475">
        <v>1</v>
      </c>
      <c r="N475">
        <v>119</v>
      </c>
      <c r="O475">
        <v>120</v>
      </c>
    </row>
    <row r="476" spans="1:15" hidden="1" x14ac:dyDescent="0.3">
      <c r="A476">
        <v>475</v>
      </c>
      <c r="B476" s="1">
        <v>40564</v>
      </c>
      <c r="C476">
        <v>19</v>
      </c>
      <c r="D476" s="2" t="s">
        <v>47</v>
      </c>
      <c r="E476" t="s">
        <v>26</v>
      </c>
      <c r="F476" s="2" t="s">
        <v>36</v>
      </c>
      <c r="G476" t="s">
        <v>28</v>
      </c>
      <c r="H476" s="3">
        <v>0.12</v>
      </c>
      <c r="I476" s="2" t="s">
        <v>44</v>
      </c>
      <c r="J476" s="3">
        <v>0.1061</v>
      </c>
      <c r="K476" s="3">
        <v>0.3</v>
      </c>
      <c r="L476" s="3">
        <v>0.32840000000000003</v>
      </c>
      <c r="M476">
        <v>3</v>
      </c>
      <c r="N476">
        <v>93</v>
      </c>
      <c r="O476">
        <v>96</v>
      </c>
    </row>
    <row r="477" spans="1:15" hidden="1" x14ac:dyDescent="0.3">
      <c r="A477">
        <v>476</v>
      </c>
      <c r="B477" s="1">
        <v>40564</v>
      </c>
      <c r="C477">
        <v>20</v>
      </c>
      <c r="D477" s="2" t="s">
        <v>47</v>
      </c>
      <c r="E477" t="s">
        <v>26</v>
      </c>
      <c r="F477" s="2" t="s">
        <v>36</v>
      </c>
      <c r="G477" t="s">
        <v>28</v>
      </c>
      <c r="H477" s="3">
        <v>0.1</v>
      </c>
      <c r="I477" s="2" t="s">
        <v>44</v>
      </c>
      <c r="J477" s="3">
        <v>7.5800000000000006E-2</v>
      </c>
      <c r="K477" s="3">
        <v>0.33</v>
      </c>
      <c r="L477" s="3">
        <v>0.41789999999999999</v>
      </c>
      <c r="M477">
        <v>1</v>
      </c>
      <c r="N477">
        <v>52</v>
      </c>
      <c r="O477">
        <v>53</v>
      </c>
    </row>
    <row r="478" spans="1:15" hidden="1" x14ac:dyDescent="0.3">
      <c r="A478">
        <v>477</v>
      </c>
      <c r="B478" s="1">
        <v>40564</v>
      </c>
      <c r="C478">
        <v>21</v>
      </c>
      <c r="D478" s="2" t="s">
        <v>41</v>
      </c>
      <c r="E478" t="s">
        <v>26</v>
      </c>
      <c r="F478" s="2" t="s">
        <v>36</v>
      </c>
      <c r="G478" t="s">
        <v>28</v>
      </c>
      <c r="H478" s="3">
        <v>0.08</v>
      </c>
      <c r="I478" s="2" t="s">
        <v>44</v>
      </c>
      <c r="J478" s="3">
        <v>7.5800000000000006E-2</v>
      </c>
      <c r="K478" s="3">
        <v>0.38</v>
      </c>
      <c r="L478" s="3">
        <v>0.28360000000000002</v>
      </c>
      <c r="M478">
        <v>0</v>
      </c>
      <c r="N478">
        <v>41</v>
      </c>
      <c r="O478">
        <v>41</v>
      </c>
    </row>
    <row r="479" spans="1:15" hidden="1" x14ac:dyDescent="0.3">
      <c r="A479">
        <v>478</v>
      </c>
      <c r="B479" s="1">
        <v>40564</v>
      </c>
      <c r="C479">
        <v>22</v>
      </c>
      <c r="D479" s="2" t="s">
        <v>41</v>
      </c>
      <c r="E479" t="s">
        <v>26</v>
      </c>
      <c r="F479" s="2" t="s">
        <v>36</v>
      </c>
      <c r="G479" t="s">
        <v>28</v>
      </c>
      <c r="H479" s="3">
        <v>0.06</v>
      </c>
      <c r="I479" s="2" t="s">
        <v>44</v>
      </c>
      <c r="J479" s="3">
        <v>3.0300000000000001E-2</v>
      </c>
      <c r="K479" s="3">
        <v>0.41</v>
      </c>
      <c r="L479" s="3">
        <v>0.3881</v>
      </c>
      <c r="M479">
        <v>1</v>
      </c>
      <c r="N479">
        <v>33</v>
      </c>
      <c r="O479">
        <v>34</v>
      </c>
    </row>
    <row r="480" spans="1:15" hidden="1" x14ac:dyDescent="0.3">
      <c r="A480">
        <v>479</v>
      </c>
      <c r="B480" s="1">
        <v>40564</v>
      </c>
      <c r="C480">
        <v>23</v>
      </c>
      <c r="D480" s="2" t="s">
        <v>41</v>
      </c>
      <c r="E480" t="s">
        <v>26</v>
      </c>
      <c r="F480" s="2" t="s">
        <v>36</v>
      </c>
      <c r="G480" t="s">
        <v>28</v>
      </c>
      <c r="H480" s="3">
        <v>0.06</v>
      </c>
      <c r="I480" s="2" t="s">
        <v>44</v>
      </c>
      <c r="J480" s="3">
        <v>4.5499999999999999E-2</v>
      </c>
      <c r="K480" s="3">
        <v>0.38</v>
      </c>
      <c r="L480" s="3">
        <v>0.32840000000000003</v>
      </c>
      <c r="M480">
        <v>0</v>
      </c>
      <c r="N480">
        <v>27</v>
      </c>
      <c r="O480">
        <v>27</v>
      </c>
    </row>
    <row r="481" spans="1:15" hidden="1" x14ac:dyDescent="0.3">
      <c r="A481">
        <v>480</v>
      </c>
      <c r="B481" s="1">
        <v>40565</v>
      </c>
      <c r="C481">
        <v>0</v>
      </c>
      <c r="D481" s="2" t="s">
        <v>41</v>
      </c>
      <c r="E481" t="s">
        <v>26</v>
      </c>
      <c r="F481" s="2" t="s">
        <v>27</v>
      </c>
      <c r="G481" t="s">
        <v>28</v>
      </c>
      <c r="H481" s="3">
        <v>0.04</v>
      </c>
      <c r="I481" s="2" t="s">
        <v>44</v>
      </c>
      <c r="J481" s="3">
        <v>3.0300000000000001E-2</v>
      </c>
      <c r="K481" s="3">
        <v>0.45</v>
      </c>
      <c r="L481" s="3">
        <v>0.25369999999999998</v>
      </c>
      <c r="M481">
        <v>0</v>
      </c>
      <c r="N481">
        <v>13</v>
      </c>
      <c r="O481">
        <v>13</v>
      </c>
    </row>
    <row r="482" spans="1:15" hidden="1" x14ac:dyDescent="0.3">
      <c r="A482">
        <v>481</v>
      </c>
      <c r="B482" s="1">
        <v>40565</v>
      </c>
      <c r="C482">
        <v>1</v>
      </c>
      <c r="D482" s="2" t="s">
        <v>41</v>
      </c>
      <c r="E482" t="s">
        <v>26</v>
      </c>
      <c r="F482" s="2" t="s">
        <v>27</v>
      </c>
      <c r="G482" t="s">
        <v>29</v>
      </c>
      <c r="H482" s="3">
        <v>0.04</v>
      </c>
      <c r="I482" s="2" t="s">
        <v>44</v>
      </c>
      <c r="J482" s="3">
        <v>0</v>
      </c>
      <c r="K482" s="3">
        <v>0.41</v>
      </c>
      <c r="L482" s="3">
        <v>0.3881</v>
      </c>
      <c r="M482">
        <v>3</v>
      </c>
      <c r="N482">
        <v>9</v>
      </c>
      <c r="O482">
        <v>12</v>
      </c>
    </row>
    <row r="483" spans="1:15" hidden="1" x14ac:dyDescent="0.3">
      <c r="A483">
        <v>482</v>
      </c>
      <c r="B483" s="1">
        <v>40565</v>
      </c>
      <c r="C483">
        <v>2</v>
      </c>
      <c r="D483" s="2" t="s">
        <v>41</v>
      </c>
      <c r="E483" t="s">
        <v>26</v>
      </c>
      <c r="F483" s="2" t="s">
        <v>27</v>
      </c>
      <c r="G483" t="s">
        <v>29</v>
      </c>
      <c r="H483" s="3">
        <v>0.04</v>
      </c>
      <c r="I483" s="2" t="s">
        <v>44</v>
      </c>
      <c r="J483" s="3">
        <v>3.0300000000000001E-2</v>
      </c>
      <c r="K483" s="3">
        <v>0.41</v>
      </c>
      <c r="L483" s="3">
        <v>0.25369999999999998</v>
      </c>
      <c r="M483">
        <v>0</v>
      </c>
      <c r="N483">
        <v>11</v>
      </c>
      <c r="O483">
        <v>11</v>
      </c>
    </row>
    <row r="484" spans="1:15" hidden="1" x14ac:dyDescent="0.3">
      <c r="A484">
        <v>483</v>
      </c>
      <c r="B484" s="1">
        <v>40565</v>
      </c>
      <c r="C484">
        <v>3</v>
      </c>
      <c r="D484" s="2" t="s">
        <v>41</v>
      </c>
      <c r="E484" t="s">
        <v>26</v>
      </c>
      <c r="F484" s="2" t="s">
        <v>27</v>
      </c>
      <c r="G484" t="s">
        <v>29</v>
      </c>
      <c r="H484" s="3">
        <v>0.04</v>
      </c>
      <c r="I484" s="2" t="s">
        <v>44</v>
      </c>
      <c r="J484" s="3">
        <v>3.0300000000000001E-2</v>
      </c>
      <c r="K484" s="3">
        <v>0.41</v>
      </c>
      <c r="L484" s="3">
        <v>0.28360000000000002</v>
      </c>
      <c r="M484">
        <v>1</v>
      </c>
      <c r="N484">
        <v>6</v>
      </c>
      <c r="O484">
        <v>7</v>
      </c>
    </row>
    <row r="485" spans="1:15" hidden="1" x14ac:dyDescent="0.3">
      <c r="A485">
        <v>484</v>
      </c>
      <c r="B485" s="1">
        <v>40565</v>
      </c>
      <c r="C485">
        <v>4</v>
      </c>
      <c r="D485" s="2" t="s">
        <v>41</v>
      </c>
      <c r="E485" t="s">
        <v>26</v>
      </c>
      <c r="F485" s="2" t="s">
        <v>27</v>
      </c>
      <c r="G485" t="s">
        <v>29</v>
      </c>
      <c r="H485" s="3">
        <v>0.02</v>
      </c>
      <c r="I485" s="2" t="s">
        <v>44</v>
      </c>
      <c r="J485" s="3">
        <v>1.52E-2</v>
      </c>
      <c r="K485" s="3">
        <v>0.48</v>
      </c>
      <c r="L485" s="3">
        <v>0.29849999999999999</v>
      </c>
      <c r="M485">
        <v>0</v>
      </c>
      <c r="N485">
        <v>3</v>
      </c>
      <c r="O485">
        <v>3</v>
      </c>
    </row>
    <row r="486" spans="1:15" x14ac:dyDescent="0.3">
      <c r="A486">
        <v>485</v>
      </c>
      <c r="B486" s="1">
        <v>40565</v>
      </c>
      <c r="C486">
        <v>6</v>
      </c>
      <c r="D486" s="2" t="s">
        <v>43</v>
      </c>
      <c r="E486" t="s">
        <v>26</v>
      </c>
      <c r="F486" s="2" t="s">
        <v>27</v>
      </c>
      <c r="G486" t="s">
        <v>29</v>
      </c>
      <c r="H486" s="3">
        <v>0.02</v>
      </c>
      <c r="I486" s="2" t="s">
        <v>44</v>
      </c>
      <c r="J486" s="3">
        <v>3.0300000000000001E-2</v>
      </c>
      <c r="K486" s="3">
        <v>0.44</v>
      </c>
      <c r="L486" s="3">
        <v>0.22389999999999999</v>
      </c>
      <c r="M486">
        <v>0</v>
      </c>
      <c r="N486">
        <v>2</v>
      </c>
      <c r="O486">
        <v>2</v>
      </c>
    </row>
    <row r="487" spans="1:15" x14ac:dyDescent="0.3">
      <c r="A487">
        <v>486</v>
      </c>
      <c r="B487" s="1">
        <v>40565</v>
      </c>
      <c r="C487">
        <v>7</v>
      </c>
      <c r="D487" s="2" t="s">
        <v>43</v>
      </c>
      <c r="E487" t="s">
        <v>26</v>
      </c>
      <c r="F487" s="2" t="s">
        <v>27</v>
      </c>
      <c r="G487" t="s">
        <v>28</v>
      </c>
      <c r="H487" s="3">
        <v>0.02</v>
      </c>
      <c r="I487" s="2" t="s">
        <v>44</v>
      </c>
      <c r="J487" s="3">
        <v>1.52E-2</v>
      </c>
      <c r="K487" s="3">
        <v>0.44</v>
      </c>
      <c r="L487" s="3">
        <v>0.28360000000000002</v>
      </c>
      <c r="M487">
        <v>0</v>
      </c>
      <c r="N487">
        <v>8</v>
      </c>
      <c r="O487">
        <v>8</v>
      </c>
    </row>
    <row r="488" spans="1:15" x14ac:dyDescent="0.3">
      <c r="A488">
        <v>487</v>
      </c>
      <c r="B488" s="1">
        <v>40565</v>
      </c>
      <c r="C488">
        <v>8</v>
      </c>
      <c r="D488" s="2" t="s">
        <v>43</v>
      </c>
      <c r="E488" t="s">
        <v>26</v>
      </c>
      <c r="F488" s="2" t="s">
        <v>27</v>
      </c>
      <c r="G488" t="s">
        <v>28</v>
      </c>
      <c r="H488" s="3">
        <v>0.02</v>
      </c>
      <c r="I488" s="2" t="s">
        <v>44</v>
      </c>
      <c r="J488" s="3">
        <v>0</v>
      </c>
      <c r="K488" s="3">
        <v>0.44</v>
      </c>
      <c r="L488" s="3">
        <v>0.32840000000000003</v>
      </c>
      <c r="M488">
        <v>1</v>
      </c>
      <c r="N488">
        <v>26</v>
      </c>
      <c r="O488">
        <v>27</v>
      </c>
    </row>
    <row r="489" spans="1:15" x14ac:dyDescent="0.3">
      <c r="A489">
        <v>488</v>
      </c>
      <c r="B489" s="1">
        <v>40565</v>
      </c>
      <c r="C489">
        <v>9</v>
      </c>
      <c r="D489" s="2" t="s">
        <v>43</v>
      </c>
      <c r="E489" t="s">
        <v>26</v>
      </c>
      <c r="F489" s="2" t="s">
        <v>27</v>
      </c>
      <c r="G489" t="s">
        <v>28</v>
      </c>
      <c r="H489" s="3">
        <v>0.04</v>
      </c>
      <c r="I489" s="2" t="s">
        <v>44</v>
      </c>
      <c r="J489" s="3">
        <v>3.0300000000000001E-2</v>
      </c>
      <c r="K489" s="3">
        <v>0.41</v>
      </c>
      <c r="L489" s="3">
        <v>0.25369999999999998</v>
      </c>
      <c r="M489">
        <v>3</v>
      </c>
      <c r="N489">
        <v>37</v>
      </c>
      <c r="O489">
        <v>40</v>
      </c>
    </row>
    <row r="490" spans="1:15" x14ac:dyDescent="0.3">
      <c r="A490">
        <v>489</v>
      </c>
      <c r="B490" s="1">
        <v>40565</v>
      </c>
      <c r="C490">
        <v>10</v>
      </c>
      <c r="D490" s="2" t="s">
        <v>43</v>
      </c>
      <c r="E490" t="s">
        <v>26</v>
      </c>
      <c r="F490" s="2" t="s">
        <v>27</v>
      </c>
      <c r="G490" t="s">
        <v>29</v>
      </c>
      <c r="H490" s="3">
        <v>0.04</v>
      </c>
      <c r="I490" s="2" t="s">
        <v>44</v>
      </c>
      <c r="J490" s="3">
        <v>6.0600000000000001E-2</v>
      </c>
      <c r="K490" s="3">
        <v>0.41</v>
      </c>
      <c r="L490" s="3">
        <v>0.16420000000000001</v>
      </c>
      <c r="M490">
        <v>3</v>
      </c>
      <c r="N490">
        <v>50</v>
      </c>
      <c r="O490">
        <v>53</v>
      </c>
    </row>
    <row r="491" spans="1:15" x14ac:dyDescent="0.3">
      <c r="A491">
        <v>490</v>
      </c>
      <c r="B491" s="1">
        <v>40565</v>
      </c>
      <c r="C491">
        <v>11</v>
      </c>
      <c r="D491" s="2" t="s">
        <v>43</v>
      </c>
      <c r="E491" t="s">
        <v>26</v>
      </c>
      <c r="F491" s="2" t="s">
        <v>27</v>
      </c>
      <c r="G491" t="s">
        <v>29</v>
      </c>
      <c r="H491" s="3">
        <v>0.06</v>
      </c>
      <c r="I491" s="2" t="s">
        <v>44</v>
      </c>
      <c r="J491" s="3">
        <v>7.5800000000000006E-2</v>
      </c>
      <c r="K491" s="3">
        <v>0.38</v>
      </c>
      <c r="L491" s="3">
        <v>0.1343</v>
      </c>
      <c r="M491">
        <v>4</v>
      </c>
      <c r="N491">
        <v>59</v>
      </c>
      <c r="O491">
        <v>63</v>
      </c>
    </row>
    <row r="492" spans="1:15" hidden="1" x14ac:dyDescent="0.3">
      <c r="A492">
        <v>491</v>
      </c>
      <c r="B492" s="1">
        <v>40565</v>
      </c>
      <c r="C492">
        <v>12</v>
      </c>
      <c r="D492" s="2" t="s">
        <v>45</v>
      </c>
      <c r="E492" t="s">
        <v>26</v>
      </c>
      <c r="F492" s="2" t="s">
        <v>27</v>
      </c>
      <c r="G492" t="s">
        <v>29</v>
      </c>
      <c r="H492" s="3">
        <v>0.06</v>
      </c>
      <c r="I492" s="2" t="s">
        <v>44</v>
      </c>
      <c r="J492" s="3">
        <v>0.1061</v>
      </c>
      <c r="K492" s="3">
        <v>0.38</v>
      </c>
      <c r="L492" s="3">
        <v>0.1045</v>
      </c>
      <c r="M492">
        <v>10</v>
      </c>
      <c r="N492">
        <v>60</v>
      </c>
      <c r="O492">
        <v>70</v>
      </c>
    </row>
    <row r="493" spans="1:15" hidden="1" x14ac:dyDescent="0.3">
      <c r="A493">
        <v>492</v>
      </c>
      <c r="B493" s="1">
        <v>40565</v>
      </c>
      <c r="C493">
        <v>13</v>
      </c>
      <c r="D493" s="2" t="s">
        <v>45</v>
      </c>
      <c r="E493" t="s">
        <v>26</v>
      </c>
      <c r="F493" s="2" t="s">
        <v>27</v>
      </c>
      <c r="G493" t="s">
        <v>28</v>
      </c>
      <c r="H493" s="3">
        <v>0.08</v>
      </c>
      <c r="I493" s="2" t="s">
        <v>44</v>
      </c>
      <c r="J493" s="3">
        <v>0.16669999999999999</v>
      </c>
      <c r="K493" s="3">
        <v>0.35</v>
      </c>
      <c r="L493" s="3">
        <v>0</v>
      </c>
      <c r="M493">
        <v>12</v>
      </c>
      <c r="N493">
        <v>72</v>
      </c>
      <c r="O493">
        <v>84</v>
      </c>
    </row>
    <row r="494" spans="1:15" hidden="1" x14ac:dyDescent="0.3">
      <c r="A494">
        <v>493</v>
      </c>
      <c r="B494" s="1">
        <v>40565</v>
      </c>
      <c r="C494">
        <v>14</v>
      </c>
      <c r="D494" s="2" t="s">
        <v>45</v>
      </c>
      <c r="E494" t="s">
        <v>26</v>
      </c>
      <c r="F494" s="2" t="s">
        <v>27</v>
      </c>
      <c r="G494" t="s">
        <v>28</v>
      </c>
      <c r="H494" s="3">
        <v>0.1</v>
      </c>
      <c r="I494" s="2" t="s">
        <v>44</v>
      </c>
      <c r="J494" s="3">
        <v>0.13639999999999999</v>
      </c>
      <c r="K494" s="3">
        <v>0.33</v>
      </c>
      <c r="L494" s="3">
        <v>0.1045</v>
      </c>
      <c r="M494">
        <v>11</v>
      </c>
      <c r="N494">
        <v>64</v>
      </c>
      <c r="O494">
        <v>75</v>
      </c>
    </row>
    <row r="495" spans="1:15" hidden="1" x14ac:dyDescent="0.3">
      <c r="A495">
        <v>494</v>
      </c>
      <c r="B495" s="1">
        <v>40565</v>
      </c>
      <c r="C495">
        <v>15</v>
      </c>
      <c r="D495" s="2" t="s">
        <v>45</v>
      </c>
      <c r="E495" t="s">
        <v>26</v>
      </c>
      <c r="F495" s="2" t="s">
        <v>27</v>
      </c>
      <c r="G495" t="s">
        <v>28</v>
      </c>
      <c r="H495" s="3">
        <v>0.12</v>
      </c>
      <c r="I495" s="2" t="s">
        <v>44</v>
      </c>
      <c r="J495" s="3">
        <v>0.1515</v>
      </c>
      <c r="K495" s="3">
        <v>0.28000000000000003</v>
      </c>
      <c r="L495" s="3">
        <v>0</v>
      </c>
      <c r="M495">
        <v>10</v>
      </c>
      <c r="N495">
        <v>93</v>
      </c>
      <c r="O495">
        <v>103</v>
      </c>
    </row>
    <row r="496" spans="1:15" hidden="1" x14ac:dyDescent="0.3">
      <c r="A496">
        <v>495</v>
      </c>
      <c r="B496" s="1">
        <v>40565</v>
      </c>
      <c r="C496">
        <v>16</v>
      </c>
      <c r="D496" s="2" t="s">
        <v>45</v>
      </c>
      <c r="E496" t="s">
        <v>26</v>
      </c>
      <c r="F496" s="2" t="s">
        <v>27</v>
      </c>
      <c r="G496" t="s">
        <v>28</v>
      </c>
      <c r="H496" s="3">
        <v>0.12</v>
      </c>
      <c r="I496" s="2" t="s">
        <v>44</v>
      </c>
      <c r="J496" s="3">
        <v>0.13639999999999999</v>
      </c>
      <c r="K496" s="3">
        <v>0.28000000000000003</v>
      </c>
      <c r="L496" s="3">
        <v>0.19400000000000001</v>
      </c>
      <c r="M496">
        <v>11</v>
      </c>
      <c r="N496">
        <v>72</v>
      </c>
      <c r="O496">
        <v>83</v>
      </c>
    </row>
    <row r="497" spans="1:15" hidden="1" x14ac:dyDescent="0.3">
      <c r="A497">
        <v>496</v>
      </c>
      <c r="B497" s="1">
        <v>40565</v>
      </c>
      <c r="C497">
        <v>17</v>
      </c>
      <c r="D497" s="2" t="s">
        <v>47</v>
      </c>
      <c r="E497" t="s">
        <v>26</v>
      </c>
      <c r="F497" s="2" t="s">
        <v>27</v>
      </c>
      <c r="G497" t="s">
        <v>28</v>
      </c>
      <c r="H497" s="3">
        <v>0.12</v>
      </c>
      <c r="I497" s="2" t="s">
        <v>44</v>
      </c>
      <c r="J497" s="3">
        <v>0.19700000000000001</v>
      </c>
      <c r="K497" s="3">
        <v>0.28000000000000003</v>
      </c>
      <c r="L497" s="3">
        <v>0</v>
      </c>
      <c r="M497">
        <v>8</v>
      </c>
      <c r="N497">
        <v>59</v>
      </c>
      <c r="O497">
        <v>67</v>
      </c>
    </row>
    <row r="498" spans="1:15" hidden="1" x14ac:dyDescent="0.3">
      <c r="A498">
        <v>497</v>
      </c>
      <c r="B498" s="1">
        <v>40565</v>
      </c>
      <c r="C498">
        <v>18</v>
      </c>
      <c r="D498" s="2" t="s">
        <v>47</v>
      </c>
      <c r="E498" t="s">
        <v>26</v>
      </c>
      <c r="F498" s="2" t="s">
        <v>27</v>
      </c>
      <c r="G498" t="s">
        <v>28</v>
      </c>
      <c r="H498" s="3">
        <v>0.08</v>
      </c>
      <c r="I498" s="2" t="s">
        <v>44</v>
      </c>
      <c r="J498" s="3">
        <v>9.0899999999999995E-2</v>
      </c>
      <c r="K498" s="3">
        <v>0.35</v>
      </c>
      <c r="L498" s="3">
        <v>0.19400000000000001</v>
      </c>
      <c r="M498">
        <v>0</v>
      </c>
      <c r="N498">
        <v>54</v>
      </c>
      <c r="O498">
        <v>54</v>
      </c>
    </row>
    <row r="499" spans="1:15" hidden="1" x14ac:dyDescent="0.3">
      <c r="A499">
        <v>498</v>
      </c>
      <c r="B499" s="1">
        <v>40565</v>
      </c>
      <c r="C499">
        <v>19</v>
      </c>
      <c r="D499" s="2" t="s">
        <v>47</v>
      </c>
      <c r="E499" t="s">
        <v>26</v>
      </c>
      <c r="F499" s="2" t="s">
        <v>27</v>
      </c>
      <c r="G499" t="s">
        <v>28</v>
      </c>
      <c r="H499" s="3">
        <v>0.08</v>
      </c>
      <c r="I499" s="2" t="s">
        <v>44</v>
      </c>
      <c r="J499" s="3">
        <v>0.1061</v>
      </c>
      <c r="K499" s="3">
        <v>0.35</v>
      </c>
      <c r="L499" s="3">
        <v>0.1343</v>
      </c>
      <c r="M499">
        <v>6</v>
      </c>
      <c r="N499">
        <v>53</v>
      </c>
      <c r="O499">
        <v>59</v>
      </c>
    </row>
    <row r="500" spans="1:15" hidden="1" x14ac:dyDescent="0.3">
      <c r="A500">
        <v>499</v>
      </c>
      <c r="B500" s="1">
        <v>40565</v>
      </c>
      <c r="C500">
        <v>20</v>
      </c>
      <c r="D500" s="2" t="s">
        <v>47</v>
      </c>
      <c r="E500" t="s">
        <v>26</v>
      </c>
      <c r="F500" s="2" t="s">
        <v>27</v>
      </c>
      <c r="G500" t="s">
        <v>28</v>
      </c>
      <c r="H500" s="3">
        <v>0.06</v>
      </c>
      <c r="I500" s="2" t="s">
        <v>44</v>
      </c>
      <c r="J500" s="3">
        <v>7.5800000000000006E-2</v>
      </c>
      <c r="K500" s="3">
        <v>0.45</v>
      </c>
      <c r="L500" s="3">
        <v>0.16420000000000001</v>
      </c>
      <c r="M500">
        <v>1</v>
      </c>
      <c r="N500">
        <v>44</v>
      </c>
      <c r="O500">
        <v>45</v>
      </c>
    </row>
    <row r="501" spans="1:15" hidden="1" x14ac:dyDescent="0.3">
      <c r="A501">
        <v>500</v>
      </c>
      <c r="B501" s="1">
        <v>40565</v>
      </c>
      <c r="C501">
        <v>21</v>
      </c>
      <c r="D501" s="2" t="s">
        <v>41</v>
      </c>
      <c r="E501" t="s">
        <v>26</v>
      </c>
      <c r="F501" s="2" t="s">
        <v>27</v>
      </c>
      <c r="G501" t="s">
        <v>28</v>
      </c>
      <c r="H501" s="3">
        <v>0.06</v>
      </c>
      <c r="I501" s="2" t="s">
        <v>44</v>
      </c>
      <c r="J501" s="3">
        <v>0.1061</v>
      </c>
      <c r="K501" s="3">
        <v>0.41</v>
      </c>
      <c r="L501" s="3">
        <v>8.9599999999999999E-2</v>
      </c>
      <c r="M501">
        <v>0</v>
      </c>
      <c r="N501">
        <v>39</v>
      </c>
      <c r="O501">
        <v>39</v>
      </c>
    </row>
    <row r="502" spans="1:15" hidden="1" x14ac:dyDescent="0.3">
      <c r="A502">
        <v>501</v>
      </c>
      <c r="B502" s="1">
        <v>40565</v>
      </c>
      <c r="C502">
        <v>22</v>
      </c>
      <c r="D502" s="2" t="s">
        <v>41</v>
      </c>
      <c r="E502" t="s">
        <v>26</v>
      </c>
      <c r="F502" s="2" t="s">
        <v>27</v>
      </c>
      <c r="G502" t="s">
        <v>28</v>
      </c>
      <c r="H502" s="3">
        <v>0.06</v>
      </c>
      <c r="I502" s="2" t="s">
        <v>44</v>
      </c>
      <c r="J502" s="3">
        <v>0.1515</v>
      </c>
      <c r="K502" s="3">
        <v>0.49</v>
      </c>
      <c r="L502" s="3">
        <v>0</v>
      </c>
      <c r="M502">
        <v>7</v>
      </c>
      <c r="N502">
        <v>23</v>
      </c>
      <c r="O502">
        <v>30</v>
      </c>
    </row>
    <row r="503" spans="1:15" hidden="1" x14ac:dyDescent="0.3">
      <c r="A503">
        <v>502</v>
      </c>
      <c r="B503" s="1">
        <v>40565</v>
      </c>
      <c r="C503">
        <v>23</v>
      </c>
      <c r="D503" s="2" t="s">
        <v>41</v>
      </c>
      <c r="E503" t="s">
        <v>26</v>
      </c>
      <c r="F503" s="2" t="s">
        <v>27</v>
      </c>
      <c r="G503" t="s">
        <v>28</v>
      </c>
      <c r="H503" s="3">
        <v>0.04</v>
      </c>
      <c r="I503" s="2" t="s">
        <v>44</v>
      </c>
      <c r="J503" s="3">
        <v>7.5800000000000006E-2</v>
      </c>
      <c r="K503" s="3">
        <v>0.56999999999999995</v>
      </c>
      <c r="L503" s="3">
        <v>0.1045</v>
      </c>
      <c r="M503">
        <v>2</v>
      </c>
      <c r="N503">
        <v>31</v>
      </c>
      <c r="O503">
        <v>33</v>
      </c>
    </row>
    <row r="504" spans="1:15" hidden="1" x14ac:dyDescent="0.3">
      <c r="A504">
        <v>503</v>
      </c>
      <c r="B504" s="1">
        <v>40566</v>
      </c>
      <c r="C504">
        <v>0</v>
      </c>
      <c r="D504" s="2" t="s">
        <v>41</v>
      </c>
      <c r="E504" t="s">
        <v>26</v>
      </c>
      <c r="F504" s="2" t="s">
        <v>31</v>
      </c>
      <c r="G504" t="s">
        <v>28</v>
      </c>
      <c r="H504" s="3">
        <v>0.04</v>
      </c>
      <c r="I504" s="2" t="s">
        <v>44</v>
      </c>
      <c r="J504" s="3">
        <v>7.5800000000000006E-2</v>
      </c>
      <c r="K504" s="3">
        <v>0.56999999999999995</v>
      </c>
      <c r="L504" s="3">
        <v>0.1045</v>
      </c>
      <c r="M504">
        <v>2</v>
      </c>
      <c r="N504">
        <v>20</v>
      </c>
      <c r="O504">
        <v>22</v>
      </c>
    </row>
    <row r="505" spans="1:15" hidden="1" x14ac:dyDescent="0.3">
      <c r="A505">
        <v>504</v>
      </c>
      <c r="B505" s="1">
        <v>40566</v>
      </c>
      <c r="C505">
        <v>1</v>
      </c>
      <c r="D505" s="2" t="s">
        <v>41</v>
      </c>
      <c r="E505" t="s">
        <v>26</v>
      </c>
      <c r="F505" s="2" t="s">
        <v>31</v>
      </c>
      <c r="G505" t="s">
        <v>28</v>
      </c>
      <c r="H505" s="3">
        <v>0.04</v>
      </c>
      <c r="I505" s="2" t="s">
        <v>44</v>
      </c>
      <c r="J505" s="3">
        <v>7.5800000000000006E-2</v>
      </c>
      <c r="K505" s="3">
        <v>0.56999999999999995</v>
      </c>
      <c r="L505" s="3">
        <v>0.1045</v>
      </c>
      <c r="M505">
        <v>1</v>
      </c>
      <c r="N505">
        <v>12</v>
      </c>
      <c r="O505">
        <v>13</v>
      </c>
    </row>
    <row r="506" spans="1:15" hidden="1" x14ac:dyDescent="0.3">
      <c r="A506">
        <v>505</v>
      </c>
      <c r="B506" s="1">
        <v>40566</v>
      </c>
      <c r="C506">
        <v>2</v>
      </c>
      <c r="D506" s="2" t="s">
        <v>41</v>
      </c>
      <c r="E506" t="s">
        <v>26</v>
      </c>
      <c r="F506" s="2" t="s">
        <v>31</v>
      </c>
      <c r="G506" t="s">
        <v>28</v>
      </c>
      <c r="H506" s="3">
        <v>0.02</v>
      </c>
      <c r="I506" s="2" t="s">
        <v>44</v>
      </c>
      <c r="J506" s="3">
        <v>6.0600000000000001E-2</v>
      </c>
      <c r="K506" s="3">
        <v>0.62</v>
      </c>
      <c r="L506" s="3">
        <v>0.1343</v>
      </c>
      <c r="M506">
        <v>3</v>
      </c>
      <c r="N506">
        <v>15</v>
      </c>
      <c r="O506">
        <v>18</v>
      </c>
    </row>
    <row r="507" spans="1:15" hidden="1" x14ac:dyDescent="0.3">
      <c r="A507">
        <v>506</v>
      </c>
      <c r="B507" s="1">
        <v>40566</v>
      </c>
      <c r="C507">
        <v>3</v>
      </c>
      <c r="D507" s="2" t="s">
        <v>41</v>
      </c>
      <c r="E507" t="s">
        <v>26</v>
      </c>
      <c r="F507" s="2" t="s">
        <v>31</v>
      </c>
      <c r="G507" t="s">
        <v>28</v>
      </c>
      <c r="H507" s="3">
        <v>0.02</v>
      </c>
      <c r="I507" s="2" t="s">
        <v>44</v>
      </c>
      <c r="J507" s="3">
        <v>6.0600000000000001E-2</v>
      </c>
      <c r="K507" s="3">
        <v>0.62</v>
      </c>
      <c r="L507" s="3">
        <v>0.1343</v>
      </c>
      <c r="M507">
        <v>1</v>
      </c>
      <c r="N507">
        <v>4</v>
      </c>
      <c r="O507">
        <v>5</v>
      </c>
    </row>
    <row r="508" spans="1:15" x14ac:dyDescent="0.3">
      <c r="A508">
        <v>507</v>
      </c>
      <c r="B508" s="1">
        <v>40566</v>
      </c>
      <c r="C508">
        <v>5</v>
      </c>
      <c r="D508" s="2" t="s">
        <v>43</v>
      </c>
      <c r="E508" t="s">
        <v>26</v>
      </c>
      <c r="F508" s="2" t="s">
        <v>31</v>
      </c>
      <c r="G508" t="s">
        <v>29</v>
      </c>
      <c r="H508" s="3">
        <v>0.04</v>
      </c>
      <c r="I508" s="2" t="s">
        <v>44</v>
      </c>
      <c r="J508" s="3">
        <v>7.5800000000000006E-2</v>
      </c>
      <c r="K508" s="3">
        <v>0.56999999999999995</v>
      </c>
      <c r="L508" s="3">
        <v>0.1045</v>
      </c>
      <c r="M508">
        <v>0</v>
      </c>
      <c r="N508">
        <v>3</v>
      </c>
      <c r="O508">
        <v>3</v>
      </c>
    </row>
    <row r="509" spans="1:15" x14ac:dyDescent="0.3">
      <c r="A509">
        <v>508</v>
      </c>
      <c r="B509" s="1">
        <v>40566</v>
      </c>
      <c r="C509">
        <v>6</v>
      </c>
      <c r="D509" s="2" t="s">
        <v>43</v>
      </c>
      <c r="E509" t="s">
        <v>26</v>
      </c>
      <c r="F509" s="2" t="s">
        <v>31</v>
      </c>
      <c r="G509" t="s">
        <v>29</v>
      </c>
      <c r="H509" s="3">
        <v>0.04</v>
      </c>
      <c r="I509" s="2" t="s">
        <v>44</v>
      </c>
      <c r="J509" s="3">
        <v>7.5800000000000006E-2</v>
      </c>
      <c r="K509" s="3">
        <v>0.56999999999999995</v>
      </c>
      <c r="L509" s="3">
        <v>0.1045</v>
      </c>
      <c r="M509">
        <v>0</v>
      </c>
      <c r="N509">
        <v>1</v>
      </c>
      <c r="O509">
        <v>1</v>
      </c>
    </row>
    <row r="510" spans="1:15" x14ac:dyDescent="0.3">
      <c r="A510">
        <v>509</v>
      </c>
      <c r="B510" s="1">
        <v>40566</v>
      </c>
      <c r="C510">
        <v>7</v>
      </c>
      <c r="D510" s="2" t="s">
        <v>43</v>
      </c>
      <c r="E510" t="s">
        <v>26</v>
      </c>
      <c r="F510" s="2" t="s">
        <v>31</v>
      </c>
      <c r="G510" t="s">
        <v>28</v>
      </c>
      <c r="H510" s="3">
        <v>0.08</v>
      </c>
      <c r="I510" s="2" t="s">
        <v>44</v>
      </c>
      <c r="J510" s="3">
        <v>0.1061</v>
      </c>
      <c r="K510" s="3">
        <v>0.57999999999999996</v>
      </c>
      <c r="L510" s="3">
        <v>0.16420000000000001</v>
      </c>
      <c r="M510">
        <v>1</v>
      </c>
      <c r="N510">
        <v>1</v>
      </c>
      <c r="O510">
        <v>2</v>
      </c>
    </row>
    <row r="511" spans="1:15" x14ac:dyDescent="0.3">
      <c r="A511">
        <v>510</v>
      </c>
      <c r="B511" s="1">
        <v>40566</v>
      </c>
      <c r="C511">
        <v>8</v>
      </c>
      <c r="D511" s="2" t="s">
        <v>43</v>
      </c>
      <c r="E511" t="s">
        <v>26</v>
      </c>
      <c r="F511" s="2" t="s">
        <v>31</v>
      </c>
      <c r="G511" t="s">
        <v>28</v>
      </c>
      <c r="H511" s="3">
        <v>0.06</v>
      </c>
      <c r="I511" s="2" t="s">
        <v>44</v>
      </c>
      <c r="J511" s="3">
        <v>7.5800000000000006E-2</v>
      </c>
      <c r="K511" s="3">
        <v>0.62</v>
      </c>
      <c r="L511" s="3">
        <v>0.16420000000000001</v>
      </c>
      <c r="M511">
        <v>2</v>
      </c>
      <c r="N511">
        <v>17</v>
      </c>
      <c r="O511">
        <v>19</v>
      </c>
    </row>
    <row r="512" spans="1:15" x14ac:dyDescent="0.3">
      <c r="A512">
        <v>511</v>
      </c>
      <c r="B512" s="1">
        <v>40566</v>
      </c>
      <c r="C512">
        <v>9</v>
      </c>
      <c r="D512" s="2" t="s">
        <v>43</v>
      </c>
      <c r="E512" t="s">
        <v>26</v>
      </c>
      <c r="F512" s="2" t="s">
        <v>31</v>
      </c>
      <c r="G512" t="s">
        <v>28</v>
      </c>
      <c r="H512" s="3">
        <v>0.1</v>
      </c>
      <c r="I512" s="2" t="s">
        <v>44</v>
      </c>
      <c r="J512" s="3">
        <v>7.5800000000000006E-2</v>
      </c>
      <c r="K512" s="3">
        <v>0.54</v>
      </c>
      <c r="L512" s="3">
        <v>0.35820000000000002</v>
      </c>
      <c r="M512">
        <v>3</v>
      </c>
      <c r="N512">
        <v>25</v>
      </c>
      <c r="O512">
        <v>28</v>
      </c>
    </row>
    <row r="513" spans="1:15" x14ac:dyDescent="0.3">
      <c r="A513">
        <v>512</v>
      </c>
      <c r="B513" s="1">
        <v>40566</v>
      </c>
      <c r="C513">
        <v>10</v>
      </c>
      <c r="D513" s="2" t="s">
        <v>43</v>
      </c>
      <c r="E513" t="s">
        <v>26</v>
      </c>
      <c r="F513" s="2" t="s">
        <v>31</v>
      </c>
      <c r="G513" t="s">
        <v>28</v>
      </c>
      <c r="H513" s="3">
        <v>0.14000000000000001</v>
      </c>
      <c r="I513" s="2" t="s">
        <v>44</v>
      </c>
      <c r="J513" s="3">
        <v>0.1061</v>
      </c>
      <c r="K513" s="3">
        <v>0.46</v>
      </c>
      <c r="L513" s="3">
        <v>0.3881</v>
      </c>
      <c r="M513">
        <v>7</v>
      </c>
      <c r="N513">
        <v>51</v>
      </c>
      <c r="O513">
        <v>58</v>
      </c>
    </row>
    <row r="514" spans="1:15" x14ac:dyDescent="0.3">
      <c r="A514">
        <v>513</v>
      </c>
      <c r="B514" s="1">
        <v>40566</v>
      </c>
      <c r="C514">
        <v>11</v>
      </c>
      <c r="D514" s="2" t="s">
        <v>43</v>
      </c>
      <c r="E514" t="s">
        <v>26</v>
      </c>
      <c r="F514" s="2" t="s">
        <v>31</v>
      </c>
      <c r="G514" t="s">
        <v>28</v>
      </c>
      <c r="H514" s="3">
        <v>0.14000000000000001</v>
      </c>
      <c r="I514" s="2" t="s">
        <v>44</v>
      </c>
      <c r="J514" s="3">
        <v>0.13639999999999999</v>
      </c>
      <c r="K514" s="3">
        <v>0.43</v>
      </c>
      <c r="L514" s="3">
        <v>0.22389999999999999</v>
      </c>
      <c r="M514">
        <v>22</v>
      </c>
      <c r="N514">
        <v>77</v>
      </c>
      <c r="O514">
        <v>99</v>
      </c>
    </row>
    <row r="515" spans="1:15" hidden="1" x14ac:dyDescent="0.3">
      <c r="A515">
        <v>514</v>
      </c>
      <c r="B515" s="1">
        <v>40566</v>
      </c>
      <c r="C515">
        <v>12</v>
      </c>
      <c r="D515" s="2" t="s">
        <v>45</v>
      </c>
      <c r="E515" t="s">
        <v>26</v>
      </c>
      <c r="F515" s="2" t="s">
        <v>31</v>
      </c>
      <c r="G515" t="s">
        <v>28</v>
      </c>
      <c r="H515" s="3">
        <v>0.16</v>
      </c>
      <c r="I515" s="2" t="s">
        <v>44</v>
      </c>
      <c r="J515" s="3">
        <v>0.1212</v>
      </c>
      <c r="K515" s="3">
        <v>0.37</v>
      </c>
      <c r="L515" s="3">
        <v>0.4627</v>
      </c>
      <c r="M515">
        <v>24</v>
      </c>
      <c r="N515">
        <v>92</v>
      </c>
      <c r="O515">
        <v>116</v>
      </c>
    </row>
    <row r="516" spans="1:15" hidden="1" x14ac:dyDescent="0.3">
      <c r="A516">
        <v>515</v>
      </c>
      <c r="B516" s="1">
        <v>40566</v>
      </c>
      <c r="C516">
        <v>13</v>
      </c>
      <c r="D516" s="2" t="s">
        <v>45</v>
      </c>
      <c r="E516" t="s">
        <v>26</v>
      </c>
      <c r="F516" s="2" t="s">
        <v>31</v>
      </c>
      <c r="G516" t="s">
        <v>28</v>
      </c>
      <c r="H516" s="3">
        <v>0.14000000000000001</v>
      </c>
      <c r="I516" s="2" t="s">
        <v>44</v>
      </c>
      <c r="J516" s="3">
        <v>0.1061</v>
      </c>
      <c r="K516" s="3">
        <v>0.33</v>
      </c>
      <c r="L516" s="3">
        <v>0.3881</v>
      </c>
      <c r="M516">
        <v>12</v>
      </c>
      <c r="N516">
        <v>75</v>
      </c>
      <c r="O516">
        <v>87</v>
      </c>
    </row>
    <row r="517" spans="1:15" hidden="1" x14ac:dyDescent="0.3">
      <c r="A517">
        <v>516</v>
      </c>
      <c r="B517" s="1">
        <v>40566</v>
      </c>
      <c r="C517">
        <v>14</v>
      </c>
      <c r="D517" s="2" t="s">
        <v>45</v>
      </c>
      <c r="E517" t="s">
        <v>26</v>
      </c>
      <c r="F517" s="2" t="s">
        <v>31</v>
      </c>
      <c r="G517" t="s">
        <v>28</v>
      </c>
      <c r="H517" s="3">
        <v>0.16</v>
      </c>
      <c r="I517" s="2" t="s">
        <v>44</v>
      </c>
      <c r="J517" s="3">
        <v>0.13639999999999999</v>
      </c>
      <c r="K517" s="3">
        <v>0.28000000000000003</v>
      </c>
      <c r="L517" s="3">
        <v>0.35820000000000002</v>
      </c>
      <c r="M517">
        <v>17</v>
      </c>
      <c r="N517">
        <v>93</v>
      </c>
      <c r="O517">
        <v>110</v>
      </c>
    </row>
    <row r="518" spans="1:15" hidden="1" x14ac:dyDescent="0.3">
      <c r="A518">
        <v>517</v>
      </c>
      <c r="B518" s="1">
        <v>40566</v>
      </c>
      <c r="C518">
        <v>15</v>
      </c>
      <c r="D518" s="2" t="s">
        <v>45</v>
      </c>
      <c r="E518" t="s">
        <v>26</v>
      </c>
      <c r="F518" s="2" t="s">
        <v>31</v>
      </c>
      <c r="G518" t="s">
        <v>28</v>
      </c>
      <c r="H518" s="3">
        <v>0.16</v>
      </c>
      <c r="I518" s="2" t="s">
        <v>44</v>
      </c>
      <c r="J518" s="3">
        <v>0.13639999999999999</v>
      </c>
      <c r="K518" s="3">
        <v>0.28000000000000003</v>
      </c>
      <c r="L518" s="3">
        <v>0.35820000000000002</v>
      </c>
      <c r="M518">
        <v>13</v>
      </c>
      <c r="N518">
        <v>64</v>
      </c>
      <c r="O518">
        <v>77</v>
      </c>
    </row>
    <row r="519" spans="1:15" hidden="1" x14ac:dyDescent="0.3">
      <c r="A519">
        <v>518</v>
      </c>
      <c r="B519" s="1">
        <v>40566</v>
      </c>
      <c r="C519">
        <v>16</v>
      </c>
      <c r="D519" s="2" t="s">
        <v>45</v>
      </c>
      <c r="E519" t="s">
        <v>26</v>
      </c>
      <c r="F519" s="2" t="s">
        <v>31</v>
      </c>
      <c r="G519" t="s">
        <v>28</v>
      </c>
      <c r="H519" s="3">
        <v>0.16</v>
      </c>
      <c r="I519" s="2" t="s">
        <v>44</v>
      </c>
      <c r="J519" s="3">
        <v>0.13639999999999999</v>
      </c>
      <c r="K519" s="3">
        <v>0.26</v>
      </c>
      <c r="L519" s="3">
        <v>0.32840000000000003</v>
      </c>
      <c r="M519">
        <v>9</v>
      </c>
      <c r="N519">
        <v>56</v>
      </c>
      <c r="O519">
        <v>65</v>
      </c>
    </row>
    <row r="520" spans="1:15" hidden="1" x14ac:dyDescent="0.3">
      <c r="A520">
        <v>519</v>
      </c>
      <c r="B520" s="1">
        <v>40566</v>
      </c>
      <c r="C520">
        <v>17</v>
      </c>
      <c r="D520" s="2" t="s">
        <v>47</v>
      </c>
      <c r="E520" t="s">
        <v>26</v>
      </c>
      <c r="F520" s="2" t="s">
        <v>31</v>
      </c>
      <c r="G520" t="s">
        <v>28</v>
      </c>
      <c r="H520" s="3">
        <v>0.14000000000000001</v>
      </c>
      <c r="I520" s="2" t="s">
        <v>44</v>
      </c>
      <c r="J520" s="3">
        <v>0.1061</v>
      </c>
      <c r="K520" s="3">
        <v>0.26</v>
      </c>
      <c r="L520" s="3">
        <v>0.3881</v>
      </c>
      <c r="M520">
        <v>5</v>
      </c>
      <c r="N520">
        <v>50</v>
      </c>
      <c r="O520">
        <v>55</v>
      </c>
    </row>
    <row r="521" spans="1:15" hidden="1" x14ac:dyDescent="0.3">
      <c r="A521">
        <v>520</v>
      </c>
      <c r="B521" s="1">
        <v>40566</v>
      </c>
      <c r="C521">
        <v>18</v>
      </c>
      <c r="D521" s="2" t="s">
        <v>47</v>
      </c>
      <c r="E521" t="s">
        <v>26</v>
      </c>
      <c r="F521" s="2" t="s">
        <v>31</v>
      </c>
      <c r="G521" t="s">
        <v>28</v>
      </c>
      <c r="H521" s="3">
        <v>0.12</v>
      </c>
      <c r="I521" s="2" t="s">
        <v>44</v>
      </c>
      <c r="J521" s="3">
        <v>0.1212</v>
      </c>
      <c r="K521" s="3">
        <v>0.3</v>
      </c>
      <c r="L521" s="3">
        <v>0.25369999999999998</v>
      </c>
      <c r="M521">
        <v>5</v>
      </c>
      <c r="N521">
        <v>44</v>
      </c>
      <c r="O521">
        <v>49</v>
      </c>
    </row>
    <row r="522" spans="1:15" hidden="1" x14ac:dyDescent="0.3">
      <c r="A522">
        <v>521</v>
      </c>
      <c r="B522" s="1">
        <v>40566</v>
      </c>
      <c r="C522">
        <v>19</v>
      </c>
      <c r="D522" s="2" t="s">
        <v>47</v>
      </c>
      <c r="E522" t="s">
        <v>26</v>
      </c>
      <c r="F522" s="2" t="s">
        <v>31</v>
      </c>
      <c r="G522" t="s">
        <v>28</v>
      </c>
      <c r="H522" s="3">
        <v>0.12</v>
      </c>
      <c r="I522" s="2" t="s">
        <v>44</v>
      </c>
      <c r="J522" s="3">
        <v>0.1212</v>
      </c>
      <c r="K522" s="3">
        <v>0.3</v>
      </c>
      <c r="L522" s="3">
        <v>0.28360000000000002</v>
      </c>
      <c r="M522">
        <v>5</v>
      </c>
      <c r="N522">
        <v>45</v>
      </c>
      <c r="O522">
        <v>50</v>
      </c>
    </row>
    <row r="523" spans="1:15" hidden="1" x14ac:dyDescent="0.3">
      <c r="A523">
        <v>522</v>
      </c>
      <c r="B523" s="1">
        <v>40566</v>
      </c>
      <c r="C523">
        <v>20</v>
      </c>
      <c r="D523" s="2" t="s">
        <v>47</v>
      </c>
      <c r="E523" t="s">
        <v>26</v>
      </c>
      <c r="F523" s="2" t="s">
        <v>31</v>
      </c>
      <c r="G523" t="s">
        <v>28</v>
      </c>
      <c r="H523" s="3">
        <v>0.1</v>
      </c>
      <c r="I523" s="2" t="s">
        <v>44</v>
      </c>
      <c r="J523" s="3">
        <v>0.1061</v>
      </c>
      <c r="K523" s="3">
        <v>0.36</v>
      </c>
      <c r="L523" s="3">
        <v>0.25369999999999998</v>
      </c>
      <c r="M523">
        <v>4</v>
      </c>
      <c r="N523">
        <v>31</v>
      </c>
      <c r="O523">
        <v>35</v>
      </c>
    </row>
    <row r="524" spans="1:15" hidden="1" x14ac:dyDescent="0.3">
      <c r="A524">
        <v>523</v>
      </c>
      <c r="B524" s="1">
        <v>40566</v>
      </c>
      <c r="C524">
        <v>21</v>
      </c>
      <c r="D524" s="2" t="s">
        <v>41</v>
      </c>
      <c r="E524" t="s">
        <v>26</v>
      </c>
      <c r="F524" s="2" t="s">
        <v>31</v>
      </c>
      <c r="G524" t="s">
        <v>28</v>
      </c>
      <c r="H524" s="3">
        <v>0.1</v>
      </c>
      <c r="I524" s="2" t="s">
        <v>44</v>
      </c>
      <c r="J524" s="3">
        <v>0.1061</v>
      </c>
      <c r="K524" s="3">
        <v>0.36</v>
      </c>
      <c r="L524" s="3">
        <v>0.19400000000000001</v>
      </c>
      <c r="M524">
        <v>5</v>
      </c>
      <c r="N524">
        <v>20</v>
      </c>
      <c r="O524">
        <v>25</v>
      </c>
    </row>
    <row r="525" spans="1:15" hidden="1" x14ac:dyDescent="0.3">
      <c r="A525">
        <v>524</v>
      </c>
      <c r="B525" s="1">
        <v>40566</v>
      </c>
      <c r="C525">
        <v>22</v>
      </c>
      <c r="D525" s="2" t="s">
        <v>41</v>
      </c>
      <c r="E525" t="s">
        <v>26</v>
      </c>
      <c r="F525" s="2" t="s">
        <v>31</v>
      </c>
      <c r="G525" t="s">
        <v>28</v>
      </c>
      <c r="H525" s="3">
        <v>0.08</v>
      </c>
      <c r="I525" s="2" t="s">
        <v>44</v>
      </c>
      <c r="J525" s="3">
        <v>9.0899999999999995E-2</v>
      </c>
      <c r="K525" s="3">
        <v>0.38</v>
      </c>
      <c r="L525" s="3">
        <v>0.19400000000000001</v>
      </c>
      <c r="M525">
        <v>5</v>
      </c>
      <c r="N525">
        <v>23</v>
      </c>
      <c r="O525">
        <v>28</v>
      </c>
    </row>
    <row r="526" spans="1:15" hidden="1" x14ac:dyDescent="0.3">
      <c r="A526">
        <v>525</v>
      </c>
      <c r="B526" s="1">
        <v>40566</v>
      </c>
      <c r="C526">
        <v>23</v>
      </c>
      <c r="D526" s="2" t="s">
        <v>41</v>
      </c>
      <c r="E526" t="s">
        <v>26</v>
      </c>
      <c r="F526" s="2" t="s">
        <v>31</v>
      </c>
      <c r="G526" t="s">
        <v>28</v>
      </c>
      <c r="H526" s="3">
        <v>0.06</v>
      </c>
      <c r="I526" s="2" t="s">
        <v>44</v>
      </c>
      <c r="J526" s="3">
        <v>6.0600000000000001E-2</v>
      </c>
      <c r="K526" s="3">
        <v>0.41</v>
      </c>
      <c r="L526" s="3">
        <v>0.22389999999999999</v>
      </c>
      <c r="M526">
        <v>4</v>
      </c>
      <c r="N526">
        <v>17</v>
      </c>
      <c r="O526">
        <v>21</v>
      </c>
    </row>
    <row r="527" spans="1:15" hidden="1" x14ac:dyDescent="0.3">
      <c r="A527">
        <v>526</v>
      </c>
      <c r="B527" s="1">
        <v>40567</v>
      </c>
      <c r="C527">
        <v>0</v>
      </c>
      <c r="D527" s="2" t="s">
        <v>41</v>
      </c>
      <c r="E527" t="s">
        <v>26</v>
      </c>
      <c r="F527" s="2" t="s">
        <v>32</v>
      </c>
      <c r="G527" t="s">
        <v>28</v>
      </c>
      <c r="H527" s="3">
        <v>0.06</v>
      </c>
      <c r="I527" s="2" t="s">
        <v>44</v>
      </c>
      <c r="J527" s="3">
        <v>6.0600000000000001E-2</v>
      </c>
      <c r="K527" s="3">
        <v>0.41</v>
      </c>
      <c r="L527" s="3">
        <v>0.19400000000000001</v>
      </c>
      <c r="M527">
        <v>0</v>
      </c>
      <c r="N527">
        <v>7</v>
      </c>
      <c r="O527">
        <v>7</v>
      </c>
    </row>
    <row r="528" spans="1:15" hidden="1" x14ac:dyDescent="0.3">
      <c r="A528">
        <v>527</v>
      </c>
      <c r="B528" s="1">
        <v>40567</v>
      </c>
      <c r="C528">
        <v>1</v>
      </c>
      <c r="D528" s="2" t="s">
        <v>41</v>
      </c>
      <c r="E528" t="s">
        <v>26</v>
      </c>
      <c r="F528" s="2" t="s">
        <v>32</v>
      </c>
      <c r="G528" t="s">
        <v>28</v>
      </c>
      <c r="H528" s="3">
        <v>0.04</v>
      </c>
      <c r="I528" s="2" t="s">
        <v>44</v>
      </c>
      <c r="J528" s="3">
        <v>4.5499999999999999E-2</v>
      </c>
      <c r="K528" s="3">
        <v>0.45</v>
      </c>
      <c r="L528" s="3">
        <v>0.19400000000000001</v>
      </c>
      <c r="M528">
        <v>0</v>
      </c>
      <c r="N528">
        <v>1</v>
      </c>
      <c r="O528">
        <v>1</v>
      </c>
    </row>
    <row r="529" spans="1:15" hidden="1" x14ac:dyDescent="0.3">
      <c r="A529">
        <v>528</v>
      </c>
      <c r="B529" s="1">
        <v>40567</v>
      </c>
      <c r="C529">
        <v>3</v>
      </c>
      <c r="D529" s="2" t="s">
        <v>41</v>
      </c>
      <c r="E529" t="s">
        <v>26</v>
      </c>
      <c r="F529" s="2" t="s">
        <v>32</v>
      </c>
      <c r="G529" t="s">
        <v>28</v>
      </c>
      <c r="H529" s="3">
        <v>0.04</v>
      </c>
      <c r="I529" s="2" t="s">
        <v>44</v>
      </c>
      <c r="J529" s="3">
        <v>3.0300000000000001E-2</v>
      </c>
      <c r="K529" s="3">
        <v>0.45</v>
      </c>
      <c r="L529" s="3">
        <v>0.25369999999999998</v>
      </c>
      <c r="M529">
        <v>0</v>
      </c>
      <c r="N529">
        <v>1</v>
      </c>
      <c r="O529">
        <v>1</v>
      </c>
    </row>
    <row r="530" spans="1:15" hidden="1" x14ac:dyDescent="0.3">
      <c r="A530">
        <v>529</v>
      </c>
      <c r="B530" s="1">
        <v>40567</v>
      </c>
      <c r="C530">
        <v>4</v>
      </c>
      <c r="D530" s="2" t="s">
        <v>41</v>
      </c>
      <c r="E530" t="s">
        <v>26</v>
      </c>
      <c r="F530" s="2" t="s">
        <v>32</v>
      </c>
      <c r="G530" t="s">
        <v>28</v>
      </c>
      <c r="H530" s="3">
        <v>0.02</v>
      </c>
      <c r="I530" s="2" t="s">
        <v>44</v>
      </c>
      <c r="J530" s="3">
        <v>6.0600000000000001E-2</v>
      </c>
      <c r="K530" s="3">
        <v>0.48</v>
      </c>
      <c r="L530" s="3">
        <v>0.1343</v>
      </c>
      <c r="M530">
        <v>0</v>
      </c>
      <c r="N530">
        <v>1</v>
      </c>
      <c r="O530">
        <v>1</v>
      </c>
    </row>
    <row r="531" spans="1:15" x14ac:dyDescent="0.3">
      <c r="A531">
        <v>530</v>
      </c>
      <c r="B531" s="1">
        <v>40567</v>
      </c>
      <c r="C531">
        <v>5</v>
      </c>
      <c r="D531" s="2" t="s">
        <v>43</v>
      </c>
      <c r="E531" t="s">
        <v>26</v>
      </c>
      <c r="F531" s="2" t="s">
        <v>32</v>
      </c>
      <c r="G531" t="s">
        <v>28</v>
      </c>
      <c r="H531" s="3">
        <v>0.02</v>
      </c>
      <c r="I531" s="2" t="s">
        <v>44</v>
      </c>
      <c r="J531" s="3">
        <v>6.0600000000000001E-2</v>
      </c>
      <c r="K531" s="3">
        <v>0.48</v>
      </c>
      <c r="L531" s="3">
        <v>0.1343</v>
      </c>
      <c r="M531">
        <v>0</v>
      </c>
      <c r="N531">
        <v>5</v>
      </c>
      <c r="O531">
        <v>5</v>
      </c>
    </row>
    <row r="532" spans="1:15" x14ac:dyDescent="0.3">
      <c r="A532">
        <v>531</v>
      </c>
      <c r="B532" s="1">
        <v>40567</v>
      </c>
      <c r="C532">
        <v>6</v>
      </c>
      <c r="D532" s="2" t="s">
        <v>43</v>
      </c>
      <c r="E532" t="s">
        <v>26</v>
      </c>
      <c r="F532" s="2" t="s">
        <v>32</v>
      </c>
      <c r="G532" t="s">
        <v>28</v>
      </c>
      <c r="H532" s="3">
        <v>0.02</v>
      </c>
      <c r="I532" s="2" t="s">
        <v>44</v>
      </c>
      <c r="J532" s="3">
        <v>7.5800000000000006E-2</v>
      </c>
      <c r="K532" s="3">
        <v>0.48</v>
      </c>
      <c r="L532" s="3">
        <v>8.9599999999999999E-2</v>
      </c>
      <c r="M532">
        <v>0</v>
      </c>
      <c r="N532">
        <v>15</v>
      </c>
      <c r="O532">
        <v>15</v>
      </c>
    </row>
    <row r="533" spans="1:15" x14ac:dyDescent="0.3">
      <c r="A533">
        <v>532</v>
      </c>
      <c r="B533" s="1">
        <v>40567</v>
      </c>
      <c r="C533">
        <v>7</v>
      </c>
      <c r="D533" s="2" t="s">
        <v>43</v>
      </c>
      <c r="E533" t="s">
        <v>26</v>
      </c>
      <c r="F533" s="2" t="s">
        <v>32</v>
      </c>
      <c r="G533" t="s">
        <v>28</v>
      </c>
      <c r="H533" s="3">
        <v>0.02</v>
      </c>
      <c r="I533" s="2" t="s">
        <v>44</v>
      </c>
      <c r="J533" s="3">
        <v>0.1212</v>
      </c>
      <c r="K533" s="3">
        <v>0.48</v>
      </c>
      <c r="L533" s="3">
        <v>0</v>
      </c>
      <c r="M533">
        <v>5</v>
      </c>
      <c r="N533">
        <v>79</v>
      </c>
      <c r="O533">
        <v>84</v>
      </c>
    </row>
    <row r="534" spans="1:15" x14ac:dyDescent="0.3">
      <c r="A534">
        <v>533</v>
      </c>
      <c r="B534" s="1">
        <v>40567</v>
      </c>
      <c r="C534">
        <v>8</v>
      </c>
      <c r="D534" s="2" t="s">
        <v>43</v>
      </c>
      <c r="E534" t="s">
        <v>26</v>
      </c>
      <c r="F534" s="2" t="s">
        <v>32</v>
      </c>
      <c r="G534" t="s">
        <v>28</v>
      </c>
      <c r="H534" s="3">
        <v>0.04</v>
      </c>
      <c r="I534" s="2" t="s">
        <v>44</v>
      </c>
      <c r="J534" s="3">
        <v>0.13639999999999999</v>
      </c>
      <c r="K534" s="3">
        <v>0.49</v>
      </c>
      <c r="L534" s="3">
        <v>0</v>
      </c>
      <c r="M534">
        <v>6</v>
      </c>
      <c r="N534">
        <v>171</v>
      </c>
      <c r="O534">
        <v>177</v>
      </c>
    </row>
    <row r="535" spans="1:15" x14ac:dyDescent="0.3">
      <c r="A535">
        <v>534</v>
      </c>
      <c r="B535" s="1">
        <v>40567</v>
      </c>
      <c r="C535">
        <v>9</v>
      </c>
      <c r="D535" s="2" t="s">
        <v>43</v>
      </c>
      <c r="E535" t="s">
        <v>26</v>
      </c>
      <c r="F535" s="2" t="s">
        <v>32</v>
      </c>
      <c r="G535" t="s">
        <v>28</v>
      </c>
      <c r="H535" s="3">
        <v>0.06</v>
      </c>
      <c r="I535" s="2" t="s">
        <v>44</v>
      </c>
      <c r="J535" s="3">
        <v>0.1515</v>
      </c>
      <c r="K535" s="3">
        <v>0.41</v>
      </c>
      <c r="L535" s="3">
        <v>0</v>
      </c>
      <c r="M535">
        <v>4</v>
      </c>
      <c r="N535">
        <v>98</v>
      </c>
      <c r="O535">
        <v>102</v>
      </c>
    </row>
    <row r="536" spans="1:15" x14ac:dyDescent="0.3">
      <c r="A536">
        <v>535</v>
      </c>
      <c r="B536" s="1">
        <v>40567</v>
      </c>
      <c r="C536">
        <v>10</v>
      </c>
      <c r="D536" s="2" t="s">
        <v>43</v>
      </c>
      <c r="E536" t="s">
        <v>26</v>
      </c>
      <c r="F536" s="2" t="s">
        <v>32</v>
      </c>
      <c r="G536" t="s">
        <v>28</v>
      </c>
      <c r="H536" s="3">
        <v>0.1</v>
      </c>
      <c r="I536" s="2" t="s">
        <v>44</v>
      </c>
      <c r="J536" s="3">
        <v>0.13639999999999999</v>
      </c>
      <c r="K536" s="3">
        <v>0.42</v>
      </c>
      <c r="L536" s="3">
        <v>0</v>
      </c>
      <c r="M536">
        <v>6</v>
      </c>
      <c r="N536">
        <v>34</v>
      </c>
      <c r="O536">
        <v>40</v>
      </c>
    </row>
    <row r="537" spans="1:15" x14ac:dyDescent="0.3">
      <c r="A537">
        <v>536</v>
      </c>
      <c r="B537" s="1">
        <v>40567</v>
      </c>
      <c r="C537">
        <v>11</v>
      </c>
      <c r="D537" s="2" t="s">
        <v>43</v>
      </c>
      <c r="E537" t="s">
        <v>26</v>
      </c>
      <c r="F537" s="2" t="s">
        <v>32</v>
      </c>
      <c r="G537" t="s">
        <v>28</v>
      </c>
      <c r="H537" s="3">
        <v>0.1</v>
      </c>
      <c r="I537" s="2" t="s">
        <v>44</v>
      </c>
      <c r="J537" s="3">
        <v>0.1212</v>
      </c>
      <c r="K537" s="3">
        <v>0.46</v>
      </c>
      <c r="L537" s="3">
        <v>0.1343</v>
      </c>
      <c r="M537">
        <v>3</v>
      </c>
      <c r="N537">
        <v>43</v>
      </c>
      <c r="O537">
        <v>46</v>
      </c>
    </row>
    <row r="538" spans="1:15" hidden="1" x14ac:dyDescent="0.3">
      <c r="A538">
        <v>537</v>
      </c>
      <c r="B538" s="1">
        <v>40567</v>
      </c>
      <c r="C538">
        <v>12</v>
      </c>
      <c r="D538" s="2" t="s">
        <v>45</v>
      </c>
      <c r="E538" t="s">
        <v>26</v>
      </c>
      <c r="F538" s="2" t="s">
        <v>32</v>
      </c>
      <c r="G538" t="s">
        <v>29</v>
      </c>
      <c r="H538" s="3">
        <v>0.12</v>
      </c>
      <c r="I538" s="2" t="s">
        <v>44</v>
      </c>
      <c r="J538" s="3">
        <v>0.13639999999999999</v>
      </c>
      <c r="K538" s="3">
        <v>0.42</v>
      </c>
      <c r="L538" s="3">
        <v>0.19400000000000001</v>
      </c>
      <c r="M538">
        <v>11</v>
      </c>
      <c r="N538">
        <v>52</v>
      </c>
      <c r="O538">
        <v>63</v>
      </c>
    </row>
    <row r="539" spans="1:15" hidden="1" x14ac:dyDescent="0.3">
      <c r="A539">
        <v>538</v>
      </c>
      <c r="B539" s="1">
        <v>40567</v>
      </c>
      <c r="C539">
        <v>13</v>
      </c>
      <c r="D539" s="2" t="s">
        <v>45</v>
      </c>
      <c r="E539" t="s">
        <v>26</v>
      </c>
      <c r="F539" s="2" t="s">
        <v>32</v>
      </c>
      <c r="G539" t="s">
        <v>29</v>
      </c>
      <c r="H539" s="3">
        <v>0.14000000000000001</v>
      </c>
      <c r="I539" s="2" t="s">
        <v>44</v>
      </c>
      <c r="J539" s="3">
        <v>0.13639999999999999</v>
      </c>
      <c r="K539" s="3">
        <v>0.43</v>
      </c>
      <c r="L539" s="3">
        <v>0.22389999999999999</v>
      </c>
      <c r="M539">
        <v>6</v>
      </c>
      <c r="N539">
        <v>54</v>
      </c>
      <c r="O539">
        <v>60</v>
      </c>
    </row>
    <row r="540" spans="1:15" hidden="1" x14ac:dyDescent="0.3">
      <c r="A540">
        <v>539</v>
      </c>
      <c r="B540" s="1">
        <v>40567</v>
      </c>
      <c r="C540">
        <v>14</v>
      </c>
      <c r="D540" s="2" t="s">
        <v>45</v>
      </c>
      <c r="E540" t="s">
        <v>26</v>
      </c>
      <c r="F540" s="2" t="s">
        <v>32</v>
      </c>
      <c r="G540" t="s">
        <v>29</v>
      </c>
      <c r="H540" s="3">
        <v>0.14000000000000001</v>
      </c>
      <c r="I540" s="2" t="s">
        <v>44</v>
      </c>
      <c r="J540" s="3">
        <v>0.13639999999999999</v>
      </c>
      <c r="K540" s="3">
        <v>0.46</v>
      </c>
      <c r="L540" s="3">
        <v>0.22389999999999999</v>
      </c>
      <c r="M540">
        <v>2</v>
      </c>
      <c r="N540">
        <v>43</v>
      </c>
      <c r="O540">
        <v>45</v>
      </c>
    </row>
    <row r="541" spans="1:15" hidden="1" x14ac:dyDescent="0.3">
      <c r="A541">
        <v>540</v>
      </c>
      <c r="B541" s="1">
        <v>40567</v>
      </c>
      <c r="C541">
        <v>15</v>
      </c>
      <c r="D541" s="2" t="s">
        <v>45</v>
      </c>
      <c r="E541" t="s">
        <v>26</v>
      </c>
      <c r="F541" s="2" t="s">
        <v>32</v>
      </c>
      <c r="G541" t="s">
        <v>28</v>
      </c>
      <c r="H541" s="3">
        <v>0.16</v>
      </c>
      <c r="I541" s="2" t="s">
        <v>44</v>
      </c>
      <c r="J541" s="3">
        <v>0.16669999999999999</v>
      </c>
      <c r="K541" s="3">
        <v>0.4</v>
      </c>
      <c r="L541" s="3">
        <v>0.16420000000000001</v>
      </c>
      <c r="M541">
        <v>7</v>
      </c>
      <c r="N541">
        <v>50</v>
      </c>
      <c r="O541">
        <v>57</v>
      </c>
    </row>
    <row r="542" spans="1:15" hidden="1" x14ac:dyDescent="0.3">
      <c r="A542">
        <v>541</v>
      </c>
      <c r="B542" s="1">
        <v>40567</v>
      </c>
      <c r="C542">
        <v>16</v>
      </c>
      <c r="D542" s="2" t="s">
        <v>45</v>
      </c>
      <c r="E542" t="s">
        <v>26</v>
      </c>
      <c r="F542" s="2" t="s">
        <v>32</v>
      </c>
      <c r="G542" t="s">
        <v>28</v>
      </c>
      <c r="H542" s="3">
        <v>0.16</v>
      </c>
      <c r="I542" s="2" t="s">
        <v>44</v>
      </c>
      <c r="J542" s="3">
        <v>0.1515</v>
      </c>
      <c r="K542" s="3">
        <v>0.47</v>
      </c>
      <c r="L542" s="3">
        <v>0.25369999999999998</v>
      </c>
      <c r="M542">
        <v>4</v>
      </c>
      <c r="N542">
        <v>66</v>
      </c>
      <c r="O542">
        <v>70</v>
      </c>
    </row>
    <row r="543" spans="1:15" hidden="1" x14ac:dyDescent="0.3">
      <c r="A543">
        <v>542</v>
      </c>
      <c r="B543" s="1">
        <v>40567</v>
      </c>
      <c r="C543">
        <v>17</v>
      </c>
      <c r="D543" s="2" t="s">
        <v>47</v>
      </c>
      <c r="E543" t="s">
        <v>26</v>
      </c>
      <c r="F543" s="2" t="s">
        <v>32</v>
      </c>
      <c r="G543" t="s">
        <v>28</v>
      </c>
      <c r="H543" s="3">
        <v>0.14000000000000001</v>
      </c>
      <c r="I543" s="2" t="s">
        <v>44</v>
      </c>
      <c r="J543" s="3">
        <v>0.1212</v>
      </c>
      <c r="K543" s="3">
        <v>0.5</v>
      </c>
      <c r="L543" s="3">
        <v>0.25369999999999998</v>
      </c>
      <c r="M543">
        <v>6</v>
      </c>
      <c r="N543">
        <v>178</v>
      </c>
      <c r="O543">
        <v>184</v>
      </c>
    </row>
    <row r="544" spans="1:15" hidden="1" x14ac:dyDescent="0.3">
      <c r="A544">
        <v>543</v>
      </c>
      <c r="B544" s="1">
        <v>40567</v>
      </c>
      <c r="C544">
        <v>18</v>
      </c>
      <c r="D544" s="2" t="s">
        <v>47</v>
      </c>
      <c r="E544" t="s">
        <v>26</v>
      </c>
      <c r="F544" s="2" t="s">
        <v>32</v>
      </c>
      <c r="G544" t="s">
        <v>28</v>
      </c>
      <c r="H544" s="3">
        <v>0.14000000000000001</v>
      </c>
      <c r="I544" s="2" t="s">
        <v>44</v>
      </c>
      <c r="J544" s="3">
        <v>0.13639999999999999</v>
      </c>
      <c r="K544" s="3">
        <v>0.59</v>
      </c>
      <c r="L544" s="3">
        <v>0.19400000000000001</v>
      </c>
      <c r="M544">
        <v>8</v>
      </c>
      <c r="N544">
        <v>145</v>
      </c>
      <c r="O544">
        <v>153</v>
      </c>
    </row>
    <row r="545" spans="1:15" hidden="1" x14ac:dyDescent="0.3">
      <c r="A545">
        <v>544</v>
      </c>
      <c r="B545" s="1">
        <v>40567</v>
      </c>
      <c r="C545">
        <v>19</v>
      </c>
      <c r="D545" s="2" t="s">
        <v>47</v>
      </c>
      <c r="E545" t="s">
        <v>26</v>
      </c>
      <c r="F545" s="2" t="s">
        <v>32</v>
      </c>
      <c r="G545" t="s">
        <v>28</v>
      </c>
      <c r="H545" s="3">
        <v>0.14000000000000001</v>
      </c>
      <c r="I545" s="2" t="s">
        <v>44</v>
      </c>
      <c r="J545" s="3">
        <v>0.1515</v>
      </c>
      <c r="K545" s="3">
        <v>0.54</v>
      </c>
      <c r="L545" s="3">
        <v>0.16420000000000001</v>
      </c>
      <c r="M545">
        <v>5</v>
      </c>
      <c r="N545">
        <v>101</v>
      </c>
      <c r="O545">
        <v>106</v>
      </c>
    </row>
    <row r="546" spans="1:15" hidden="1" x14ac:dyDescent="0.3">
      <c r="A546">
        <v>545</v>
      </c>
      <c r="B546" s="1">
        <v>40567</v>
      </c>
      <c r="C546">
        <v>20</v>
      </c>
      <c r="D546" s="2" t="s">
        <v>47</v>
      </c>
      <c r="E546" t="s">
        <v>26</v>
      </c>
      <c r="F546" s="2" t="s">
        <v>32</v>
      </c>
      <c r="G546" t="s">
        <v>28</v>
      </c>
      <c r="H546" s="3">
        <v>0.14000000000000001</v>
      </c>
      <c r="I546" s="2" t="s">
        <v>44</v>
      </c>
      <c r="J546" s="3">
        <v>0.13639999999999999</v>
      </c>
      <c r="K546" s="3">
        <v>0.59</v>
      </c>
      <c r="L546" s="3">
        <v>0.19400000000000001</v>
      </c>
      <c r="M546">
        <v>1</v>
      </c>
      <c r="N546">
        <v>80</v>
      </c>
      <c r="O546">
        <v>81</v>
      </c>
    </row>
    <row r="547" spans="1:15" hidden="1" x14ac:dyDescent="0.3">
      <c r="A547">
        <v>546</v>
      </c>
      <c r="B547" s="1">
        <v>40567</v>
      </c>
      <c r="C547">
        <v>21</v>
      </c>
      <c r="D547" s="2" t="s">
        <v>41</v>
      </c>
      <c r="E547" t="s">
        <v>26</v>
      </c>
      <c r="F547" s="2" t="s">
        <v>32</v>
      </c>
      <c r="G547" t="s">
        <v>28</v>
      </c>
      <c r="H547" s="3">
        <v>0.14000000000000001</v>
      </c>
      <c r="I547" s="2" t="s">
        <v>44</v>
      </c>
      <c r="J547" s="3">
        <v>0.1515</v>
      </c>
      <c r="K547" s="3">
        <v>0.63</v>
      </c>
      <c r="L547" s="3">
        <v>0.16420000000000001</v>
      </c>
      <c r="M547">
        <v>6</v>
      </c>
      <c r="N547">
        <v>53</v>
      </c>
      <c r="O547">
        <v>59</v>
      </c>
    </row>
    <row r="548" spans="1:15" hidden="1" x14ac:dyDescent="0.3">
      <c r="A548">
        <v>547</v>
      </c>
      <c r="B548" s="1">
        <v>40567</v>
      </c>
      <c r="C548">
        <v>22</v>
      </c>
      <c r="D548" s="2" t="s">
        <v>41</v>
      </c>
      <c r="E548" t="s">
        <v>26</v>
      </c>
      <c r="F548" s="2" t="s">
        <v>32</v>
      </c>
      <c r="G548" t="s">
        <v>29</v>
      </c>
      <c r="H548" s="3">
        <v>0.14000000000000001</v>
      </c>
      <c r="I548" s="2" t="s">
        <v>44</v>
      </c>
      <c r="J548" s="3">
        <v>0.13639999999999999</v>
      </c>
      <c r="K548" s="3">
        <v>0.63</v>
      </c>
      <c r="L548" s="3">
        <v>0.22389999999999999</v>
      </c>
      <c r="M548">
        <v>3</v>
      </c>
      <c r="N548">
        <v>32</v>
      </c>
      <c r="O548">
        <v>35</v>
      </c>
    </row>
    <row r="549" spans="1:15" hidden="1" x14ac:dyDescent="0.3">
      <c r="A549">
        <v>548</v>
      </c>
      <c r="B549" s="1">
        <v>40567</v>
      </c>
      <c r="C549">
        <v>23</v>
      </c>
      <c r="D549" s="2" t="s">
        <v>41</v>
      </c>
      <c r="E549" t="s">
        <v>26</v>
      </c>
      <c r="F549" s="2" t="s">
        <v>32</v>
      </c>
      <c r="G549" t="s">
        <v>29</v>
      </c>
      <c r="H549" s="3">
        <v>0.16</v>
      </c>
      <c r="I549" s="2" t="s">
        <v>44</v>
      </c>
      <c r="J549" s="3">
        <v>0.1515</v>
      </c>
      <c r="K549" s="3">
        <v>0.64</v>
      </c>
      <c r="L549" s="3">
        <v>0.25369999999999998</v>
      </c>
      <c r="M549">
        <v>3</v>
      </c>
      <c r="N549">
        <v>21</v>
      </c>
      <c r="O549">
        <v>24</v>
      </c>
    </row>
    <row r="550" spans="1:15" hidden="1" x14ac:dyDescent="0.3">
      <c r="A550">
        <v>549</v>
      </c>
      <c r="B550" s="1">
        <v>40568</v>
      </c>
      <c r="C550">
        <v>0</v>
      </c>
      <c r="D550" s="2" t="s">
        <v>41</v>
      </c>
      <c r="E550" t="s">
        <v>26</v>
      </c>
      <c r="F550" s="2" t="s">
        <v>33</v>
      </c>
      <c r="G550" t="s">
        <v>29</v>
      </c>
      <c r="H550" s="3">
        <v>0.16</v>
      </c>
      <c r="I550" s="2" t="s">
        <v>44</v>
      </c>
      <c r="J550" s="3">
        <v>0.13639999999999999</v>
      </c>
      <c r="K550" s="3">
        <v>0.69</v>
      </c>
      <c r="L550" s="3">
        <v>0.28360000000000002</v>
      </c>
      <c r="M550">
        <v>3</v>
      </c>
      <c r="N550">
        <v>6</v>
      </c>
      <c r="O550">
        <v>9</v>
      </c>
    </row>
    <row r="551" spans="1:15" hidden="1" x14ac:dyDescent="0.3">
      <c r="A551">
        <v>550</v>
      </c>
      <c r="B551" s="1">
        <v>40568</v>
      </c>
      <c r="C551">
        <v>1</v>
      </c>
      <c r="D551" s="2" t="s">
        <v>41</v>
      </c>
      <c r="E551" t="s">
        <v>26</v>
      </c>
      <c r="F551" s="2" t="s">
        <v>33</v>
      </c>
      <c r="G551" t="s">
        <v>29</v>
      </c>
      <c r="H551" s="3">
        <v>0.16</v>
      </c>
      <c r="I551" s="2" t="s">
        <v>44</v>
      </c>
      <c r="J551" s="3">
        <v>0.16669999999999999</v>
      </c>
      <c r="K551" s="3">
        <v>0.69</v>
      </c>
      <c r="L551" s="3">
        <v>0.16420000000000001</v>
      </c>
      <c r="M551">
        <v>0</v>
      </c>
      <c r="N551">
        <v>5</v>
      </c>
      <c r="O551">
        <v>5</v>
      </c>
    </row>
    <row r="552" spans="1:15" hidden="1" x14ac:dyDescent="0.3">
      <c r="A552">
        <v>551</v>
      </c>
      <c r="B552" s="1">
        <v>40568</v>
      </c>
      <c r="C552">
        <v>2</v>
      </c>
      <c r="D552" s="2" t="s">
        <v>41</v>
      </c>
      <c r="E552" t="s">
        <v>26</v>
      </c>
      <c r="F552" s="2" t="s">
        <v>33</v>
      </c>
      <c r="G552" t="s">
        <v>28</v>
      </c>
      <c r="H552" s="3">
        <v>0.16</v>
      </c>
      <c r="I552" s="2" t="s">
        <v>44</v>
      </c>
      <c r="J552" s="3">
        <v>0.1515</v>
      </c>
      <c r="K552" s="3">
        <v>0.69</v>
      </c>
      <c r="L552" s="3">
        <v>0.22389999999999999</v>
      </c>
      <c r="M552">
        <v>0</v>
      </c>
      <c r="N552">
        <v>2</v>
      </c>
      <c r="O552">
        <v>2</v>
      </c>
    </row>
    <row r="553" spans="1:15" hidden="1" x14ac:dyDescent="0.3">
      <c r="A553">
        <v>552</v>
      </c>
      <c r="B553" s="1">
        <v>40568</v>
      </c>
      <c r="C553">
        <v>4</v>
      </c>
      <c r="D553" s="2" t="s">
        <v>41</v>
      </c>
      <c r="E553" t="s">
        <v>26</v>
      </c>
      <c r="F553" s="2" t="s">
        <v>33</v>
      </c>
      <c r="G553" t="s">
        <v>28</v>
      </c>
      <c r="H553" s="3">
        <v>0.14000000000000001</v>
      </c>
      <c r="I553" s="2" t="s">
        <v>44</v>
      </c>
      <c r="J553" s="3">
        <v>0.16669999999999999</v>
      </c>
      <c r="K553" s="3">
        <v>0.74</v>
      </c>
      <c r="L553" s="3">
        <v>0.1045</v>
      </c>
      <c r="M553">
        <v>0</v>
      </c>
      <c r="N553">
        <v>1</v>
      </c>
      <c r="O553">
        <v>1</v>
      </c>
    </row>
    <row r="554" spans="1:15" x14ac:dyDescent="0.3">
      <c r="A554">
        <v>553</v>
      </c>
      <c r="B554" s="1">
        <v>40568</v>
      </c>
      <c r="C554">
        <v>5</v>
      </c>
      <c r="D554" s="2" t="s">
        <v>43</v>
      </c>
      <c r="E554" t="s">
        <v>26</v>
      </c>
      <c r="F554" s="2" t="s">
        <v>33</v>
      </c>
      <c r="G554" t="s">
        <v>28</v>
      </c>
      <c r="H554" s="3">
        <v>0.14000000000000001</v>
      </c>
      <c r="I554" s="2" t="s">
        <v>44</v>
      </c>
      <c r="J554" s="3">
        <v>0.13639999999999999</v>
      </c>
      <c r="K554" s="3">
        <v>0.74</v>
      </c>
      <c r="L554" s="3">
        <v>0.22389999999999999</v>
      </c>
      <c r="M554">
        <v>0</v>
      </c>
      <c r="N554">
        <v>9</v>
      </c>
      <c r="O554">
        <v>9</v>
      </c>
    </row>
    <row r="555" spans="1:15" x14ac:dyDescent="0.3">
      <c r="A555">
        <v>554</v>
      </c>
      <c r="B555" s="1">
        <v>40568</v>
      </c>
      <c r="C555">
        <v>6</v>
      </c>
      <c r="D555" s="2" t="s">
        <v>43</v>
      </c>
      <c r="E555" t="s">
        <v>26</v>
      </c>
      <c r="F555" s="2" t="s">
        <v>33</v>
      </c>
      <c r="G555" t="s">
        <v>28</v>
      </c>
      <c r="H555" s="3">
        <v>0.16</v>
      </c>
      <c r="I555" s="2" t="s">
        <v>44</v>
      </c>
      <c r="J555" s="3">
        <v>0.18179999999999999</v>
      </c>
      <c r="K555" s="3">
        <v>0.74</v>
      </c>
      <c r="L555" s="3">
        <v>0.1045</v>
      </c>
      <c r="M555">
        <v>1</v>
      </c>
      <c r="N555">
        <v>35</v>
      </c>
      <c r="O555">
        <v>36</v>
      </c>
    </row>
    <row r="556" spans="1:15" x14ac:dyDescent="0.3">
      <c r="A556">
        <v>555</v>
      </c>
      <c r="B556" s="1">
        <v>40568</v>
      </c>
      <c r="C556">
        <v>7</v>
      </c>
      <c r="D556" s="2" t="s">
        <v>43</v>
      </c>
      <c r="E556" t="s">
        <v>26</v>
      </c>
      <c r="F556" s="2" t="s">
        <v>33</v>
      </c>
      <c r="G556" t="s">
        <v>28</v>
      </c>
      <c r="H556" s="3">
        <v>0.16</v>
      </c>
      <c r="I556" s="2" t="s">
        <v>44</v>
      </c>
      <c r="J556" s="3">
        <v>0.1515</v>
      </c>
      <c r="K556" s="3">
        <v>0.74</v>
      </c>
      <c r="L556" s="3">
        <v>0.22389999999999999</v>
      </c>
      <c r="M556">
        <v>5</v>
      </c>
      <c r="N556">
        <v>103</v>
      </c>
      <c r="O556">
        <v>108</v>
      </c>
    </row>
    <row r="557" spans="1:15" x14ac:dyDescent="0.3">
      <c r="A557">
        <v>556</v>
      </c>
      <c r="B557" s="1">
        <v>40568</v>
      </c>
      <c r="C557">
        <v>8</v>
      </c>
      <c r="D557" s="2" t="s">
        <v>43</v>
      </c>
      <c r="E557" t="s">
        <v>26</v>
      </c>
      <c r="F557" s="2" t="s">
        <v>33</v>
      </c>
      <c r="G557" t="s">
        <v>29</v>
      </c>
      <c r="H557" s="3">
        <v>0.16</v>
      </c>
      <c r="I557" s="2" t="s">
        <v>44</v>
      </c>
      <c r="J557" s="3">
        <v>0.18179999999999999</v>
      </c>
      <c r="K557" s="3">
        <v>0.74</v>
      </c>
      <c r="L557" s="3">
        <v>0.1343</v>
      </c>
      <c r="M557">
        <v>5</v>
      </c>
      <c r="N557">
        <v>233</v>
      </c>
      <c r="O557">
        <v>238</v>
      </c>
    </row>
    <row r="558" spans="1:15" x14ac:dyDescent="0.3">
      <c r="A558">
        <v>557</v>
      </c>
      <c r="B558" s="1">
        <v>40568</v>
      </c>
      <c r="C558">
        <v>9</v>
      </c>
      <c r="D558" s="2" t="s">
        <v>43</v>
      </c>
      <c r="E558" t="s">
        <v>26</v>
      </c>
      <c r="F558" s="2" t="s">
        <v>33</v>
      </c>
      <c r="G558" t="s">
        <v>29</v>
      </c>
      <c r="H558" s="3">
        <v>0.2</v>
      </c>
      <c r="I558" s="2" t="s">
        <v>44</v>
      </c>
      <c r="J558" s="3">
        <v>0.2273</v>
      </c>
      <c r="K558" s="3">
        <v>0.64</v>
      </c>
      <c r="L558" s="3">
        <v>8.9599999999999999E-2</v>
      </c>
      <c r="M558">
        <v>10</v>
      </c>
      <c r="N558">
        <v>134</v>
      </c>
      <c r="O558">
        <v>144</v>
      </c>
    </row>
    <row r="559" spans="1:15" x14ac:dyDescent="0.3">
      <c r="A559">
        <v>558</v>
      </c>
      <c r="B559" s="1">
        <v>40568</v>
      </c>
      <c r="C559">
        <v>10</v>
      </c>
      <c r="D559" s="2" t="s">
        <v>43</v>
      </c>
      <c r="E559" t="s">
        <v>26</v>
      </c>
      <c r="F559" s="2" t="s">
        <v>33</v>
      </c>
      <c r="G559" t="s">
        <v>29</v>
      </c>
      <c r="H559" s="3">
        <v>0.22</v>
      </c>
      <c r="I559" s="2" t="s">
        <v>42</v>
      </c>
      <c r="J559" s="3">
        <v>0.2424</v>
      </c>
      <c r="K559" s="3">
        <v>0.6</v>
      </c>
      <c r="L559" s="3">
        <v>0.1045</v>
      </c>
      <c r="M559">
        <v>6</v>
      </c>
      <c r="N559">
        <v>49</v>
      </c>
      <c r="O559">
        <v>55</v>
      </c>
    </row>
    <row r="560" spans="1:15" x14ac:dyDescent="0.3">
      <c r="A560">
        <v>559</v>
      </c>
      <c r="B560" s="1">
        <v>40568</v>
      </c>
      <c r="C560">
        <v>11</v>
      </c>
      <c r="D560" s="2" t="s">
        <v>43</v>
      </c>
      <c r="E560" t="s">
        <v>26</v>
      </c>
      <c r="F560" s="2" t="s">
        <v>33</v>
      </c>
      <c r="G560" t="s">
        <v>29</v>
      </c>
      <c r="H560" s="3">
        <v>0.24</v>
      </c>
      <c r="I560" s="2" t="s">
        <v>42</v>
      </c>
      <c r="J560" s="3">
        <v>0.2424</v>
      </c>
      <c r="K560" s="3">
        <v>0.6</v>
      </c>
      <c r="L560" s="3">
        <v>0.1343</v>
      </c>
      <c r="M560">
        <v>6</v>
      </c>
      <c r="N560">
        <v>55</v>
      </c>
      <c r="O560">
        <v>61</v>
      </c>
    </row>
    <row r="561" spans="1:15" hidden="1" x14ac:dyDescent="0.3">
      <c r="A561">
        <v>560</v>
      </c>
      <c r="B561" s="1">
        <v>40568</v>
      </c>
      <c r="C561">
        <v>12</v>
      </c>
      <c r="D561" s="2" t="s">
        <v>45</v>
      </c>
      <c r="E561" t="s">
        <v>26</v>
      </c>
      <c r="F561" s="2" t="s">
        <v>33</v>
      </c>
      <c r="G561" t="s">
        <v>29</v>
      </c>
      <c r="H561" s="3">
        <v>0.26</v>
      </c>
      <c r="I561" s="2" t="s">
        <v>42</v>
      </c>
      <c r="J561" s="3">
        <v>0.28789999999999999</v>
      </c>
      <c r="K561" s="3">
        <v>0.56000000000000005</v>
      </c>
      <c r="L561" s="3">
        <v>8.9599999999999999E-2</v>
      </c>
      <c r="M561">
        <v>21</v>
      </c>
      <c r="N561">
        <v>85</v>
      </c>
      <c r="O561">
        <v>106</v>
      </c>
    </row>
    <row r="562" spans="1:15" hidden="1" x14ac:dyDescent="0.3">
      <c r="A562">
        <v>561</v>
      </c>
      <c r="B562" s="1">
        <v>40568</v>
      </c>
      <c r="C562">
        <v>13</v>
      </c>
      <c r="D562" s="2" t="s">
        <v>45</v>
      </c>
      <c r="E562" t="s">
        <v>26</v>
      </c>
      <c r="F562" s="2" t="s">
        <v>33</v>
      </c>
      <c r="G562" t="s">
        <v>29</v>
      </c>
      <c r="H562" s="3">
        <v>0.26</v>
      </c>
      <c r="I562" s="2" t="s">
        <v>42</v>
      </c>
      <c r="J562" s="3">
        <v>0.2727</v>
      </c>
      <c r="K562" s="3">
        <v>0.56000000000000005</v>
      </c>
      <c r="L562" s="3">
        <v>0.1343</v>
      </c>
      <c r="M562">
        <v>21</v>
      </c>
      <c r="N562">
        <v>72</v>
      </c>
      <c r="O562">
        <v>93</v>
      </c>
    </row>
    <row r="563" spans="1:15" hidden="1" x14ac:dyDescent="0.3">
      <c r="A563">
        <v>562</v>
      </c>
      <c r="B563" s="1">
        <v>40568</v>
      </c>
      <c r="C563">
        <v>14</v>
      </c>
      <c r="D563" s="2" t="s">
        <v>45</v>
      </c>
      <c r="E563" t="s">
        <v>26</v>
      </c>
      <c r="F563" s="2" t="s">
        <v>33</v>
      </c>
      <c r="G563" t="s">
        <v>29</v>
      </c>
      <c r="H563" s="3">
        <v>0.3</v>
      </c>
      <c r="I563" s="2" t="s">
        <v>42</v>
      </c>
      <c r="J563" s="3">
        <v>0.33329999999999999</v>
      </c>
      <c r="K563" s="3">
        <v>0.45</v>
      </c>
      <c r="L563" s="3">
        <v>0</v>
      </c>
      <c r="M563">
        <v>11</v>
      </c>
      <c r="N563">
        <v>57</v>
      </c>
      <c r="O563">
        <v>68</v>
      </c>
    </row>
    <row r="564" spans="1:15" hidden="1" x14ac:dyDescent="0.3">
      <c r="A564">
        <v>563</v>
      </c>
      <c r="B564" s="1">
        <v>40568</v>
      </c>
      <c r="C564">
        <v>15</v>
      </c>
      <c r="D564" s="2" t="s">
        <v>45</v>
      </c>
      <c r="E564" t="s">
        <v>26</v>
      </c>
      <c r="F564" s="2" t="s">
        <v>33</v>
      </c>
      <c r="G564" t="s">
        <v>29</v>
      </c>
      <c r="H564" s="3">
        <v>0.32</v>
      </c>
      <c r="I564" s="2" t="s">
        <v>42</v>
      </c>
      <c r="J564" s="3">
        <v>0.34849999999999998</v>
      </c>
      <c r="K564" s="3">
        <v>0.42</v>
      </c>
      <c r="L564" s="3">
        <v>0</v>
      </c>
      <c r="M564">
        <v>21</v>
      </c>
      <c r="N564">
        <v>63</v>
      </c>
      <c r="O564">
        <v>84</v>
      </c>
    </row>
    <row r="565" spans="1:15" hidden="1" x14ac:dyDescent="0.3">
      <c r="A565">
        <v>564</v>
      </c>
      <c r="B565" s="1">
        <v>40568</v>
      </c>
      <c r="C565">
        <v>16</v>
      </c>
      <c r="D565" s="2" t="s">
        <v>45</v>
      </c>
      <c r="E565" t="s">
        <v>26</v>
      </c>
      <c r="F565" s="2" t="s">
        <v>33</v>
      </c>
      <c r="G565" t="s">
        <v>29</v>
      </c>
      <c r="H565" s="3">
        <v>0.32</v>
      </c>
      <c r="I565" s="2" t="s">
        <v>42</v>
      </c>
      <c r="J565" s="3">
        <v>0.34849999999999998</v>
      </c>
      <c r="K565" s="3">
        <v>0.42</v>
      </c>
      <c r="L565" s="3">
        <v>0</v>
      </c>
      <c r="M565">
        <v>14</v>
      </c>
      <c r="N565">
        <v>102</v>
      </c>
      <c r="O565">
        <v>116</v>
      </c>
    </row>
    <row r="566" spans="1:15" hidden="1" x14ac:dyDescent="0.3">
      <c r="A566">
        <v>565</v>
      </c>
      <c r="B566" s="1">
        <v>40568</v>
      </c>
      <c r="C566">
        <v>17</v>
      </c>
      <c r="D566" s="2" t="s">
        <v>47</v>
      </c>
      <c r="E566" t="s">
        <v>26</v>
      </c>
      <c r="F566" s="2" t="s">
        <v>33</v>
      </c>
      <c r="G566" t="s">
        <v>28</v>
      </c>
      <c r="H566" s="3">
        <v>0.3</v>
      </c>
      <c r="I566" s="2" t="s">
        <v>42</v>
      </c>
      <c r="J566" s="3">
        <v>0.33329999999999999</v>
      </c>
      <c r="K566" s="3">
        <v>0.45</v>
      </c>
      <c r="L566" s="3">
        <v>0</v>
      </c>
      <c r="M566">
        <v>14</v>
      </c>
      <c r="N566">
        <v>208</v>
      </c>
      <c r="O566">
        <v>222</v>
      </c>
    </row>
    <row r="567" spans="1:15" hidden="1" x14ac:dyDescent="0.3">
      <c r="A567">
        <v>566</v>
      </c>
      <c r="B567" s="1">
        <v>40568</v>
      </c>
      <c r="C567">
        <v>18</v>
      </c>
      <c r="D567" s="2" t="s">
        <v>47</v>
      </c>
      <c r="E567" t="s">
        <v>26</v>
      </c>
      <c r="F567" s="2" t="s">
        <v>33</v>
      </c>
      <c r="G567" t="s">
        <v>29</v>
      </c>
      <c r="H567" s="3">
        <v>0.3</v>
      </c>
      <c r="I567" s="2" t="s">
        <v>42</v>
      </c>
      <c r="J567" s="3">
        <v>0.31819999999999998</v>
      </c>
      <c r="K567" s="3">
        <v>0.49</v>
      </c>
      <c r="L567" s="3">
        <v>8.9599999999999999E-2</v>
      </c>
      <c r="M567">
        <v>7</v>
      </c>
      <c r="N567">
        <v>218</v>
      </c>
      <c r="O567">
        <v>225</v>
      </c>
    </row>
    <row r="568" spans="1:15" hidden="1" x14ac:dyDescent="0.3">
      <c r="A568">
        <v>567</v>
      </c>
      <c r="B568" s="1">
        <v>40568</v>
      </c>
      <c r="C568">
        <v>19</v>
      </c>
      <c r="D568" s="2" t="s">
        <v>47</v>
      </c>
      <c r="E568" t="s">
        <v>26</v>
      </c>
      <c r="F568" s="2" t="s">
        <v>33</v>
      </c>
      <c r="G568" t="s">
        <v>29</v>
      </c>
      <c r="H568" s="3">
        <v>0.26</v>
      </c>
      <c r="I568" s="2" t="s">
        <v>42</v>
      </c>
      <c r="J568" s="3">
        <v>0.2576</v>
      </c>
      <c r="K568" s="3">
        <v>0.65</v>
      </c>
      <c r="L568" s="3">
        <v>0.16420000000000001</v>
      </c>
      <c r="M568">
        <v>13</v>
      </c>
      <c r="N568">
        <v>133</v>
      </c>
      <c r="O568">
        <v>146</v>
      </c>
    </row>
    <row r="569" spans="1:15" hidden="1" x14ac:dyDescent="0.3">
      <c r="A569">
        <v>568</v>
      </c>
      <c r="B569" s="1">
        <v>40568</v>
      </c>
      <c r="C569">
        <v>20</v>
      </c>
      <c r="D569" s="2" t="s">
        <v>47</v>
      </c>
      <c r="E569" t="s">
        <v>26</v>
      </c>
      <c r="F569" s="2" t="s">
        <v>33</v>
      </c>
      <c r="G569" t="s">
        <v>28</v>
      </c>
      <c r="H569" s="3">
        <v>0.24</v>
      </c>
      <c r="I569" s="2" t="s">
        <v>42</v>
      </c>
      <c r="J569" s="3">
        <v>0.2273</v>
      </c>
      <c r="K569" s="3">
        <v>0.65</v>
      </c>
      <c r="L569" s="3">
        <v>0.19400000000000001</v>
      </c>
      <c r="M569">
        <v>16</v>
      </c>
      <c r="N569">
        <v>103</v>
      </c>
      <c r="O569">
        <v>119</v>
      </c>
    </row>
    <row r="570" spans="1:15" hidden="1" x14ac:dyDescent="0.3">
      <c r="A570">
        <v>569</v>
      </c>
      <c r="B570" s="1">
        <v>40568</v>
      </c>
      <c r="C570">
        <v>21</v>
      </c>
      <c r="D570" s="2" t="s">
        <v>41</v>
      </c>
      <c r="E570" t="s">
        <v>26</v>
      </c>
      <c r="F570" s="2" t="s">
        <v>33</v>
      </c>
      <c r="G570" t="s">
        <v>28</v>
      </c>
      <c r="H570" s="3">
        <v>0.24</v>
      </c>
      <c r="I570" s="2" t="s">
        <v>42</v>
      </c>
      <c r="J570" s="3">
        <v>0.2273</v>
      </c>
      <c r="K570" s="3">
        <v>0.65</v>
      </c>
      <c r="L570" s="3">
        <v>0.19400000000000001</v>
      </c>
      <c r="M570">
        <v>5</v>
      </c>
      <c r="N570">
        <v>40</v>
      </c>
      <c r="O570">
        <v>45</v>
      </c>
    </row>
    <row r="571" spans="1:15" hidden="1" x14ac:dyDescent="0.3">
      <c r="A571">
        <v>570</v>
      </c>
      <c r="B571" s="1">
        <v>40568</v>
      </c>
      <c r="C571">
        <v>22</v>
      </c>
      <c r="D571" s="2" t="s">
        <v>41</v>
      </c>
      <c r="E571" t="s">
        <v>26</v>
      </c>
      <c r="F571" s="2" t="s">
        <v>33</v>
      </c>
      <c r="G571" t="s">
        <v>28</v>
      </c>
      <c r="H571" s="3">
        <v>0.22</v>
      </c>
      <c r="I571" s="2" t="s">
        <v>42</v>
      </c>
      <c r="J571" s="3">
        <v>0.2273</v>
      </c>
      <c r="K571" s="3">
        <v>0.64</v>
      </c>
      <c r="L571" s="3">
        <v>0.16420000000000001</v>
      </c>
      <c r="M571">
        <v>4</v>
      </c>
      <c r="N571">
        <v>49</v>
      </c>
      <c r="O571">
        <v>53</v>
      </c>
    </row>
    <row r="572" spans="1:15" hidden="1" x14ac:dyDescent="0.3">
      <c r="A572">
        <v>571</v>
      </c>
      <c r="B572" s="1">
        <v>40568</v>
      </c>
      <c r="C572">
        <v>23</v>
      </c>
      <c r="D572" s="2" t="s">
        <v>41</v>
      </c>
      <c r="E572" t="s">
        <v>26</v>
      </c>
      <c r="F572" s="2" t="s">
        <v>33</v>
      </c>
      <c r="G572" t="s">
        <v>29</v>
      </c>
      <c r="H572" s="3">
        <v>0.22</v>
      </c>
      <c r="I572" s="2" t="s">
        <v>42</v>
      </c>
      <c r="J572" s="3">
        <v>0.2273</v>
      </c>
      <c r="K572" s="3">
        <v>0.64</v>
      </c>
      <c r="L572" s="3">
        <v>0.16420000000000001</v>
      </c>
      <c r="M572">
        <v>3</v>
      </c>
      <c r="N572">
        <v>37</v>
      </c>
      <c r="O572">
        <v>40</v>
      </c>
    </row>
    <row r="573" spans="1:15" hidden="1" x14ac:dyDescent="0.3">
      <c r="A573">
        <v>572</v>
      </c>
      <c r="B573" s="1">
        <v>40569</v>
      </c>
      <c r="C573">
        <v>0</v>
      </c>
      <c r="D573" s="2" t="s">
        <v>41</v>
      </c>
      <c r="E573" t="s">
        <v>26</v>
      </c>
      <c r="F573" s="2" t="s">
        <v>34</v>
      </c>
      <c r="G573" t="s">
        <v>29</v>
      </c>
      <c r="H573" s="3">
        <v>0.22</v>
      </c>
      <c r="I573" s="2" t="s">
        <v>42</v>
      </c>
      <c r="J573" s="3">
        <v>0.2273</v>
      </c>
      <c r="K573" s="3">
        <v>0.69</v>
      </c>
      <c r="L573" s="3">
        <v>0.1343</v>
      </c>
      <c r="M573">
        <v>3</v>
      </c>
      <c r="N573">
        <v>14</v>
      </c>
      <c r="O573">
        <v>17</v>
      </c>
    </row>
    <row r="574" spans="1:15" hidden="1" x14ac:dyDescent="0.3">
      <c r="A574">
        <v>573</v>
      </c>
      <c r="B574" s="1">
        <v>40569</v>
      </c>
      <c r="C574">
        <v>1</v>
      </c>
      <c r="D574" s="2" t="s">
        <v>41</v>
      </c>
      <c r="E574" t="s">
        <v>26</v>
      </c>
      <c r="F574" s="2" t="s">
        <v>34</v>
      </c>
      <c r="G574" t="s">
        <v>29</v>
      </c>
      <c r="H574" s="3">
        <v>0.24</v>
      </c>
      <c r="I574" s="2" t="s">
        <v>42</v>
      </c>
      <c r="J574" s="3">
        <v>0.2424</v>
      </c>
      <c r="K574" s="3">
        <v>0.65</v>
      </c>
      <c r="L574" s="3">
        <v>0.1343</v>
      </c>
      <c r="M574">
        <v>0</v>
      </c>
      <c r="N574">
        <v>5</v>
      </c>
      <c r="O574">
        <v>5</v>
      </c>
    </row>
    <row r="575" spans="1:15" hidden="1" x14ac:dyDescent="0.3">
      <c r="A575">
        <v>574</v>
      </c>
      <c r="B575" s="1">
        <v>40569</v>
      </c>
      <c r="C575">
        <v>2</v>
      </c>
      <c r="D575" s="2" t="s">
        <v>41</v>
      </c>
      <c r="E575" t="s">
        <v>26</v>
      </c>
      <c r="F575" s="2" t="s">
        <v>34</v>
      </c>
      <c r="G575" t="s">
        <v>30</v>
      </c>
      <c r="H575" s="3">
        <v>0.22</v>
      </c>
      <c r="I575" s="2" t="s">
        <v>42</v>
      </c>
      <c r="J575" s="3">
        <v>0.2273</v>
      </c>
      <c r="K575" s="3">
        <v>0.69</v>
      </c>
      <c r="L575" s="3">
        <v>0.19400000000000001</v>
      </c>
      <c r="M575">
        <v>3</v>
      </c>
      <c r="N575">
        <v>7</v>
      </c>
      <c r="O575">
        <v>10</v>
      </c>
    </row>
    <row r="576" spans="1:15" x14ac:dyDescent="0.3">
      <c r="A576">
        <v>575</v>
      </c>
      <c r="B576" s="1">
        <v>40569</v>
      </c>
      <c r="C576">
        <v>5</v>
      </c>
      <c r="D576" s="2" t="s">
        <v>43</v>
      </c>
      <c r="E576" t="s">
        <v>26</v>
      </c>
      <c r="F576" s="2" t="s">
        <v>34</v>
      </c>
      <c r="G576" t="s">
        <v>30</v>
      </c>
      <c r="H576" s="3">
        <v>0.2</v>
      </c>
      <c r="I576" s="2" t="s">
        <v>44</v>
      </c>
      <c r="J576" s="3">
        <v>0.18179999999999999</v>
      </c>
      <c r="K576" s="3">
        <v>0.86</v>
      </c>
      <c r="L576" s="3">
        <v>0.28360000000000002</v>
      </c>
      <c r="M576">
        <v>0</v>
      </c>
      <c r="N576">
        <v>1</v>
      </c>
      <c r="O576">
        <v>1</v>
      </c>
    </row>
    <row r="577" spans="1:15" x14ac:dyDescent="0.3">
      <c r="A577">
        <v>576</v>
      </c>
      <c r="B577" s="1">
        <v>40569</v>
      </c>
      <c r="C577">
        <v>6</v>
      </c>
      <c r="D577" s="2" t="s">
        <v>43</v>
      </c>
      <c r="E577" t="s">
        <v>26</v>
      </c>
      <c r="F577" s="2" t="s">
        <v>34</v>
      </c>
      <c r="G577" t="s">
        <v>30</v>
      </c>
      <c r="H577" s="3">
        <v>0.2</v>
      </c>
      <c r="I577" s="2" t="s">
        <v>44</v>
      </c>
      <c r="J577" s="3">
        <v>0.18179999999999999</v>
      </c>
      <c r="K577" s="3">
        <v>0.86</v>
      </c>
      <c r="L577" s="3">
        <v>0.28360000000000002</v>
      </c>
      <c r="M577">
        <v>0</v>
      </c>
      <c r="N577">
        <v>8</v>
      </c>
      <c r="O577">
        <v>8</v>
      </c>
    </row>
    <row r="578" spans="1:15" x14ac:dyDescent="0.3">
      <c r="A578">
        <v>577</v>
      </c>
      <c r="B578" s="1">
        <v>40569</v>
      </c>
      <c r="C578">
        <v>7</v>
      </c>
      <c r="D578" s="2" t="s">
        <v>43</v>
      </c>
      <c r="E578" t="s">
        <v>26</v>
      </c>
      <c r="F578" s="2" t="s">
        <v>34</v>
      </c>
      <c r="G578" t="s">
        <v>30</v>
      </c>
      <c r="H578" s="3">
        <v>0.22</v>
      </c>
      <c r="I578" s="2" t="s">
        <v>42</v>
      </c>
      <c r="J578" s="3">
        <v>0.21210000000000001</v>
      </c>
      <c r="K578" s="3">
        <v>0.87</v>
      </c>
      <c r="L578" s="3">
        <v>0.29849999999999999</v>
      </c>
      <c r="M578">
        <v>1</v>
      </c>
      <c r="N578">
        <v>29</v>
      </c>
      <c r="O578">
        <v>30</v>
      </c>
    </row>
    <row r="579" spans="1:15" x14ac:dyDescent="0.3">
      <c r="A579">
        <v>578</v>
      </c>
      <c r="B579" s="1">
        <v>40569</v>
      </c>
      <c r="C579">
        <v>8</v>
      </c>
      <c r="D579" s="2" t="s">
        <v>43</v>
      </c>
      <c r="E579" t="s">
        <v>26</v>
      </c>
      <c r="F579" s="2" t="s">
        <v>34</v>
      </c>
      <c r="G579" t="s">
        <v>30</v>
      </c>
      <c r="H579" s="3">
        <v>0.22</v>
      </c>
      <c r="I579" s="2" t="s">
        <v>42</v>
      </c>
      <c r="J579" s="3">
        <v>0.21210000000000001</v>
      </c>
      <c r="K579" s="3">
        <v>0.87</v>
      </c>
      <c r="L579" s="3">
        <v>0.29849999999999999</v>
      </c>
      <c r="M579">
        <v>3</v>
      </c>
      <c r="N579">
        <v>69</v>
      </c>
      <c r="O579">
        <v>72</v>
      </c>
    </row>
    <row r="580" spans="1:15" x14ac:dyDescent="0.3">
      <c r="A580">
        <v>579</v>
      </c>
      <c r="B580" s="1">
        <v>40569</v>
      </c>
      <c r="C580">
        <v>9</v>
      </c>
      <c r="D580" s="2" t="s">
        <v>43</v>
      </c>
      <c r="E580" t="s">
        <v>26</v>
      </c>
      <c r="F580" s="2" t="s">
        <v>34</v>
      </c>
      <c r="G580" t="s">
        <v>30</v>
      </c>
      <c r="H580" s="3">
        <v>0.22</v>
      </c>
      <c r="I580" s="2" t="s">
        <v>42</v>
      </c>
      <c r="J580" s="3">
        <v>0.21210000000000001</v>
      </c>
      <c r="K580" s="3">
        <v>0.87</v>
      </c>
      <c r="L580" s="3">
        <v>0.29849999999999999</v>
      </c>
      <c r="M580">
        <v>3</v>
      </c>
      <c r="N580">
        <v>55</v>
      </c>
      <c r="O580">
        <v>58</v>
      </c>
    </row>
    <row r="581" spans="1:15" x14ac:dyDescent="0.3">
      <c r="A581">
        <v>580</v>
      </c>
      <c r="B581" s="1">
        <v>40569</v>
      </c>
      <c r="C581">
        <v>10</v>
      </c>
      <c r="D581" s="2" t="s">
        <v>43</v>
      </c>
      <c r="E581" t="s">
        <v>26</v>
      </c>
      <c r="F581" s="2" t="s">
        <v>34</v>
      </c>
      <c r="G581" t="s">
        <v>30</v>
      </c>
      <c r="H581" s="3">
        <v>0.22</v>
      </c>
      <c r="I581" s="2" t="s">
        <v>42</v>
      </c>
      <c r="J581" s="3">
        <v>0.21210000000000001</v>
      </c>
      <c r="K581" s="3">
        <v>0.93</v>
      </c>
      <c r="L581" s="3">
        <v>0.28360000000000002</v>
      </c>
      <c r="M581">
        <v>2</v>
      </c>
      <c r="N581">
        <v>26</v>
      </c>
      <c r="O581">
        <v>28</v>
      </c>
    </row>
    <row r="582" spans="1:15" x14ac:dyDescent="0.3">
      <c r="A582">
        <v>581</v>
      </c>
      <c r="B582" s="1">
        <v>40569</v>
      </c>
      <c r="C582">
        <v>11</v>
      </c>
      <c r="D582" s="2" t="s">
        <v>43</v>
      </c>
      <c r="E582" t="s">
        <v>26</v>
      </c>
      <c r="F582" s="2" t="s">
        <v>34</v>
      </c>
      <c r="G582" t="s">
        <v>30</v>
      </c>
      <c r="H582" s="3">
        <v>0.22</v>
      </c>
      <c r="I582" s="2" t="s">
        <v>42</v>
      </c>
      <c r="J582" s="3">
        <v>0.19700000000000001</v>
      </c>
      <c r="K582" s="3">
        <v>0.93</v>
      </c>
      <c r="L582" s="3">
        <v>0.32840000000000003</v>
      </c>
      <c r="M582">
        <v>6</v>
      </c>
      <c r="N582">
        <v>35</v>
      </c>
      <c r="O582">
        <v>41</v>
      </c>
    </row>
    <row r="583" spans="1:15" hidden="1" x14ac:dyDescent="0.3">
      <c r="A583">
        <v>582</v>
      </c>
      <c r="B583" s="1">
        <v>40569</v>
      </c>
      <c r="C583">
        <v>12</v>
      </c>
      <c r="D583" s="2" t="s">
        <v>45</v>
      </c>
      <c r="E583" t="s">
        <v>26</v>
      </c>
      <c r="F583" s="2" t="s">
        <v>34</v>
      </c>
      <c r="G583" t="s">
        <v>30</v>
      </c>
      <c r="H583" s="3">
        <v>0.22</v>
      </c>
      <c r="I583" s="2" t="s">
        <v>42</v>
      </c>
      <c r="J583" s="3">
        <v>0.19700000000000001</v>
      </c>
      <c r="K583" s="3">
        <v>0.93</v>
      </c>
      <c r="L583" s="3">
        <v>0.32840000000000003</v>
      </c>
      <c r="M583">
        <v>7</v>
      </c>
      <c r="N583">
        <v>41</v>
      </c>
      <c r="O583">
        <v>48</v>
      </c>
    </row>
    <row r="584" spans="1:15" hidden="1" x14ac:dyDescent="0.3">
      <c r="A584">
        <v>583</v>
      </c>
      <c r="B584" s="1">
        <v>40569</v>
      </c>
      <c r="C584">
        <v>13</v>
      </c>
      <c r="D584" s="2" t="s">
        <v>45</v>
      </c>
      <c r="E584" t="s">
        <v>26</v>
      </c>
      <c r="F584" s="2" t="s">
        <v>34</v>
      </c>
      <c r="G584" t="s">
        <v>30</v>
      </c>
      <c r="H584" s="3">
        <v>0.22</v>
      </c>
      <c r="I584" s="2" t="s">
        <v>42</v>
      </c>
      <c r="J584" s="3">
        <v>0.19700000000000001</v>
      </c>
      <c r="K584" s="3">
        <v>0.93</v>
      </c>
      <c r="L584" s="3">
        <v>0.32840000000000003</v>
      </c>
      <c r="M584">
        <v>4</v>
      </c>
      <c r="N584">
        <v>43</v>
      </c>
      <c r="O584">
        <v>47</v>
      </c>
    </row>
    <row r="585" spans="1:15" hidden="1" x14ac:dyDescent="0.3">
      <c r="A585">
        <v>584</v>
      </c>
      <c r="B585" s="1">
        <v>40569</v>
      </c>
      <c r="C585">
        <v>14</v>
      </c>
      <c r="D585" s="2" t="s">
        <v>45</v>
      </c>
      <c r="E585" t="s">
        <v>26</v>
      </c>
      <c r="F585" s="2" t="s">
        <v>34</v>
      </c>
      <c r="G585" t="s">
        <v>30</v>
      </c>
      <c r="H585" s="3">
        <v>0.22</v>
      </c>
      <c r="I585" s="2" t="s">
        <v>42</v>
      </c>
      <c r="J585" s="3">
        <v>0.19700000000000001</v>
      </c>
      <c r="K585" s="3">
        <v>0.93</v>
      </c>
      <c r="L585" s="3">
        <v>0.35820000000000002</v>
      </c>
      <c r="M585">
        <v>0</v>
      </c>
      <c r="N585">
        <v>36</v>
      </c>
      <c r="O585">
        <v>36</v>
      </c>
    </row>
    <row r="586" spans="1:15" hidden="1" x14ac:dyDescent="0.3">
      <c r="A586">
        <v>585</v>
      </c>
      <c r="B586" s="1">
        <v>40569</v>
      </c>
      <c r="C586">
        <v>15</v>
      </c>
      <c r="D586" s="2" t="s">
        <v>45</v>
      </c>
      <c r="E586" t="s">
        <v>26</v>
      </c>
      <c r="F586" s="2" t="s">
        <v>34</v>
      </c>
      <c r="G586" t="s">
        <v>30</v>
      </c>
      <c r="H586" s="3">
        <v>0.22</v>
      </c>
      <c r="I586" s="2" t="s">
        <v>42</v>
      </c>
      <c r="J586" s="3">
        <v>0.18179999999999999</v>
      </c>
      <c r="K586" s="3">
        <v>0.93</v>
      </c>
      <c r="L586" s="3">
        <v>0.4627</v>
      </c>
      <c r="M586">
        <v>1</v>
      </c>
      <c r="N586">
        <v>42</v>
      </c>
      <c r="O586">
        <v>43</v>
      </c>
    </row>
    <row r="587" spans="1:15" hidden="1" x14ac:dyDescent="0.3">
      <c r="A587">
        <v>586</v>
      </c>
      <c r="B587" s="1">
        <v>40569</v>
      </c>
      <c r="C587">
        <v>16</v>
      </c>
      <c r="D587" s="2" t="s">
        <v>45</v>
      </c>
      <c r="E587" t="s">
        <v>26</v>
      </c>
      <c r="F587" s="2" t="s">
        <v>34</v>
      </c>
      <c r="G587" t="s">
        <v>37</v>
      </c>
      <c r="H587" s="3">
        <v>0.22</v>
      </c>
      <c r="I587" s="2" t="s">
        <v>42</v>
      </c>
      <c r="J587" s="3">
        <v>0.19700000000000001</v>
      </c>
      <c r="K587" s="3">
        <v>0.93</v>
      </c>
      <c r="L587" s="3">
        <v>0.32840000000000003</v>
      </c>
      <c r="M587">
        <v>1</v>
      </c>
      <c r="N587">
        <v>35</v>
      </c>
      <c r="O587">
        <v>36</v>
      </c>
    </row>
    <row r="588" spans="1:15" hidden="1" x14ac:dyDescent="0.3">
      <c r="A588">
        <v>587</v>
      </c>
      <c r="B588" s="1">
        <v>40569</v>
      </c>
      <c r="C588">
        <v>17</v>
      </c>
      <c r="D588" s="2" t="s">
        <v>47</v>
      </c>
      <c r="E588" t="s">
        <v>26</v>
      </c>
      <c r="F588" s="2" t="s">
        <v>34</v>
      </c>
      <c r="G588" t="s">
        <v>30</v>
      </c>
      <c r="H588" s="3">
        <v>0.2</v>
      </c>
      <c r="I588" s="2" t="s">
        <v>44</v>
      </c>
      <c r="J588" s="3">
        <v>0.18179999999999999</v>
      </c>
      <c r="K588" s="3">
        <v>0.93</v>
      </c>
      <c r="L588" s="3">
        <v>0.35820000000000002</v>
      </c>
      <c r="M588">
        <v>0</v>
      </c>
      <c r="N588">
        <v>26</v>
      </c>
      <c r="O588">
        <v>26</v>
      </c>
    </row>
    <row r="589" spans="1:15" hidden="1" x14ac:dyDescent="0.3">
      <c r="A589">
        <v>588</v>
      </c>
      <c r="B589" s="1">
        <v>40570</v>
      </c>
      <c r="C589">
        <v>16</v>
      </c>
      <c r="D589" s="2" t="s">
        <v>45</v>
      </c>
      <c r="E589" t="s">
        <v>26</v>
      </c>
      <c r="F589" s="2" t="s">
        <v>35</v>
      </c>
      <c r="G589" t="s">
        <v>28</v>
      </c>
      <c r="H589" s="3">
        <v>0.22</v>
      </c>
      <c r="I589" s="2" t="s">
        <v>42</v>
      </c>
      <c r="J589" s="3">
        <v>0.2273</v>
      </c>
      <c r="K589" s="3">
        <v>0.55000000000000004</v>
      </c>
      <c r="L589" s="3">
        <v>0.19400000000000001</v>
      </c>
      <c r="M589">
        <v>1</v>
      </c>
      <c r="N589">
        <v>23</v>
      </c>
      <c r="O589">
        <v>24</v>
      </c>
    </row>
    <row r="590" spans="1:15" hidden="1" x14ac:dyDescent="0.3">
      <c r="A590">
        <v>589</v>
      </c>
      <c r="B590" s="1">
        <v>40570</v>
      </c>
      <c r="C590">
        <v>17</v>
      </c>
      <c r="D590" s="2" t="s">
        <v>47</v>
      </c>
      <c r="E590" t="s">
        <v>26</v>
      </c>
      <c r="F590" s="2" t="s">
        <v>35</v>
      </c>
      <c r="G590" t="s">
        <v>28</v>
      </c>
      <c r="H590" s="3">
        <v>0.22</v>
      </c>
      <c r="I590" s="2" t="s">
        <v>42</v>
      </c>
      <c r="J590" s="3">
        <v>0.2424</v>
      </c>
      <c r="K590" s="3">
        <v>0.55000000000000004</v>
      </c>
      <c r="L590" s="3">
        <v>0.1045</v>
      </c>
      <c r="M590">
        <v>2</v>
      </c>
      <c r="N590">
        <v>82</v>
      </c>
      <c r="O590">
        <v>84</v>
      </c>
    </row>
    <row r="591" spans="1:15" hidden="1" x14ac:dyDescent="0.3">
      <c r="A591">
        <v>590</v>
      </c>
      <c r="B591" s="1">
        <v>40570</v>
      </c>
      <c r="C591">
        <v>18</v>
      </c>
      <c r="D591" s="2" t="s">
        <v>47</v>
      </c>
      <c r="E591" t="s">
        <v>26</v>
      </c>
      <c r="F591" s="2" t="s">
        <v>35</v>
      </c>
      <c r="G591" t="s">
        <v>28</v>
      </c>
      <c r="H591" s="3">
        <v>0.2</v>
      </c>
      <c r="I591" s="2" t="s">
        <v>44</v>
      </c>
      <c r="J591" s="3">
        <v>0.2273</v>
      </c>
      <c r="K591" s="3">
        <v>0.69</v>
      </c>
      <c r="L591" s="3">
        <v>8.9599999999999999E-2</v>
      </c>
      <c r="M591">
        <v>3</v>
      </c>
      <c r="N591">
        <v>101</v>
      </c>
      <c r="O591">
        <v>104</v>
      </c>
    </row>
    <row r="592" spans="1:15" hidden="1" x14ac:dyDescent="0.3">
      <c r="A592">
        <v>591</v>
      </c>
      <c r="B592" s="1">
        <v>40570</v>
      </c>
      <c r="C592">
        <v>19</v>
      </c>
      <c r="D592" s="2" t="s">
        <v>47</v>
      </c>
      <c r="E592" t="s">
        <v>26</v>
      </c>
      <c r="F592" s="2" t="s">
        <v>35</v>
      </c>
      <c r="G592" t="s">
        <v>28</v>
      </c>
      <c r="H592" s="3">
        <v>0.2</v>
      </c>
      <c r="I592" s="2" t="s">
        <v>44</v>
      </c>
      <c r="J592" s="3">
        <v>0.2273</v>
      </c>
      <c r="K592" s="3">
        <v>0.69</v>
      </c>
      <c r="L592" s="3">
        <v>8.9599999999999999E-2</v>
      </c>
      <c r="M592">
        <v>3</v>
      </c>
      <c r="N592">
        <v>76</v>
      </c>
      <c r="O592">
        <v>79</v>
      </c>
    </row>
    <row r="593" spans="1:15" hidden="1" x14ac:dyDescent="0.3">
      <c r="A593">
        <v>592</v>
      </c>
      <c r="B593" s="1">
        <v>40570</v>
      </c>
      <c r="C593">
        <v>20</v>
      </c>
      <c r="D593" s="2" t="s">
        <v>47</v>
      </c>
      <c r="E593" t="s">
        <v>26</v>
      </c>
      <c r="F593" s="2" t="s">
        <v>35</v>
      </c>
      <c r="G593" t="s">
        <v>28</v>
      </c>
      <c r="H593" s="3">
        <v>0.18</v>
      </c>
      <c r="I593" s="2" t="s">
        <v>44</v>
      </c>
      <c r="J593" s="3">
        <v>0.21210000000000001</v>
      </c>
      <c r="K593" s="3">
        <v>0.74</v>
      </c>
      <c r="L593" s="3">
        <v>8.9599999999999999E-2</v>
      </c>
      <c r="M593">
        <v>4</v>
      </c>
      <c r="N593">
        <v>55</v>
      </c>
      <c r="O593">
        <v>59</v>
      </c>
    </row>
    <row r="594" spans="1:15" hidden="1" x14ac:dyDescent="0.3">
      <c r="A594">
        <v>593</v>
      </c>
      <c r="B594" s="1">
        <v>40570</v>
      </c>
      <c r="C594">
        <v>21</v>
      </c>
      <c r="D594" s="2" t="s">
        <v>41</v>
      </c>
      <c r="E594" t="s">
        <v>26</v>
      </c>
      <c r="F594" s="2" t="s">
        <v>35</v>
      </c>
      <c r="G594" t="s">
        <v>28</v>
      </c>
      <c r="H594" s="3">
        <v>0.18</v>
      </c>
      <c r="I594" s="2" t="s">
        <v>44</v>
      </c>
      <c r="J594" s="3">
        <v>0.21210000000000001</v>
      </c>
      <c r="K594" s="3">
        <v>0.74</v>
      </c>
      <c r="L594" s="3">
        <v>8.9599999999999999E-2</v>
      </c>
      <c r="M594">
        <v>2</v>
      </c>
      <c r="N594">
        <v>36</v>
      </c>
      <c r="O594">
        <v>38</v>
      </c>
    </row>
    <row r="595" spans="1:15" hidden="1" x14ac:dyDescent="0.3">
      <c r="A595">
        <v>594</v>
      </c>
      <c r="B595" s="1">
        <v>40570</v>
      </c>
      <c r="C595">
        <v>22</v>
      </c>
      <c r="D595" s="2" t="s">
        <v>41</v>
      </c>
      <c r="E595" t="s">
        <v>26</v>
      </c>
      <c r="F595" s="2" t="s">
        <v>35</v>
      </c>
      <c r="G595" t="s">
        <v>28</v>
      </c>
      <c r="H595" s="3">
        <v>0.18</v>
      </c>
      <c r="I595" s="2" t="s">
        <v>44</v>
      </c>
      <c r="J595" s="3">
        <v>0.21210000000000001</v>
      </c>
      <c r="K595" s="3">
        <v>0.74</v>
      </c>
      <c r="L595" s="3">
        <v>8.9599999999999999E-2</v>
      </c>
      <c r="M595">
        <v>0</v>
      </c>
      <c r="N595">
        <v>27</v>
      </c>
      <c r="O595">
        <v>27</v>
      </c>
    </row>
    <row r="596" spans="1:15" hidden="1" x14ac:dyDescent="0.3">
      <c r="A596">
        <v>595</v>
      </c>
      <c r="B596" s="1">
        <v>40570</v>
      </c>
      <c r="C596">
        <v>23</v>
      </c>
      <c r="D596" s="2" t="s">
        <v>41</v>
      </c>
      <c r="E596" t="s">
        <v>26</v>
      </c>
      <c r="F596" s="2" t="s">
        <v>35</v>
      </c>
      <c r="G596" t="s">
        <v>28</v>
      </c>
      <c r="H596" s="3">
        <v>0.18</v>
      </c>
      <c r="I596" s="2" t="s">
        <v>44</v>
      </c>
      <c r="J596" s="3">
        <v>0.19700000000000001</v>
      </c>
      <c r="K596" s="3">
        <v>0.8</v>
      </c>
      <c r="L596" s="3">
        <v>0.16420000000000001</v>
      </c>
      <c r="M596">
        <v>0</v>
      </c>
      <c r="N596">
        <v>16</v>
      </c>
      <c r="O596">
        <v>16</v>
      </c>
    </row>
    <row r="597" spans="1:15" hidden="1" x14ac:dyDescent="0.3">
      <c r="A597">
        <v>596</v>
      </c>
      <c r="B597" s="1">
        <v>40571</v>
      </c>
      <c r="C597">
        <v>0</v>
      </c>
      <c r="D597" s="2" t="s">
        <v>41</v>
      </c>
      <c r="E597" t="s">
        <v>26</v>
      </c>
      <c r="F597" s="2" t="s">
        <v>36</v>
      </c>
      <c r="G597" t="s">
        <v>29</v>
      </c>
      <c r="H597" s="3">
        <v>0.2</v>
      </c>
      <c r="I597" s="2" t="s">
        <v>44</v>
      </c>
      <c r="J597" s="3">
        <v>0.21210000000000001</v>
      </c>
      <c r="K597" s="3">
        <v>0.75</v>
      </c>
      <c r="L597" s="3">
        <v>0.1343</v>
      </c>
      <c r="M597">
        <v>0</v>
      </c>
      <c r="N597">
        <v>9</v>
      </c>
      <c r="O597">
        <v>9</v>
      </c>
    </row>
    <row r="598" spans="1:15" hidden="1" x14ac:dyDescent="0.3">
      <c r="A598">
        <v>597</v>
      </c>
      <c r="B598" s="1">
        <v>40571</v>
      </c>
      <c r="C598">
        <v>1</v>
      </c>
      <c r="D598" s="2" t="s">
        <v>41</v>
      </c>
      <c r="E598" t="s">
        <v>26</v>
      </c>
      <c r="F598" s="2" t="s">
        <v>36</v>
      </c>
      <c r="G598" t="s">
        <v>29</v>
      </c>
      <c r="H598" s="3">
        <v>0.2</v>
      </c>
      <c r="I598" s="2" t="s">
        <v>44</v>
      </c>
      <c r="J598" s="3">
        <v>0.21210000000000001</v>
      </c>
      <c r="K598" s="3">
        <v>0.75</v>
      </c>
      <c r="L598" s="3">
        <v>0.1343</v>
      </c>
      <c r="M598">
        <v>1</v>
      </c>
      <c r="N598">
        <v>2</v>
      </c>
      <c r="O598">
        <v>3</v>
      </c>
    </row>
    <row r="599" spans="1:15" hidden="1" x14ac:dyDescent="0.3">
      <c r="A599">
        <v>598</v>
      </c>
      <c r="B599" s="1">
        <v>40571</v>
      </c>
      <c r="C599">
        <v>2</v>
      </c>
      <c r="D599" s="2" t="s">
        <v>41</v>
      </c>
      <c r="E599" t="s">
        <v>26</v>
      </c>
      <c r="F599" s="2" t="s">
        <v>36</v>
      </c>
      <c r="G599" t="s">
        <v>29</v>
      </c>
      <c r="H599" s="3">
        <v>0.2</v>
      </c>
      <c r="I599" s="2" t="s">
        <v>44</v>
      </c>
      <c r="J599" s="3">
        <v>0.21210000000000001</v>
      </c>
      <c r="K599" s="3">
        <v>0.75</v>
      </c>
      <c r="L599" s="3">
        <v>0.16420000000000001</v>
      </c>
      <c r="M599">
        <v>0</v>
      </c>
      <c r="N599">
        <v>2</v>
      </c>
      <c r="O599">
        <v>2</v>
      </c>
    </row>
    <row r="600" spans="1:15" hidden="1" x14ac:dyDescent="0.3">
      <c r="A600">
        <v>599</v>
      </c>
      <c r="B600" s="1">
        <v>40571</v>
      </c>
      <c r="C600">
        <v>3</v>
      </c>
      <c r="D600" s="2" t="s">
        <v>41</v>
      </c>
      <c r="E600" t="s">
        <v>26</v>
      </c>
      <c r="F600" s="2" t="s">
        <v>36</v>
      </c>
      <c r="G600" t="s">
        <v>29</v>
      </c>
      <c r="H600" s="3">
        <v>0.2</v>
      </c>
      <c r="I600" s="2" t="s">
        <v>44</v>
      </c>
      <c r="J600" s="3">
        <v>0.2273</v>
      </c>
      <c r="K600" s="3">
        <v>0.75</v>
      </c>
      <c r="L600" s="3">
        <v>0.1045</v>
      </c>
      <c r="M600">
        <v>1</v>
      </c>
      <c r="N600">
        <v>0</v>
      </c>
      <c r="O600">
        <v>1</v>
      </c>
    </row>
    <row r="601" spans="1:15" x14ac:dyDescent="0.3">
      <c r="A601">
        <v>600</v>
      </c>
      <c r="B601" s="1">
        <v>40571</v>
      </c>
      <c r="C601">
        <v>5</v>
      </c>
      <c r="D601" s="2" t="s">
        <v>43</v>
      </c>
      <c r="E601" t="s">
        <v>26</v>
      </c>
      <c r="F601" s="2" t="s">
        <v>36</v>
      </c>
      <c r="G601" t="s">
        <v>29</v>
      </c>
      <c r="H601" s="3">
        <v>0.18</v>
      </c>
      <c r="I601" s="2" t="s">
        <v>44</v>
      </c>
      <c r="J601" s="3">
        <v>0.21210000000000001</v>
      </c>
      <c r="K601" s="3">
        <v>0.8</v>
      </c>
      <c r="L601" s="3">
        <v>0.1045</v>
      </c>
      <c r="M601">
        <v>0</v>
      </c>
      <c r="N601">
        <v>4</v>
      </c>
      <c r="O601">
        <v>4</v>
      </c>
    </row>
    <row r="602" spans="1:15" x14ac:dyDescent="0.3">
      <c r="A602">
        <v>601</v>
      </c>
      <c r="B602" s="1">
        <v>40571</v>
      </c>
      <c r="C602">
        <v>6</v>
      </c>
      <c r="D602" s="2" t="s">
        <v>43</v>
      </c>
      <c r="E602" t="s">
        <v>26</v>
      </c>
      <c r="F602" s="2" t="s">
        <v>36</v>
      </c>
      <c r="G602" t="s">
        <v>29</v>
      </c>
      <c r="H602" s="3">
        <v>0.18</v>
      </c>
      <c r="I602" s="2" t="s">
        <v>44</v>
      </c>
      <c r="J602" s="3">
        <v>0.19700000000000001</v>
      </c>
      <c r="K602" s="3">
        <v>0.8</v>
      </c>
      <c r="L602" s="3">
        <v>0.1343</v>
      </c>
      <c r="M602">
        <v>0</v>
      </c>
      <c r="N602">
        <v>16</v>
      </c>
      <c r="O602">
        <v>16</v>
      </c>
    </row>
    <row r="603" spans="1:15" x14ac:dyDescent="0.3">
      <c r="A603">
        <v>602</v>
      </c>
      <c r="B603" s="1">
        <v>40571</v>
      </c>
      <c r="C603">
        <v>7</v>
      </c>
      <c r="D603" s="2" t="s">
        <v>43</v>
      </c>
      <c r="E603" t="s">
        <v>26</v>
      </c>
      <c r="F603" s="2" t="s">
        <v>36</v>
      </c>
      <c r="G603" t="s">
        <v>29</v>
      </c>
      <c r="H603" s="3">
        <v>0.16</v>
      </c>
      <c r="I603" s="2" t="s">
        <v>44</v>
      </c>
      <c r="J603" s="3">
        <v>0.19700000000000001</v>
      </c>
      <c r="K603" s="3">
        <v>0.86</v>
      </c>
      <c r="L603" s="3">
        <v>8.9599999999999999E-2</v>
      </c>
      <c r="M603">
        <v>2</v>
      </c>
      <c r="N603">
        <v>58</v>
      </c>
      <c r="O603">
        <v>60</v>
      </c>
    </row>
    <row r="604" spans="1:15" x14ac:dyDescent="0.3">
      <c r="A604">
        <v>603</v>
      </c>
      <c r="B604" s="1">
        <v>40571</v>
      </c>
      <c r="C604">
        <v>8</v>
      </c>
      <c r="D604" s="2" t="s">
        <v>43</v>
      </c>
      <c r="E604" t="s">
        <v>26</v>
      </c>
      <c r="F604" s="2" t="s">
        <v>36</v>
      </c>
      <c r="G604" t="s">
        <v>29</v>
      </c>
      <c r="H604" s="3">
        <v>0.16</v>
      </c>
      <c r="I604" s="2" t="s">
        <v>44</v>
      </c>
      <c r="J604" s="3">
        <v>0.19700000000000001</v>
      </c>
      <c r="K604" s="3">
        <v>0.86</v>
      </c>
      <c r="L604" s="3">
        <v>8.9599999999999999E-2</v>
      </c>
      <c r="M604">
        <v>2</v>
      </c>
      <c r="N604">
        <v>155</v>
      </c>
      <c r="O604">
        <v>157</v>
      </c>
    </row>
    <row r="605" spans="1:15" x14ac:dyDescent="0.3">
      <c r="A605">
        <v>604</v>
      </c>
      <c r="B605" s="1">
        <v>40571</v>
      </c>
      <c r="C605">
        <v>9</v>
      </c>
      <c r="D605" s="2" t="s">
        <v>43</v>
      </c>
      <c r="E605" t="s">
        <v>26</v>
      </c>
      <c r="F605" s="2" t="s">
        <v>36</v>
      </c>
      <c r="G605" t="s">
        <v>30</v>
      </c>
      <c r="H605" s="3">
        <v>0.18</v>
      </c>
      <c r="I605" s="2" t="s">
        <v>44</v>
      </c>
      <c r="J605" s="3">
        <v>0.21210000000000001</v>
      </c>
      <c r="K605" s="3">
        <v>0.86</v>
      </c>
      <c r="L605" s="3">
        <v>8.9599999999999999E-2</v>
      </c>
      <c r="M605">
        <v>6</v>
      </c>
      <c r="N605">
        <v>95</v>
      </c>
      <c r="O605">
        <v>101</v>
      </c>
    </row>
    <row r="606" spans="1:15" x14ac:dyDescent="0.3">
      <c r="A606">
        <v>605</v>
      </c>
      <c r="B606" s="1">
        <v>40571</v>
      </c>
      <c r="C606">
        <v>10</v>
      </c>
      <c r="D606" s="2" t="s">
        <v>43</v>
      </c>
      <c r="E606" t="s">
        <v>26</v>
      </c>
      <c r="F606" s="2" t="s">
        <v>36</v>
      </c>
      <c r="G606" t="s">
        <v>30</v>
      </c>
      <c r="H606" s="3">
        <v>0.18</v>
      </c>
      <c r="I606" s="2" t="s">
        <v>44</v>
      </c>
      <c r="J606" s="3">
        <v>0.21210000000000001</v>
      </c>
      <c r="K606" s="3">
        <v>0.86</v>
      </c>
      <c r="L606" s="3">
        <v>0.1045</v>
      </c>
      <c r="M606">
        <v>0</v>
      </c>
      <c r="N606">
        <v>49</v>
      </c>
      <c r="O606">
        <v>49</v>
      </c>
    </row>
    <row r="607" spans="1:15" x14ac:dyDescent="0.3">
      <c r="A607">
        <v>606</v>
      </c>
      <c r="B607" s="1">
        <v>40571</v>
      </c>
      <c r="C607">
        <v>11</v>
      </c>
      <c r="D607" s="2" t="s">
        <v>43</v>
      </c>
      <c r="E607" t="s">
        <v>26</v>
      </c>
      <c r="F607" s="2" t="s">
        <v>36</v>
      </c>
      <c r="G607" t="s">
        <v>30</v>
      </c>
      <c r="H607" s="3">
        <v>0.18</v>
      </c>
      <c r="I607" s="2" t="s">
        <v>44</v>
      </c>
      <c r="J607" s="3">
        <v>0.21210000000000001</v>
      </c>
      <c r="K607" s="3">
        <v>0.93</v>
      </c>
      <c r="L607" s="3">
        <v>0.1045</v>
      </c>
      <c r="M607">
        <v>0</v>
      </c>
      <c r="N607">
        <v>30</v>
      </c>
      <c r="O607">
        <v>30</v>
      </c>
    </row>
    <row r="608" spans="1:15" hidden="1" x14ac:dyDescent="0.3">
      <c r="A608">
        <v>607</v>
      </c>
      <c r="B608" s="1">
        <v>40571</v>
      </c>
      <c r="C608">
        <v>12</v>
      </c>
      <c r="D608" s="2" t="s">
        <v>45</v>
      </c>
      <c r="E608" t="s">
        <v>26</v>
      </c>
      <c r="F608" s="2" t="s">
        <v>36</v>
      </c>
      <c r="G608" t="s">
        <v>30</v>
      </c>
      <c r="H608" s="3">
        <v>0.18</v>
      </c>
      <c r="I608" s="2" t="s">
        <v>44</v>
      </c>
      <c r="J608" s="3">
        <v>0.21210000000000001</v>
      </c>
      <c r="K608" s="3">
        <v>0.93</v>
      </c>
      <c r="L608" s="3">
        <v>0.1045</v>
      </c>
      <c r="M608">
        <v>1</v>
      </c>
      <c r="N608">
        <v>28</v>
      </c>
      <c r="O608">
        <v>29</v>
      </c>
    </row>
    <row r="609" spans="1:15" hidden="1" x14ac:dyDescent="0.3">
      <c r="A609">
        <v>608</v>
      </c>
      <c r="B609" s="1">
        <v>40571</v>
      </c>
      <c r="C609">
        <v>13</v>
      </c>
      <c r="D609" s="2" t="s">
        <v>45</v>
      </c>
      <c r="E609" t="s">
        <v>26</v>
      </c>
      <c r="F609" s="2" t="s">
        <v>36</v>
      </c>
      <c r="G609" t="s">
        <v>30</v>
      </c>
      <c r="H609" s="3">
        <v>0.18</v>
      </c>
      <c r="I609" s="2" t="s">
        <v>44</v>
      </c>
      <c r="J609" s="3">
        <v>0.21210000000000001</v>
      </c>
      <c r="K609" s="3">
        <v>0.93</v>
      </c>
      <c r="L609" s="3">
        <v>0.1045</v>
      </c>
      <c r="M609">
        <v>0</v>
      </c>
      <c r="N609">
        <v>31</v>
      </c>
      <c r="O609">
        <v>31</v>
      </c>
    </row>
    <row r="610" spans="1:15" hidden="1" x14ac:dyDescent="0.3">
      <c r="A610">
        <v>609</v>
      </c>
      <c r="B610" s="1">
        <v>40571</v>
      </c>
      <c r="C610">
        <v>14</v>
      </c>
      <c r="D610" s="2" t="s">
        <v>45</v>
      </c>
      <c r="E610" t="s">
        <v>26</v>
      </c>
      <c r="F610" s="2" t="s">
        <v>36</v>
      </c>
      <c r="G610" t="s">
        <v>30</v>
      </c>
      <c r="H610" s="3">
        <v>0.22</v>
      </c>
      <c r="I610" s="2" t="s">
        <v>42</v>
      </c>
      <c r="J610" s="3">
        <v>0.2727</v>
      </c>
      <c r="K610" s="3">
        <v>0.8</v>
      </c>
      <c r="L610" s="3">
        <v>0</v>
      </c>
      <c r="M610">
        <v>2</v>
      </c>
      <c r="N610">
        <v>36</v>
      </c>
      <c r="O610">
        <v>38</v>
      </c>
    </row>
    <row r="611" spans="1:15" hidden="1" x14ac:dyDescent="0.3">
      <c r="A611">
        <v>610</v>
      </c>
      <c r="B611" s="1">
        <v>40571</v>
      </c>
      <c r="C611">
        <v>15</v>
      </c>
      <c r="D611" s="2" t="s">
        <v>45</v>
      </c>
      <c r="E611" t="s">
        <v>26</v>
      </c>
      <c r="F611" s="2" t="s">
        <v>36</v>
      </c>
      <c r="G611" t="s">
        <v>29</v>
      </c>
      <c r="H611" s="3">
        <v>0.2</v>
      </c>
      <c r="I611" s="2" t="s">
        <v>44</v>
      </c>
      <c r="J611" s="3">
        <v>0.2576</v>
      </c>
      <c r="K611" s="3">
        <v>0.86</v>
      </c>
      <c r="L611" s="3">
        <v>0</v>
      </c>
      <c r="M611">
        <v>1</v>
      </c>
      <c r="N611">
        <v>40</v>
      </c>
      <c r="O611">
        <v>41</v>
      </c>
    </row>
    <row r="612" spans="1:15" hidden="1" x14ac:dyDescent="0.3">
      <c r="A612">
        <v>611</v>
      </c>
      <c r="B612" s="1">
        <v>40571</v>
      </c>
      <c r="C612">
        <v>16</v>
      </c>
      <c r="D612" s="2" t="s">
        <v>45</v>
      </c>
      <c r="E612" t="s">
        <v>26</v>
      </c>
      <c r="F612" s="2" t="s">
        <v>36</v>
      </c>
      <c r="G612" t="s">
        <v>28</v>
      </c>
      <c r="H612" s="3">
        <v>0.22</v>
      </c>
      <c r="I612" s="2" t="s">
        <v>42</v>
      </c>
      <c r="J612" s="3">
        <v>0.2727</v>
      </c>
      <c r="K612" s="3">
        <v>0.8</v>
      </c>
      <c r="L612" s="3">
        <v>0</v>
      </c>
      <c r="M612">
        <v>10</v>
      </c>
      <c r="N612">
        <v>70</v>
      </c>
      <c r="O612">
        <v>80</v>
      </c>
    </row>
    <row r="613" spans="1:15" hidden="1" x14ac:dyDescent="0.3">
      <c r="A613">
        <v>612</v>
      </c>
      <c r="B613" s="1">
        <v>40571</v>
      </c>
      <c r="C613">
        <v>17</v>
      </c>
      <c r="D613" s="2" t="s">
        <v>47</v>
      </c>
      <c r="E613" t="s">
        <v>26</v>
      </c>
      <c r="F613" s="2" t="s">
        <v>36</v>
      </c>
      <c r="G613" t="s">
        <v>28</v>
      </c>
      <c r="H613" s="3">
        <v>0.24</v>
      </c>
      <c r="I613" s="2" t="s">
        <v>42</v>
      </c>
      <c r="J613" s="3">
        <v>0.2424</v>
      </c>
      <c r="K613" s="3">
        <v>0.75</v>
      </c>
      <c r="L613" s="3">
        <v>0.1343</v>
      </c>
      <c r="M613">
        <v>2</v>
      </c>
      <c r="N613">
        <v>147</v>
      </c>
      <c r="O613">
        <v>149</v>
      </c>
    </row>
    <row r="614" spans="1:15" hidden="1" x14ac:dyDescent="0.3">
      <c r="A614">
        <v>613</v>
      </c>
      <c r="B614" s="1">
        <v>40571</v>
      </c>
      <c r="C614">
        <v>18</v>
      </c>
      <c r="D614" s="2" t="s">
        <v>47</v>
      </c>
      <c r="E614" t="s">
        <v>26</v>
      </c>
      <c r="F614" s="2" t="s">
        <v>36</v>
      </c>
      <c r="G614" t="s">
        <v>28</v>
      </c>
      <c r="H614" s="3">
        <v>0.24</v>
      </c>
      <c r="I614" s="2" t="s">
        <v>42</v>
      </c>
      <c r="J614" s="3">
        <v>0.2273</v>
      </c>
      <c r="K614" s="3">
        <v>0.75</v>
      </c>
      <c r="L614" s="3">
        <v>0.19400000000000001</v>
      </c>
      <c r="M614">
        <v>2</v>
      </c>
      <c r="N614">
        <v>107</v>
      </c>
      <c r="O614">
        <v>109</v>
      </c>
    </row>
    <row r="615" spans="1:15" hidden="1" x14ac:dyDescent="0.3">
      <c r="A615">
        <v>614</v>
      </c>
      <c r="B615" s="1">
        <v>40571</v>
      </c>
      <c r="C615">
        <v>19</v>
      </c>
      <c r="D615" s="2" t="s">
        <v>47</v>
      </c>
      <c r="E615" t="s">
        <v>26</v>
      </c>
      <c r="F615" s="2" t="s">
        <v>36</v>
      </c>
      <c r="G615" t="s">
        <v>29</v>
      </c>
      <c r="H615" s="3">
        <v>0.24</v>
      </c>
      <c r="I615" s="2" t="s">
        <v>42</v>
      </c>
      <c r="J615" s="3">
        <v>0.2424</v>
      </c>
      <c r="K615" s="3">
        <v>0.75</v>
      </c>
      <c r="L615" s="3">
        <v>0.1343</v>
      </c>
      <c r="M615">
        <v>5</v>
      </c>
      <c r="N615">
        <v>84</v>
      </c>
      <c r="O615">
        <v>89</v>
      </c>
    </row>
    <row r="616" spans="1:15" hidden="1" x14ac:dyDescent="0.3">
      <c r="A616">
        <v>615</v>
      </c>
      <c r="B616" s="1">
        <v>40571</v>
      </c>
      <c r="C616">
        <v>20</v>
      </c>
      <c r="D616" s="2" t="s">
        <v>47</v>
      </c>
      <c r="E616" t="s">
        <v>26</v>
      </c>
      <c r="F616" s="2" t="s">
        <v>36</v>
      </c>
      <c r="G616" t="s">
        <v>29</v>
      </c>
      <c r="H616" s="3">
        <v>0.24</v>
      </c>
      <c r="I616" s="2" t="s">
        <v>42</v>
      </c>
      <c r="J616" s="3">
        <v>0.2273</v>
      </c>
      <c r="K616" s="3">
        <v>0.7</v>
      </c>
      <c r="L616" s="3">
        <v>0.19400000000000001</v>
      </c>
      <c r="M616">
        <v>1</v>
      </c>
      <c r="N616">
        <v>61</v>
      </c>
      <c r="O616">
        <v>62</v>
      </c>
    </row>
    <row r="617" spans="1:15" hidden="1" x14ac:dyDescent="0.3">
      <c r="A617">
        <v>616</v>
      </c>
      <c r="B617" s="1">
        <v>40571</v>
      </c>
      <c r="C617">
        <v>21</v>
      </c>
      <c r="D617" s="2" t="s">
        <v>41</v>
      </c>
      <c r="E617" t="s">
        <v>26</v>
      </c>
      <c r="F617" s="2" t="s">
        <v>36</v>
      </c>
      <c r="G617" t="s">
        <v>29</v>
      </c>
      <c r="H617" s="3">
        <v>0.22</v>
      </c>
      <c r="I617" s="2" t="s">
        <v>42</v>
      </c>
      <c r="J617" s="3">
        <v>0.2273</v>
      </c>
      <c r="K617" s="3">
        <v>0.75</v>
      </c>
      <c r="L617" s="3">
        <v>0.1343</v>
      </c>
      <c r="M617">
        <v>1</v>
      </c>
      <c r="N617">
        <v>57</v>
      </c>
      <c r="O617">
        <v>58</v>
      </c>
    </row>
    <row r="618" spans="1:15" hidden="1" x14ac:dyDescent="0.3">
      <c r="A618">
        <v>617</v>
      </c>
      <c r="B618" s="1">
        <v>40571</v>
      </c>
      <c r="C618">
        <v>22</v>
      </c>
      <c r="D618" s="2" t="s">
        <v>41</v>
      </c>
      <c r="E618" t="s">
        <v>26</v>
      </c>
      <c r="F618" s="2" t="s">
        <v>36</v>
      </c>
      <c r="G618" t="s">
        <v>28</v>
      </c>
      <c r="H618" s="3">
        <v>0.24</v>
      </c>
      <c r="I618" s="2" t="s">
        <v>42</v>
      </c>
      <c r="J618" s="3">
        <v>0.21210000000000001</v>
      </c>
      <c r="K618" s="3">
        <v>0.65</v>
      </c>
      <c r="L618" s="3">
        <v>0.35820000000000002</v>
      </c>
      <c r="M618">
        <v>0</v>
      </c>
      <c r="N618">
        <v>26</v>
      </c>
      <c r="O618">
        <v>26</v>
      </c>
    </row>
    <row r="619" spans="1:15" hidden="1" x14ac:dyDescent="0.3">
      <c r="A619">
        <v>618</v>
      </c>
      <c r="B619" s="1">
        <v>40571</v>
      </c>
      <c r="C619">
        <v>23</v>
      </c>
      <c r="D619" s="2" t="s">
        <v>41</v>
      </c>
      <c r="E619" t="s">
        <v>26</v>
      </c>
      <c r="F619" s="2" t="s">
        <v>36</v>
      </c>
      <c r="G619" t="s">
        <v>28</v>
      </c>
      <c r="H619" s="3">
        <v>0.24</v>
      </c>
      <c r="I619" s="2" t="s">
        <v>42</v>
      </c>
      <c r="J619" s="3">
        <v>0.2273</v>
      </c>
      <c r="K619" s="3">
        <v>0.6</v>
      </c>
      <c r="L619" s="3">
        <v>0.22389999999999999</v>
      </c>
      <c r="M619">
        <v>1</v>
      </c>
      <c r="N619">
        <v>22</v>
      </c>
      <c r="O619">
        <v>23</v>
      </c>
    </row>
    <row r="620" spans="1:15" hidden="1" x14ac:dyDescent="0.3">
      <c r="A620">
        <v>619</v>
      </c>
      <c r="B620" s="1">
        <v>40572</v>
      </c>
      <c r="C620">
        <v>0</v>
      </c>
      <c r="D620" s="2" t="s">
        <v>41</v>
      </c>
      <c r="E620" t="s">
        <v>26</v>
      </c>
      <c r="F620" s="2" t="s">
        <v>27</v>
      </c>
      <c r="G620" t="s">
        <v>28</v>
      </c>
      <c r="H620" s="3">
        <v>0.22</v>
      </c>
      <c r="I620" s="2" t="s">
        <v>42</v>
      </c>
      <c r="J620" s="3">
        <v>0.19700000000000001</v>
      </c>
      <c r="K620" s="3">
        <v>0.64</v>
      </c>
      <c r="L620" s="3">
        <v>0.35820000000000002</v>
      </c>
      <c r="M620">
        <v>2</v>
      </c>
      <c r="N620">
        <v>26</v>
      </c>
      <c r="O620">
        <v>28</v>
      </c>
    </row>
    <row r="621" spans="1:15" hidden="1" x14ac:dyDescent="0.3">
      <c r="A621">
        <v>620</v>
      </c>
      <c r="B621" s="1">
        <v>40572</v>
      </c>
      <c r="C621">
        <v>1</v>
      </c>
      <c r="D621" s="2" t="s">
        <v>41</v>
      </c>
      <c r="E621" t="s">
        <v>26</v>
      </c>
      <c r="F621" s="2" t="s">
        <v>27</v>
      </c>
      <c r="G621" t="s">
        <v>28</v>
      </c>
      <c r="H621" s="3">
        <v>0.22</v>
      </c>
      <c r="I621" s="2" t="s">
        <v>42</v>
      </c>
      <c r="J621" s="3">
        <v>0.2273</v>
      </c>
      <c r="K621" s="3">
        <v>0.64</v>
      </c>
      <c r="L621" s="3">
        <v>0.19400000000000001</v>
      </c>
      <c r="M621">
        <v>0</v>
      </c>
      <c r="N621">
        <v>20</v>
      </c>
      <c r="O621">
        <v>20</v>
      </c>
    </row>
    <row r="622" spans="1:15" hidden="1" x14ac:dyDescent="0.3">
      <c r="A622">
        <v>621</v>
      </c>
      <c r="B622" s="1">
        <v>40572</v>
      </c>
      <c r="C622">
        <v>2</v>
      </c>
      <c r="D622" s="2" t="s">
        <v>41</v>
      </c>
      <c r="E622" t="s">
        <v>26</v>
      </c>
      <c r="F622" s="2" t="s">
        <v>27</v>
      </c>
      <c r="G622" t="s">
        <v>28</v>
      </c>
      <c r="H622" s="3">
        <v>0.22</v>
      </c>
      <c r="I622" s="2" t="s">
        <v>42</v>
      </c>
      <c r="J622" s="3">
        <v>0.2273</v>
      </c>
      <c r="K622" s="3">
        <v>0.64</v>
      </c>
      <c r="L622" s="3">
        <v>0.16420000000000001</v>
      </c>
      <c r="M622">
        <v>0</v>
      </c>
      <c r="N622">
        <v>15</v>
      </c>
      <c r="O622">
        <v>15</v>
      </c>
    </row>
    <row r="623" spans="1:15" hidden="1" x14ac:dyDescent="0.3">
      <c r="A623">
        <v>622</v>
      </c>
      <c r="B623" s="1">
        <v>40572</v>
      </c>
      <c r="C623">
        <v>3</v>
      </c>
      <c r="D623" s="2" t="s">
        <v>41</v>
      </c>
      <c r="E623" t="s">
        <v>26</v>
      </c>
      <c r="F623" s="2" t="s">
        <v>27</v>
      </c>
      <c r="G623" t="s">
        <v>28</v>
      </c>
      <c r="H623" s="3">
        <v>0.2</v>
      </c>
      <c r="I623" s="2" t="s">
        <v>44</v>
      </c>
      <c r="J623" s="3">
        <v>0.21210000000000001</v>
      </c>
      <c r="K623" s="3">
        <v>0.64</v>
      </c>
      <c r="L623" s="3">
        <v>0.1343</v>
      </c>
      <c r="M623">
        <v>3</v>
      </c>
      <c r="N623">
        <v>5</v>
      </c>
      <c r="O623">
        <v>8</v>
      </c>
    </row>
    <row r="624" spans="1:15" hidden="1" x14ac:dyDescent="0.3">
      <c r="A624">
        <v>623</v>
      </c>
      <c r="B624" s="1">
        <v>40572</v>
      </c>
      <c r="C624">
        <v>4</v>
      </c>
      <c r="D624" s="2" t="s">
        <v>41</v>
      </c>
      <c r="E624" t="s">
        <v>26</v>
      </c>
      <c r="F624" s="2" t="s">
        <v>27</v>
      </c>
      <c r="G624" t="s">
        <v>28</v>
      </c>
      <c r="H624" s="3">
        <v>0.16</v>
      </c>
      <c r="I624" s="2" t="s">
        <v>44</v>
      </c>
      <c r="J624" s="3">
        <v>0.18179999999999999</v>
      </c>
      <c r="K624" s="3">
        <v>0.69</v>
      </c>
      <c r="L624" s="3">
        <v>0.1045</v>
      </c>
      <c r="M624">
        <v>1</v>
      </c>
      <c r="N624">
        <v>2</v>
      </c>
      <c r="O624">
        <v>3</v>
      </c>
    </row>
    <row r="625" spans="1:15" x14ac:dyDescent="0.3">
      <c r="A625">
        <v>624</v>
      </c>
      <c r="B625" s="1">
        <v>40572</v>
      </c>
      <c r="C625">
        <v>6</v>
      </c>
      <c r="D625" s="2" t="s">
        <v>43</v>
      </c>
      <c r="E625" t="s">
        <v>26</v>
      </c>
      <c r="F625" s="2" t="s">
        <v>27</v>
      </c>
      <c r="G625" t="s">
        <v>28</v>
      </c>
      <c r="H625" s="3">
        <v>0.16</v>
      </c>
      <c r="I625" s="2" t="s">
        <v>44</v>
      </c>
      <c r="J625" s="3">
        <v>0.18179999999999999</v>
      </c>
      <c r="K625" s="3">
        <v>0.64</v>
      </c>
      <c r="L625" s="3">
        <v>0.1343</v>
      </c>
      <c r="M625">
        <v>0</v>
      </c>
      <c r="N625">
        <v>2</v>
      </c>
      <c r="O625">
        <v>2</v>
      </c>
    </row>
    <row r="626" spans="1:15" x14ac:dyDescent="0.3">
      <c r="A626">
        <v>625</v>
      </c>
      <c r="B626" s="1">
        <v>40572</v>
      </c>
      <c r="C626">
        <v>7</v>
      </c>
      <c r="D626" s="2" t="s">
        <v>43</v>
      </c>
      <c r="E626" t="s">
        <v>26</v>
      </c>
      <c r="F626" s="2" t="s">
        <v>27</v>
      </c>
      <c r="G626" t="s">
        <v>28</v>
      </c>
      <c r="H626" s="3">
        <v>0.16</v>
      </c>
      <c r="I626" s="2" t="s">
        <v>44</v>
      </c>
      <c r="J626" s="3">
        <v>0.18179999999999999</v>
      </c>
      <c r="K626" s="3">
        <v>0.59</v>
      </c>
      <c r="L626" s="3">
        <v>0.1045</v>
      </c>
      <c r="M626">
        <v>1</v>
      </c>
      <c r="N626">
        <v>4</v>
      </c>
      <c r="O626">
        <v>5</v>
      </c>
    </row>
    <row r="627" spans="1:15" x14ac:dyDescent="0.3">
      <c r="A627">
        <v>626</v>
      </c>
      <c r="B627" s="1">
        <v>40572</v>
      </c>
      <c r="C627">
        <v>8</v>
      </c>
      <c r="D627" s="2" t="s">
        <v>43</v>
      </c>
      <c r="E627" t="s">
        <v>26</v>
      </c>
      <c r="F627" s="2" t="s">
        <v>27</v>
      </c>
      <c r="G627" t="s">
        <v>28</v>
      </c>
      <c r="H627" s="3">
        <v>0.18</v>
      </c>
      <c r="I627" s="2" t="s">
        <v>44</v>
      </c>
      <c r="J627" s="3">
        <v>0.19700000000000001</v>
      </c>
      <c r="K627" s="3">
        <v>0.55000000000000004</v>
      </c>
      <c r="L627" s="3">
        <v>0.16420000000000001</v>
      </c>
      <c r="M627">
        <v>3</v>
      </c>
      <c r="N627">
        <v>31</v>
      </c>
      <c r="O627">
        <v>34</v>
      </c>
    </row>
    <row r="628" spans="1:15" x14ac:dyDescent="0.3">
      <c r="A628">
        <v>627</v>
      </c>
      <c r="B628" s="1">
        <v>40572</v>
      </c>
      <c r="C628">
        <v>9</v>
      </c>
      <c r="D628" s="2" t="s">
        <v>43</v>
      </c>
      <c r="E628" t="s">
        <v>26</v>
      </c>
      <c r="F628" s="2" t="s">
        <v>27</v>
      </c>
      <c r="G628" t="s">
        <v>28</v>
      </c>
      <c r="H628" s="3">
        <v>0.18</v>
      </c>
      <c r="I628" s="2" t="s">
        <v>44</v>
      </c>
      <c r="J628" s="3">
        <v>0.21210000000000001</v>
      </c>
      <c r="K628" s="3">
        <v>0.59</v>
      </c>
      <c r="L628" s="3">
        <v>8.9599999999999999E-2</v>
      </c>
      <c r="M628">
        <v>0</v>
      </c>
      <c r="N628">
        <v>34</v>
      </c>
      <c r="O628">
        <v>34</v>
      </c>
    </row>
    <row r="629" spans="1:15" x14ac:dyDescent="0.3">
      <c r="A629">
        <v>628</v>
      </c>
      <c r="B629" s="1">
        <v>40572</v>
      </c>
      <c r="C629">
        <v>10</v>
      </c>
      <c r="D629" s="2" t="s">
        <v>43</v>
      </c>
      <c r="E629" t="s">
        <v>26</v>
      </c>
      <c r="F629" s="2" t="s">
        <v>27</v>
      </c>
      <c r="G629" t="s">
        <v>29</v>
      </c>
      <c r="H629" s="3">
        <v>0.18</v>
      </c>
      <c r="I629" s="2" t="s">
        <v>44</v>
      </c>
      <c r="J629" s="3">
        <v>0.21210000000000001</v>
      </c>
      <c r="K629" s="3">
        <v>0.64</v>
      </c>
      <c r="L629" s="3">
        <v>0.1045</v>
      </c>
      <c r="M629">
        <v>4</v>
      </c>
      <c r="N629">
        <v>51</v>
      </c>
      <c r="O629">
        <v>55</v>
      </c>
    </row>
    <row r="630" spans="1:15" x14ac:dyDescent="0.3">
      <c r="A630">
        <v>629</v>
      </c>
      <c r="B630" s="1">
        <v>40572</v>
      </c>
      <c r="C630">
        <v>11</v>
      </c>
      <c r="D630" s="2" t="s">
        <v>43</v>
      </c>
      <c r="E630" t="s">
        <v>26</v>
      </c>
      <c r="F630" s="2" t="s">
        <v>27</v>
      </c>
      <c r="G630" t="s">
        <v>29</v>
      </c>
      <c r="H630" s="3">
        <v>0.18</v>
      </c>
      <c r="I630" s="2" t="s">
        <v>44</v>
      </c>
      <c r="J630" s="3">
        <v>0.19700000000000001</v>
      </c>
      <c r="K630" s="3">
        <v>0.64</v>
      </c>
      <c r="L630" s="3">
        <v>0.1343</v>
      </c>
      <c r="M630">
        <v>4</v>
      </c>
      <c r="N630">
        <v>60</v>
      </c>
      <c r="O630">
        <v>64</v>
      </c>
    </row>
    <row r="631" spans="1:15" hidden="1" x14ac:dyDescent="0.3">
      <c r="A631">
        <v>630</v>
      </c>
      <c r="B631" s="1">
        <v>40572</v>
      </c>
      <c r="C631">
        <v>12</v>
      </c>
      <c r="D631" s="2" t="s">
        <v>45</v>
      </c>
      <c r="E631" t="s">
        <v>26</v>
      </c>
      <c r="F631" s="2" t="s">
        <v>27</v>
      </c>
      <c r="G631" t="s">
        <v>29</v>
      </c>
      <c r="H631" s="3">
        <v>0.2</v>
      </c>
      <c r="I631" s="2" t="s">
        <v>44</v>
      </c>
      <c r="J631" s="3">
        <v>0.19700000000000001</v>
      </c>
      <c r="K631" s="3">
        <v>0.59</v>
      </c>
      <c r="L631" s="3">
        <v>0.19400000000000001</v>
      </c>
      <c r="M631">
        <v>12</v>
      </c>
      <c r="N631">
        <v>66</v>
      </c>
      <c r="O631">
        <v>78</v>
      </c>
    </row>
    <row r="632" spans="1:15" hidden="1" x14ac:dyDescent="0.3">
      <c r="A632">
        <v>631</v>
      </c>
      <c r="B632" s="1">
        <v>40572</v>
      </c>
      <c r="C632">
        <v>13</v>
      </c>
      <c r="D632" s="2" t="s">
        <v>45</v>
      </c>
      <c r="E632" t="s">
        <v>26</v>
      </c>
      <c r="F632" s="2" t="s">
        <v>27</v>
      </c>
      <c r="G632" t="s">
        <v>29</v>
      </c>
      <c r="H632" s="3">
        <v>0.22</v>
      </c>
      <c r="I632" s="2" t="s">
        <v>42</v>
      </c>
      <c r="J632" s="3">
        <v>0.2273</v>
      </c>
      <c r="K632" s="3">
        <v>0.55000000000000004</v>
      </c>
      <c r="L632" s="3">
        <v>0.16420000000000001</v>
      </c>
      <c r="M632">
        <v>9</v>
      </c>
      <c r="N632">
        <v>56</v>
      </c>
      <c r="O632">
        <v>65</v>
      </c>
    </row>
    <row r="633" spans="1:15" hidden="1" x14ac:dyDescent="0.3">
      <c r="A633">
        <v>632</v>
      </c>
      <c r="B633" s="1">
        <v>40572</v>
      </c>
      <c r="C633">
        <v>14</v>
      </c>
      <c r="D633" s="2" t="s">
        <v>45</v>
      </c>
      <c r="E633" t="s">
        <v>26</v>
      </c>
      <c r="F633" s="2" t="s">
        <v>27</v>
      </c>
      <c r="G633" t="s">
        <v>29</v>
      </c>
      <c r="H633" s="3">
        <v>0.22</v>
      </c>
      <c r="I633" s="2" t="s">
        <v>42</v>
      </c>
      <c r="J633" s="3">
        <v>0.2273</v>
      </c>
      <c r="K633" s="3">
        <v>0.6</v>
      </c>
      <c r="L633" s="3">
        <v>0.1343</v>
      </c>
      <c r="M633">
        <v>10</v>
      </c>
      <c r="N633">
        <v>89</v>
      </c>
      <c r="O633">
        <v>99</v>
      </c>
    </row>
    <row r="634" spans="1:15" hidden="1" x14ac:dyDescent="0.3">
      <c r="A634">
        <v>633</v>
      </c>
      <c r="B634" s="1">
        <v>40572</v>
      </c>
      <c r="C634">
        <v>15</v>
      </c>
      <c r="D634" s="2" t="s">
        <v>45</v>
      </c>
      <c r="E634" t="s">
        <v>26</v>
      </c>
      <c r="F634" s="2" t="s">
        <v>27</v>
      </c>
      <c r="G634" t="s">
        <v>28</v>
      </c>
      <c r="H634" s="3">
        <v>0.22</v>
      </c>
      <c r="I634" s="2" t="s">
        <v>42</v>
      </c>
      <c r="J634" s="3">
        <v>0.21210000000000001</v>
      </c>
      <c r="K634" s="3">
        <v>0.69</v>
      </c>
      <c r="L634" s="3">
        <v>0.25369999999999998</v>
      </c>
      <c r="M634">
        <v>22</v>
      </c>
      <c r="N634">
        <v>98</v>
      </c>
      <c r="O634">
        <v>120</v>
      </c>
    </row>
    <row r="635" spans="1:15" hidden="1" x14ac:dyDescent="0.3">
      <c r="A635">
        <v>634</v>
      </c>
      <c r="B635" s="1">
        <v>40572</v>
      </c>
      <c r="C635">
        <v>16</v>
      </c>
      <c r="D635" s="2" t="s">
        <v>45</v>
      </c>
      <c r="E635" t="s">
        <v>26</v>
      </c>
      <c r="F635" s="2" t="s">
        <v>27</v>
      </c>
      <c r="G635" t="s">
        <v>28</v>
      </c>
      <c r="H635" s="3">
        <v>0.24</v>
      </c>
      <c r="I635" s="2" t="s">
        <v>42</v>
      </c>
      <c r="J635" s="3">
        <v>0.2424</v>
      </c>
      <c r="K635" s="3">
        <v>0.6</v>
      </c>
      <c r="L635" s="3">
        <v>0.16420000000000001</v>
      </c>
      <c r="M635">
        <v>19</v>
      </c>
      <c r="N635">
        <v>88</v>
      </c>
      <c r="O635">
        <v>107</v>
      </c>
    </row>
    <row r="636" spans="1:15" hidden="1" x14ac:dyDescent="0.3">
      <c r="A636">
        <v>635</v>
      </c>
      <c r="B636" s="1">
        <v>40572</v>
      </c>
      <c r="C636">
        <v>17</v>
      </c>
      <c r="D636" s="2" t="s">
        <v>47</v>
      </c>
      <c r="E636" t="s">
        <v>26</v>
      </c>
      <c r="F636" s="2" t="s">
        <v>27</v>
      </c>
      <c r="G636" t="s">
        <v>28</v>
      </c>
      <c r="H636" s="3">
        <v>0.24</v>
      </c>
      <c r="I636" s="2" t="s">
        <v>42</v>
      </c>
      <c r="J636" s="3">
        <v>0.28789999999999999</v>
      </c>
      <c r="K636" s="3">
        <v>0.6</v>
      </c>
      <c r="L636" s="3">
        <v>0</v>
      </c>
      <c r="M636">
        <v>9</v>
      </c>
      <c r="N636">
        <v>82</v>
      </c>
      <c r="O636">
        <v>91</v>
      </c>
    </row>
    <row r="637" spans="1:15" hidden="1" x14ac:dyDescent="0.3">
      <c r="A637">
        <v>636</v>
      </c>
      <c r="B637" s="1">
        <v>40572</v>
      </c>
      <c r="C637">
        <v>18</v>
      </c>
      <c r="D637" s="2" t="s">
        <v>47</v>
      </c>
      <c r="E637" t="s">
        <v>26</v>
      </c>
      <c r="F637" s="2" t="s">
        <v>27</v>
      </c>
      <c r="G637" t="s">
        <v>28</v>
      </c>
      <c r="H637" s="3">
        <v>0.22</v>
      </c>
      <c r="I637" s="2" t="s">
        <v>42</v>
      </c>
      <c r="J637" s="3">
        <v>0.2273</v>
      </c>
      <c r="K637" s="3">
        <v>0.69</v>
      </c>
      <c r="L637" s="3">
        <v>0.1343</v>
      </c>
      <c r="M637">
        <v>9</v>
      </c>
      <c r="N637">
        <v>59</v>
      </c>
      <c r="O637">
        <v>68</v>
      </c>
    </row>
    <row r="638" spans="1:15" hidden="1" x14ac:dyDescent="0.3">
      <c r="A638">
        <v>637</v>
      </c>
      <c r="B638" s="1">
        <v>40572</v>
      </c>
      <c r="C638">
        <v>19</v>
      </c>
      <c r="D638" s="2" t="s">
        <v>47</v>
      </c>
      <c r="E638" t="s">
        <v>26</v>
      </c>
      <c r="F638" s="2" t="s">
        <v>27</v>
      </c>
      <c r="G638" t="s">
        <v>29</v>
      </c>
      <c r="H638" s="3">
        <v>0.22</v>
      </c>
      <c r="I638" s="2" t="s">
        <v>42</v>
      </c>
      <c r="J638" s="3">
        <v>0.21210000000000001</v>
      </c>
      <c r="K638" s="3">
        <v>0.69</v>
      </c>
      <c r="L638" s="3">
        <v>0.25369999999999998</v>
      </c>
      <c r="M638">
        <v>6</v>
      </c>
      <c r="N638">
        <v>52</v>
      </c>
      <c r="O638">
        <v>58</v>
      </c>
    </row>
    <row r="639" spans="1:15" hidden="1" x14ac:dyDescent="0.3">
      <c r="A639">
        <v>638</v>
      </c>
      <c r="B639" s="1">
        <v>40572</v>
      </c>
      <c r="C639">
        <v>20</v>
      </c>
      <c r="D639" s="2" t="s">
        <v>47</v>
      </c>
      <c r="E639" t="s">
        <v>26</v>
      </c>
      <c r="F639" s="2" t="s">
        <v>27</v>
      </c>
      <c r="G639" t="s">
        <v>28</v>
      </c>
      <c r="H639" s="3">
        <v>0.18</v>
      </c>
      <c r="I639" s="2" t="s">
        <v>44</v>
      </c>
      <c r="J639" s="3">
        <v>0.21210000000000001</v>
      </c>
      <c r="K639" s="3">
        <v>0.74</v>
      </c>
      <c r="L639" s="3">
        <v>8.9599999999999999E-2</v>
      </c>
      <c r="M639">
        <v>1</v>
      </c>
      <c r="N639">
        <v>42</v>
      </c>
      <c r="O639">
        <v>43</v>
      </c>
    </row>
    <row r="640" spans="1:15" hidden="1" x14ac:dyDescent="0.3">
      <c r="A640">
        <v>639</v>
      </c>
      <c r="B640" s="1">
        <v>40572</v>
      </c>
      <c r="C640">
        <v>21</v>
      </c>
      <c r="D640" s="2" t="s">
        <v>41</v>
      </c>
      <c r="E640" t="s">
        <v>26</v>
      </c>
      <c r="F640" s="2" t="s">
        <v>27</v>
      </c>
      <c r="G640" t="s">
        <v>28</v>
      </c>
      <c r="H640" s="3">
        <v>0.18</v>
      </c>
      <c r="I640" s="2" t="s">
        <v>44</v>
      </c>
      <c r="J640" s="3">
        <v>0.21210000000000001</v>
      </c>
      <c r="K640" s="3">
        <v>0.74</v>
      </c>
      <c r="L640" s="3">
        <v>8.9599999999999999E-2</v>
      </c>
      <c r="M640">
        <v>1</v>
      </c>
      <c r="N640">
        <v>35</v>
      </c>
      <c r="O640">
        <v>36</v>
      </c>
    </row>
    <row r="641" spans="1:15" hidden="1" x14ac:dyDescent="0.3">
      <c r="A641">
        <v>640</v>
      </c>
      <c r="B641" s="1">
        <v>40572</v>
      </c>
      <c r="C641">
        <v>22</v>
      </c>
      <c r="D641" s="2" t="s">
        <v>41</v>
      </c>
      <c r="E641" t="s">
        <v>26</v>
      </c>
      <c r="F641" s="2" t="s">
        <v>27</v>
      </c>
      <c r="G641" t="s">
        <v>28</v>
      </c>
      <c r="H641" s="3">
        <v>0.16</v>
      </c>
      <c r="I641" s="2" t="s">
        <v>44</v>
      </c>
      <c r="J641" s="3">
        <v>0.19700000000000001</v>
      </c>
      <c r="K641" s="3">
        <v>0.8</v>
      </c>
      <c r="L641" s="3">
        <v>8.9599999999999999E-2</v>
      </c>
      <c r="M641">
        <v>4</v>
      </c>
      <c r="N641">
        <v>28</v>
      </c>
      <c r="O641">
        <v>32</v>
      </c>
    </row>
    <row r="642" spans="1:15" hidden="1" x14ac:dyDescent="0.3">
      <c r="A642">
        <v>641</v>
      </c>
      <c r="B642" s="1">
        <v>40572</v>
      </c>
      <c r="C642">
        <v>23</v>
      </c>
      <c r="D642" s="2" t="s">
        <v>41</v>
      </c>
      <c r="E642" t="s">
        <v>26</v>
      </c>
      <c r="F642" s="2" t="s">
        <v>27</v>
      </c>
      <c r="G642" t="s">
        <v>28</v>
      </c>
      <c r="H642" s="3">
        <v>0.16</v>
      </c>
      <c r="I642" s="2" t="s">
        <v>44</v>
      </c>
      <c r="J642" s="3">
        <v>0.19700000000000001</v>
      </c>
      <c r="K642" s="3">
        <v>0.8</v>
      </c>
      <c r="L642" s="3">
        <v>8.9599999999999999E-2</v>
      </c>
      <c r="M642">
        <v>3</v>
      </c>
      <c r="N642">
        <v>30</v>
      </c>
      <c r="O642">
        <v>33</v>
      </c>
    </row>
    <row r="643" spans="1:15" hidden="1" x14ac:dyDescent="0.3">
      <c r="A643">
        <v>642</v>
      </c>
      <c r="B643" s="1">
        <v>40573</v>
      </c>
      <c r="C643">
        <v>0</v>
      </c>
      <c r="D643" s="2" t="s">
        <v>41</v>
      </c>
      <c r="E643" t="s">
        <v>26</v>
      </c>
      <c r="F643" s="2" t="s">
        <v>31</v>
      </c>
      <c r="G643" t="s">
        <v>28</v>
      </c>
      <c r="H643" s="3">
        <v>0.16</v>
      </c>
      <c r="I643" s="2" t="s">
        <v>44</v>
      </c>
      <c r="J643" s="3">
        <v>0.18179999999999999</v>
      </c>
      <c r="K643" s="3">
        <v>0.8</v>
      </c>
      <c r="L643" s="3">
        <v>0.1045</v>
      </c>
      <c r="M643">
        <v>0</v>
      </c>
      <c r="N643">
        <v>33</v>
      </c>
      <c r="O643">
        <v>33</v>
      </c>
    </row>
    <row r="644" spans="1:15" hidden="1" x14ac:dyDescent="0.3">
      <c r="A644">
        <v>643</v>
      </c>
      <c r="B644" s="1">
        <v>40573</v>
      </c>
      <c r="C644">
        <v>1</v>
      </c>
      <c r="D644" s="2" t="s">
        <v>41</v>
      </c>
      <c r="E644" t="s">
        <v>26</v>
      </c>
      <c r="F644" s="2" t="s">
        <v>31</v>
      </c>
      <c r="G644" t="s">
        <v>28</v>
      </c>
      <c r="H644" s="3">
        <v>0.14000000000000001</v>
      </c>
      <c r="I644" s="2" t="s">
        <v>44</v>
      </c>
      <c r="J644" s="3">
        <v>0.21210000000000001</v>
      </c>
      <c r="K644" s="3">
        <v>0.8</v>
      </c>
      <c r="L644" s="3">
        <v>0</v>
      </c>
      <c r="M644">
        <v>7</v>
      </c>
      <c r="N644">
        <v>22</v>
      </c>
      <c r="O644">
        <v>29</v>
      </c>
    </row>
    <row r="645" spans="1:15" hidden="1" x14ac:dyDescent="0.3">
      <c r="A645">
        <v>644</v>
      </c>
      <c r="B645" s="1">
        <v>40573</v>
      </c>
      <c r="C645">
        <v>2</v>
      </c>
      <c r="D645" s="2" t="s">
        <v>41</v>
      </c>
      <c r="E645" t="s">
        <v>26</v>
      </c>
      <c r="F645" s="2" t="s">
        <v>31</v>
      </c>
      <c r="G645" t="s">
        <v>28</v>
      </c>
      <c r="H645" s="3">
        <v>0.16</v>
      </c>
      <c r="I645" s="2" t="s">
        <v>44</v>
      </c>
      <c r="J645" s="3">
        <v>0.2273</v>
      </c>
      <c r="K645" s="3">
        <v>0.8</v>
      </c>
      <c r="L645" s="3">
        <v>0</v>
      </c>
      <c r="M645">
        <v>1</v>
      </c>
      <c r="N645">
        <v>10</v>
      </c>
      <c r="O645">
        <v>11</v>
      </c>
    </row>
    <row r="646" spans="1:15" hidden="1" x14ac:dyDescent="0.3">
      <c r="A646">
        <v>645</v>
      </c>
      <c r="B646" s="1">
        <v>40573</v>
      </c>
      <c r="C646">
        <v>3</v>
      </c>
      <c r="D646" s="2" t="s">
        <v>41</v>
      </c>
      <c r="E646" t="s">
        <v>26</v>
      </c>
      <c r="F646" s="2" t="s">
        <v>31</v>
      </c>
      <c r="G646" t="s">
        <v>28</v>
      </c>
      <c r="H646" s="3">
        <v>0.14000000000000001</v>
      </c>
      <c r="I646" s="2" t="s">
        <v>44</v>
      </c>
      <c r="J646" s="3">
        <v>0.21210000000000001</v>
      </c>
      <c r="K646" s="3">
        <v>0.93</v>
      </c>
      <c r="L646" s="3">
        <v>0</v>
      </c>
      <c r="M646">
        <v>1</v>
      </c>
      <c r="N646">
        <v>7</v>
      </c>
      <c r="O646">
        <v>8</v>
      </c>
    </row>
    <row r="647" spans="1:15" hidden="1" x14ac:dyDescent="0.3">
      <c r="A647">
        <v>646</v>
      </c>
      <c r="B647" s="1">
        <v>40573</v>
      </c>
      <c r="C647">
        <v>4</v>
      </c>
      <c r="D647" s="2" t="s">
        <v>41</v>
      </c>
      <c r="E647" t="s">
        <v>26</v>
      </c>
      <c r="F647" s="2" t="s">
        <v>31</v>
      </c>
      <c r="G647" t="s">
        <v>28</v>
      </c>
      <c r="H647" s="3">
        <v>0.14000000000000001</v>
      </c>
      <c r="I647" s="2" t="s">
        <v>44</v>
      </c>
      <c r="J647" s="3">
        <v>0.21210000000000001</v>
      </c>
      <c r="K647" s="3">
        <v>0.93</v>
      </c>
      <c r="L647" s="3">
        <v>0</v>
      </c>
      <c r="M647">
        <v>0</v>
      </c>
      <c r="N647">
        <v>1</v>
      </c>
      <c r="O647">
        <v>1</v>
      </c>
    </row>
    <row r="648" spans="1:15" x14ac:dyDescent="0.3">
      <c r="A648">
        <v>647</v>
      </c>
      <c r="B648" s="1">
        <v>40573</v>
      </c>
      <c r="C648">
        <v>5</v>
      </c>
      <c r="D648" s="2" t="s">
        <v>43</v>
      </c>
      <c r="E648" t="s">
        <v>26</v>
      </c>
      <c r="F648" s="2" t="s">
        <v>31</v>
      </c>
      <c r="G648" t="s">
        <v>28</v>
      </c>
      <c r="H648" s="3">
        <v>0.14000000000000001</v>
      </c>
      <c r="I648" s="2" t="s">
        <v>44</v>
      </c>
      <c r="J648" s="3">
        <v>0.21210000000000001</v>
      </c>
      <c r="K648" s="3">
        <v>0.86</v>
      </c>
      <c r="L648" s="3">
        <v>0</v>
      </c>
      <c r="M648">
        <v>0</v>
      </c>
      <c r="N648">
        <v>3</v>
      </c>
      <c r="O648">
        <v>3</v>
      </c>
    </row>
    <row r="649" spans="1:15" x14ac:dyDescent="0.3">
      <c r="A649">
        <v>648</v>
      </c>
      <c r="B649" s="1">
        <v>40573</v>
      </c>
      <c r="C649">
        <v>7</v>
      </c>
      <c r="D649" s="2" t="s">
        <v>43</v>
      </c>
      <c r="E649" t="s">
        <v>26</v>
      </c>
      <c r="F649" s="2" t="s">
        <v>31</v>
      </c>
      <c r="G649" t="s">
        <v>28</v>
      </c>
      <c r="H649" s="3">
        <v>0.14000000000000001</v>
      </c>
      <c r="I649" s="2" t="s">
        <v>44</v>
      </c>
      <c r="J649" s="3">
        <v>0.21210000000000001</v>
      </c>
      <c r="K649" s="3">
        <v>0.86</v>
      </c>
      <c r="L649" s="3">
        <v>0</v>
      </c>
      <c r="M649">
        <v>0</v>
      </c>
      <c r="N649">
        <v>3</v>
      </c>
      <c r="O649">
        <v>3</v>
      </c>
    </row>
    <row r="650" spans="1:15" x14ac:dyDescent="0.3">
      <c r="A650">
        <v>649</v>
      </c>
      <c r="B650" s="1">
        <v>40573</v>
      </c>
      <c r="C650">
        <v>8</v>
      </c>
      <c r="D650" s="2" t="s">
        <v>43</v>
      </c>
      <c r="E650" t="s">
        <v>26</v>
      </c>
      <c r="F650" s="2" t="s">
        <v>31</v>
      </c>
      <c r="G650" t="s">
        <v>29</v>
      </c>
      <c r="H650" s="3">
        <v>0.14000000000000001</v>
      </c>
      <c r="I650" s="2" t="s">
        <v>44</v>
      </c>
      <c r="J650" s="3">
        <v>0.21210000000000001</v>
      </c>
      <c r="K650" s="3">
        <v>0.86</v>
      </c>
      <c r="L650" s="3">
        <v>0</v>
      </c>
      <c r="M650">
        <v>1</v>
      </c>
      <c r="N650">
        <v>11</v>
      </c>
      <c r="O650">
        <v>12</v>
      </c>
    </row>
    <row r="651" spans="1:15" x14ac:dyDescent="0.3">
      <c r="A651">
        <v>650</v>
      </c>
      <c r="B651" s="1">
        <v>40573</v>
      </c>
      <c r="C651">
        <v>9</v>
      </c>
      <c r="D651" s="2" t="s">
        <v>43</v>
      </c>
      <c r="E651" t="s">
        <v>26</v>
      </c>
      <c r="F651" s="2" t="s">
        <v>31</v>
      </c>
      <c r="G651" t="s">
        <v>29</v>
      </c>
      <c r="H651" s="3">
        <v>0.16</v>
      </c>
      <c r="I651" s="2" t="s">
        <v>44</v>
      </c>
      <c r="J651" s="3">
        <v>0.2273</v>
      </c>
      <c r="K651" s="3">
        <v>0.8</v>
      </c>
      <c r="L651" s="3">
        <v>0</v>
      </c>
      <c r="M651">
        <v>4</v>
      </c>
      <c r="N651">
        <v>34</v>
      </c>
      <c r="O651">
        <v>38</v>
      </c>
    </row>
    <row r="652" spans="1:15" x14ac:dyDescent="0.3">
      <c r="A652">
        <v>651</v>
      </c>
      <c r="B652" s="1">
        <v>40573</v>
      </c>
      <c r="C652">
        <v>10</v>
      </c>
      <c r="D652" s="2" t="s">
        <v>43</v>
      </c>
      <c r="E652" t="s">
        <v>26</v>
      </c>
      <c r="F652" s="2" t="s">
        <v>31</v>
      </c>
      <c r="G652" t="s">
        <v>29</v>
      </c>
      <c r="H652" s="3">
        <v>0.18</v>
      </c>
      <c r="I652" s="2" t="s">
        <v>44</v>
      </c>
      <c r="J652" s="3">
        <v>0.2424</v>
      </c>
      <c r="K652" s="3">
        <v>0.8</v>
      </c>
      <c r="L652" s="3">
        <v>0</v>
      </c>
      <c r="M652">
        <v>7</v>
      </c>
      <c r="N652">
        <v>57</v>
      </c>
      <c r="O652">
        <v>64</v>
      </c>
    </row>
    <row r="653" spans="1:15" x14ac:dyDescent="0.3">
      <c r="A653">
        <v>652</v>
      </c>
      <c r="B653" s="1">
        <v>40573</v>
      </c>
      <c r="C653">
        <v>11</v>
      </c>
      <c r="D653" s="2" t="s">
        <v>43</v>
      </c>
      <c r="E653" t="s">
        <v>26</v>
      </c>
      <c r="F653" s="2" t="s">
        <v>31</v>
      </c>
      <c r="G653" t="s">
        <v>28</v>
      </c>
      <c r="H653" s="3">
        <v>0.22</v>
      </c>
      <c r="I653" s="2" t="s">
        <v>42</v>
      </c>
      <c r="J653" s="3">
        <v>0.2727</v>
      </c>
      <c r="K653" s="3">
        <v>0.75</v>
      </c>
      <c r="L653" s="3">
        <v>0</v>
      </c>
      <c r="M653">
        <v>9</v>
      </c>
      <c r="N653">
        <v>50</v>
      </c>
      <c r="O653">
        <v>59</v>
      </c>
    </row>
    <row r="654" spans="1:15" hidden="1" x14ac:dyDescent="0.3">
      <c r="A654">
        <v>653</v>
      </c>
      <c r="B654" s="1">
        <v>40573</v>
      </c>
      <c r="C654">
        <v>12</v>
      </c>
      <c r="D654" s="2" t="s">
        <v>45</v>
      </c>
      <c r="E654" t="s">
        <v>26</v>
      </c>
      <c r="F654" s="2" t="s">
        <v>31</v>
      </c>
      <c r="G654" t="s">
        <v>28</v>
      </c>
      <c r="H654" s="3">
        <v>0.3</v>
      </c>
      <c r="I654" s="2" t="s">
        <v>42</v>
      </c>
      <c r="J654" s="3">
        <v>0.31819999999999998</v>
      </c>
      <c r="K654" s="3">
        <v>0.52</v>
      </c>
      <c r="L654" s="3">
        <v>0.1045</v>
      </c>
      <c r="M654">
        <v>10</v>
      </c>
      <c r="N654">
        <v>87</v>
      </c>
      <c r="O654">
        <v>97</v>
      </c>
    </row>
    <row r="655" spans="1:15" hidden="1" x14ac:dyDescent="0.3">
      <c r="A655">
        <v>654</v>
      </c>
      <c r="B655" s="1">
        <v>40573</v>
      </c>
      <c r="C655">
        <v>13</v>
      </c>
      <c r="D655" s="2" t="s">
        <v>45</v>
      </c>
      <c r="E655" t="s">
        <v>26</v>
      </c>
      <c r="F655" s="2" t="s">
        <v>31</v>
      </c>
      <c r="G655" t="s">
        <v>28</v>
      </c>
      <c r="H655" s="3">
        <v>0.28000000000000003</v>
      </c>
      <c r="I655" s="2" t="s">
        <v>42</v>
      </c>
      <c r="J655" s="3">
        <v>0.28789999999999999</v>
      </c>
      <c r="K655" s="3">
        <v>0.61</v>
      </c>
      <c r="L655" s="3">
        <v>0.1045</v>
      </c>
      <c r="M655">
        <v>13</v>
      </c>
      <c r="N655">
        <v>71</v>
      </c>
      <c r="O655">
        <v>84</v>
      </c>
    </row>
    <row r="656" spans="1:15" hidden="1" x14ac:dyDescent="0.3">
      <c r="A656">
        <v>655</v>
      </c>
      <c r="B656" s="1">
        <v>40573</v>
      </c>
      <c r="C656">
        <v>14</v>
      </c>
      <c r="D656" s="2" t="s">
        <v>45</v>
      </c>
      <c r="E656" t="s">
        <v>26</v>
      </c>
      <c r="F656" s="2" t="s">
        <v>31</v>
      </c>
      <c r="G656" t="s">
        <v>28</v>
      </c>
      <c r="H656" s="3">
        <v>0.28000000000000003</v>
      </c>
      <c r="I656" s="2" t="s">
        <v>42</v>
      </c>
      <c r="J656" s="3">
        <v>0.30299999999999999</v>
      </c>
      <c r="K656" s="3">
        <v>0.61</v>
      </c>
      <c r="L656" s="3">
        <v>8.9599999999999999E-2</v>
      </c>
      <c r="M656">
        <v>18</v>
      </c>
      <c r="N656">
        <v>104</v>
      </c>
      <c r="O656">
        <v>122</v>
      </c>
    </row>
    <row r="657" spans="1:15" hidden="1" x14ac:dyDescent="0.3">
      <c r="A657">
        <v>656</v>
      </c>
      <c r="B657" s="1">
        <v>40573</v>
      </c>
      <c r="C657">
        <v>15</v>
      </c>
      <c r="D657" s="2" t="s">
        <v>45</v>
      </c>
      <c r="E657" t="s">
        <v>26</v>
      </c>
      <c r="F657" s="2" t="s">
        <v>31</v>
      </c>
      <c r="G657" t="s">
        <v>28</v>
      </c>
      <c r="H657" s="3">
        <v>0.3</v>
      </c>
      <c r="I657" s="2" t="s">
        <v>42</v>
      </c>
      <c r="J657" s="3">
        <v>0.33329999999999999</v>
      </c>
      <c r="K657" s="3">
        <v>0.56000000000000005</v>
      </c>
      <c r="L657" s="3">
        <v>0</v>
      </c>
      <c r="M657">
        <v>14</v>
      </c>
      <c r="N657">
        <v>95</v>
      </c>
      <c r="O657">
        <v>109</v>
      </c>
    </row>
    <row r="658" spans="1:15" hidden="1" x14ac:dyDescent="0.3">
      <c r="A658">
        <v>657</v>
      </c>
      <c r="B658" s="1">
        <v>40573</v>
      </c>
      <c r="C658">
        <v>16</v>
      </c>
      <c r="D658" s="2" t="s">
        <v>45</v>
      </c>
      <c r="E658" t="s">
        <v>26</v>
      </c>
      <c r="F658" s="2" t="s">
        <v>31</v>
      </c>
      <c r="G658" t="s">
        <v>28</v>
      </c>
      <c r="H658" s="3">
        <v>0.3</v>
      </c>
      <c r="I658" s="2" t="s">
        <v>42</v>
      </c>
      <c r="J658" s="3">
        <v>0.33329999999999999</v>
      </c>
      <c r="K658" s="3">
        <v>0.56000000000000005</v>
      </c>
      <c r="L658" s="3">
        <v>0</v>
      </c>
      <c r="M658">
        <v>19</v>
      </c>
      <c r="N658">
        <v>104</v>
      </c>
      <c r="O658">
        <v>123</v>
      </c>
    </row>
    <row r="659" spans="1:15" hidden="1" x14ac:dyDescent="0.3">
      <c r="A659">
        <v>658</v>
      </c>
      <c r="B659" s="1">
        <v>40573</v>
      </c>
      <c r="C659">
        <v>17</v>
      </c>
      <c r="D659" s="2" t="s">
        <v>47</v>
      </c>
      <c r="E659" t="s">
        <v>26</v>
      </c>
      <c r="F659" s="2" t="s">
        <v>31</v>
      </c>
      <c r="G659" t="s">
        <v>28</v>
      </c>
      <c r="H659" s="3">
        <v>0.3</v>
      </c>
      <c r="I659" s="2" t="s">
        <v>42</v>
      </c>
      <c r="J659" s="3">
        <v>0.28789999999999999</v>
      </c>
      <c r="K659" s="3">
        <v>0.56000000000000005</v>
      </c>
      <c r="L659" s="3">
        <v>0.19400000000000001</v>
      </c>
      <c r="M659">
        <v>6</v>
      </c>
      <c r="N659">
        <v>71</v>
      </c>
      <c r="O659">
        <v>77</v>
      </c>
    </row>
    <row r="660" spans="1:15" hidden="1" x14ac:dyDescent="0.3">
      <c r="A660">
        <v>659</v>
      </c>
      <c r="B660" s="1">
        <v>40573</v>
      </c>
      <c r="C660">
        <v>18</v>
      </c>
      <c r="D660" s="2" t="s">
        <v>47</v>
      </c>
      <c r="E660" t="s">
        <v>26</v>
      </c>
      <c r="F660" s="2" t="s">
        <v>31</v>
      </c>
      <c r="G660" t="s">
        <v>28</v>
      </c>
      <c r="H660" s="3">
        <v>0.26</v>
      </c>
      <c r="I660" s="2" t="s">
        <v>42</v>
      </c>
      <c r="J660" s="3">
        <v>0.2576</v>
      </c>
      <c r="K660" s="3">
        <v>0.65</v>
      </c>
      <c r="L660" s="3">
        <v>0.16420000000000001</v>
      </c>
      <c r="M660">
        <v>8</v>
      </c>
      <c r="N660">
        <v>57</v>
      </c>
      <c r="O660">
        <v>65</v>
      </c>
    </row>
    <row r="661" spans="1:15" hidden="1" x14ac:dyDescent="0.3">
      <c r="A661">
        <v>660</v>
      </c>
      <c r="B661" s="1">
        <v>40573</v>
      </c>
      <c r="C661">
        <v>19</v>
      </c>
      <c r="D661" s="2" t="s">
        <v>47</v>
      </c>
      <c r="E661" t="s">
        <v>26</v>
      </c>
      <c r="F661" s="2" t="s">
        <v>31</v>
      </c>
      <c r="G661" t="s">
        <v>28</v>
      </c>
      <c r="H661" s="3">
        <v>0.26</v>
      </c>
      <c r="I661" s="2" t="s">
        <v>42</v>
      </c>
      <c r="J661" s="3">
        <v>0.2576</v>
      </c>
      <c r="K661" s="3">
        <v>0.65</v>
      </c>
      <c r="L661" s="3">
        <v>0.19400000000000001</v>
      </c>
      <c r="M661">
        <v>9</v>
      </c>
      <c r="N661">
        <v>46</v>
      </c>
      <c r="O661">
        <v>55</v>
      </c>
    </row>
    <row r="662" spans="1:15" hidden="1" x14ac:dyDescent="0.3">
      <c r="A662">
        <v>661</v>
      </c>
      <c r="B662" s="1">
        <v>40573</v>
      </c>
      <c r="C662">
        <v>20</v>
      </c>
      <c r="D662" s="2" t="s">
        <v>47</v>
      </c>
      <c r="E662" t="s">
        <v>26</v>
      </c>
      <c r="F662" s="2" t="s">
        <v>31</v>
      </c>
      <c r="G662" t="s">
        <v>29</v>
      </c>
      <c r="H662" s="3">
        <v>0.26</v>
      </c>
      <c r="I662" s="2" t="s">
        <v>42</v>
      </c>
      <c r="J662" s="3">
        <v>0.2727</v>
      </c>
      <c r="K662" s="3">
        <v>0.65</v>
      </c>
      <c r="L662" s="3">
        <v>0.1045</v>
      </c>
      <c r="M662">
        <v>3</v>
      </c>
      <c r="N662">
        <v>30</v>
      </c>
      <c r="O662">
        <v>33</v>
      </c>
    </row>
    <row r="663" spans="1:15" hidden="1" x14ac:dyDescent="0.3">
      <c r="A663">
        <v>662</v>
      </c>
      <c r="B663" s="1">
        <v>40573</v>
      </c>
      <c r="C663">
        <v>21</v>
      </c>
      <c r="D663" s="2" t="s">
        <v>41</v>
      </c>
      <c r="E663" t="s">
        <v>26</v>
      </c>
      <c r="F663" s="2" t="s">
        <v>31</v>
      </c>
      <c r="G663" t="s">
        <v>29</v>
      </c>
      <c r="H663" s="3">
        <v>0.24</v>
      </c>
      <c r="I663" s="2" t="s">
        <v>42</v>
      </c>
      <c r="J663" s="3">
        <v>0.2424</v>
      </c>
      <c r="K663" s="3">
        <v>0.7</v>
      </c>
      <c r="L663" s="3">
        <v>0.16420000000000001</v>
      </c>
      <c r="M663">
        <v>3</v>
      </c>
      <c r="N663">
        <v>25</v>
      </c>
      <c r="O663">
        <v>28</v>
      </c>
    </row>
    <row r="664" spans="1:15" hidden="1" x14ac:dyDescent="0.3">
      <c r="A664">
        <v>663</v>
      </c>
      <c r="B664" s="1">
        <v>40573</v>
      </c>
      <c r="C664">
        <v>22</v>
      </c>
      <c r="D664" s="2" t="s">
        <v>41</v>
      </c>
      <c r="E664" t="s">
        <v>26</v>
      </c>
      <c r="F664" s="2" t="s">
        <v>31</v>
      </c>
      <c r="G664" t="s">
        <v>29</v>
      </c>
      <c r="H664" s="3">
        <v>0.24</v>
      </c>
      <c r="I664" s="2" t="s">
        <v>42</v>
      </c>
      <c r="J664" s="3">
        <v>0.2273</v>
      </c>
      <c r="K664" s="3">
        <v>0.7</v>
      </c>
      <c r="L664" s="3">
        <v>0.19400000000000001</v>
      </c>
      <c r="M664">
        <v>2</v>
      </c>
      <c r="N664">
        <v>19</v>
      </c>
      <c r="O664">
        <v>21</v>
      </c>
    </row>
    <row r="665" spans="1:15" hidden="1" x14ac:dyDescent="0.3">
      <c r="A665">
        <v>664</v>
      </c>
      <c r="B665" s="1">
        <v>40573</v>
      </c>
      <c r="C665">
        <v>23</v>
      </c>
      <c r="D665" s="2" t="s">
        <v>41</v>
      </c>
      <c r="E665" t="s">
        <v>26</v>
      </c>
      <c r="F665" s="2" t="s">
        <v>31</v>
      </c>
      <c r="G665" t="s">
        <v>29</v>
      </c>
      <c r="H665" s="3">
        <v>0.24</v>
      </c>
      <c r="I665" s="2" t="s">
        <v>42</v>
      </c>
      <c r="J665" s="3">
        <v>0.21210000000000001</v>
      </c>
      <c r="K665" s="3">
        <v>0.65</v>
      </c>
      <c r="L665" s="3">
        <v>0.28360000000000002</v>
      </c>
      <c r="M665">
        <v>5</v>
      </c>
      <c r="N665">
        <v>16</v>
      </c>
      <c r="O665">
        <v>21</v>
      </c>
    </row>
    <row r="666" spans="1:15" hidden="1" x14ac:dyDescent="0.3">
      <c r="A666">
        <v>665</v>
      </c>
      <c r="B666" s="1">
        <v>40574</v>
      </c>
      <c r="C666">
        <v>0</v>
      </c>
      <c r="D666" s="2" t="s">
        <v>41</v>
      </c>
      <c r="E666" t="s">
        <v>26</v>
      </c>
      <c r="F666" s="2" t="s">
        <v>32</v>
      </c>
      <c r="G666" t="s">
        <v>29</v>
      </c>
      <c r="H666" s="3">
        <v>0.24</v>
      </c>
      <c r="I666" s="2" t="s">
        <v>42</v>
      </c>
      <c r="J666" s="3">
        <v>0.2273</v>
      </c>
      <c r="K666" s="3">
        <v>0.65</v>
      </c>
      <c r="L666" s="3">
        <v>0.22389999999999999</v>
      </c>
      <c r="M666">
        <v>1</v>
      </c>
      <c r="N666">
        <v>6</v>
      </c>
      <c r="O666">
        <v>7</v>
      </c>
    </row>
    <row r="667" spans="1:15" hidden="1" x14ac:dyDescent="0.3">
      <c r="A667">
        <v>666</v>
      </c>
      <c r="B667" s="1">
        <v>40574</v>
      </c>
      <c r="C667">
        <v>1</v>
      </c>
      <c r="D667" s="2" t="s">
        <v>41</v>
      </c>
      <c r="E667" t="s">
        <v>26</v>
      </c>
      <c r="F667" s="2" t="s">
        <v>32</v>
      </c>
      <c r="G667" t="s">
        <v>28</v>
      </c>
      <c r="H667" s="3">
        <v>0.22</v>
      </c>
      <c r="I667" s="2" t="s">
        <v>42</v>
      </c>
      <c r="J667" s="3">
        <v>0.21210000000000001</v>
      </c>
      <c r="K667" s="3">
        <v>0.64</v>
      </c>
      <c r="L667" s="3">
        <v>0.25369999999999998</v>
      </c>
      <c r="M667">
        <v>2</v>
      </c>
      <c r="N667">
        <v>5</v>
      </c>
      <c r="O667">
        <v>7</v>
      </c>
    </row>
    <row r="668" spans="1:15" hidden="1" x14ac:dyDescent="0.3">
      <c r="A668">
        <v>667</v>
      </c>
      <c r="B668" s="1">
        <v>40574</v>
      </c>
      <c r="C668">
        <v>2</v>
      </c>
      <c r="D668" s="2" t="s">
        <v>41</v>
      </c>
      <c r="E668" t="s">
        <v>26</v>
      </c>
      <c r="F668" s="2" t="s">
        <v>32</v>
      </c>
      <c r="G668" t="s">
        <v>28</v>
      </c>
      <c r="H668" s="3">
        <v>0.22</v>
      </c>
      <c r="I668" s="2" t="s">
        <v>42</v>
      </c>
      <c r="J668" s="3">
        <v>0.2273</v>
      </c>
      <c r="K668" s="3">
        <v>0.64</v>
      </c>
      <c r="L668" s="3">
        <v>0.19400000000000001</v>
      </c>
      <c r="M668">
        <v>0</v>
      </c>
      <c r="N668">
        <v>1</v>
      </c>
      <c r="O668">
        <v>1</v>
      </c>
    </row>
    <row r="669" spans="1:15" hidden="1" x14ac:dyDescent="0.3">
      <c r="A669">
        <v>668</v>
      </c>
      <c r="B669" s="1">
        <v>40574</v>
      </c>
      <c r="C669">
        <v>3</v>
      </c>
      <c r="D669" s="2" t="s">
        <v>41</v>
      </c>
      <c r="E669" t="s">
        <v>26</v>
      </c>
      <c r="F669" s="2" t="s">
        <v>32</v>
      </c>
      <c r="G669" t="s">
        <v>28</v>
      </c>
      <c r="H669" s="3">
        <v>0.22</v>
      </c>
      <c r="I669" s="2" t="s">
        <v>42</v>
      </c>
      <c r="J669" s="3">
        <v>0.2273</v>
      </c>
      <c r="K669" s="3">
        <v>0.64</v>
      </c>
      <c r="L669" s="3">
        <v>0.19400000000000001</v>
      </c>
      <c r="M669">
        <v>0</v>
      </c>
      <c r="N669">
        <v>2</v>
      </c>
      <c r="O669">
        <v>2</v>
      </c>
    </row>
    <row r="670" spans="1:15" hidden="1" x14ac:dyDescent="0.3">
      <c r="A670">
        <v>669</v>
      </c>
      <c r="B670" s="1">
        <v>40574</v>
      </c>
      <c r="C670">
        <v>4</v>
      </c>
      <c r="D670" s="2" t="s">
        <v>41</v>
      </c>
      <c r="E670" t="s">
        <v>26</v>
      </c>
      <c r="F670" s="2" t="s">
        <v>32</v>
      </c>
      <c r="G670" t="s">
        <v>28</v>
      </c>
      <c r="H670" s="3">
        <v>0.2</v>
      </c>
      <c r="I670" s="2" t="s">
        <v>44</v>
      </c>
      <c r="J670" s="3">
        <v>0.19700000000000001</v>
      </c>
      <c r="K670" s="3">
        <v>0.59</v>
      </c>
      <c r="L670" s="3">
        <v>0.22389999999999999</v>
      </c>
      <c r="M670">
        <v>0</v>
      </c>
      <c r="N670">
        <v>2</v>
      </c>
      <c r="O670">
        <v>2</v>
      </c>
    </row>
    <row r="671" spans="1:15" x14ac:dyDescent="0.3">
      <c r="A671">
        <v>670</v>
      </c>
      <c r="B671" s="1">
        <v>40574</v>
      </c>
      <c r="C671">
        <v>5</v>
      </c>
      <c r="D671" s="2" t="s">
        <v>43</v>
      </c>
      <c r="E671" t="s">
        <v>26</v>
      </c>
      <c r="F671" s="2" t="s">
        <v>32</v>
      </c>
      <c r="G671" t="s">
        <v>28</v>
      </c>
      <c r="H671" s="3">
        <v>0.18</v>
      </c>
      <c r="I671" s="2" t="s">
        <v>44</v>
      </c>
      <c r="J671" s="3">
        <v>0.16669999999999999</v>
      </c>
      <c r="K671" s="3">
        <v>0.64</v>
      </c>
      <c r="L671" s="3">
        <v>0.28360000000000002</v>
      </c>
      <c r="M671">
        <v>0</v>
      </c>
      <c r="N671">
        <v>8</v>
      </c>
      <c r="O671">
        <v>8</v>
      </c>
    </row>
    <row r="672" spans="1:15" x14ac:dyDescent="0.3">
      <c r="A672">
        <v>671</v>
      </c>
      <c r="B672" s="1">
        <v>40574</v>
      </c>
      <c r="C672">
        <v>6</v>
      </c>
      <c r="D672" s="2" t="s">
        <v>43</v>
      </c>
      <c r="E672" t="s">
        <v>26</v>
      </c>
      <c r="F672" s="2" t="s">
        <v>32</v>
      </c>
      <c r="G672" t="s">
        <v>28</v>
      </c>
      <c r="H672" s="3">
        <v>0.16</v>
      </c>
      <c r="I672" s="2" t="s">
        <v>44</v>
      </c>
      <c r="J672" s="3">
        <v>0.13639999999999999</v>
      </c>
      <c r="K672" s="3">
        <v>0.69</v>
      </c>
      <c r="L672" s="3">
        <v>0.32840000000000003</v>
      </c>
      <c r="M672">
        <v>0</v>
      </c>
      <c r="N672">
        <v>37</v>
      </c>
      <c r="O672">
        <v>37</v>
      </c>
    </row>
    <row r="673" spans="1:15" x14ac:dyDescent="0.3">
      <c r="A673">
        <v>672</v>
      </c>
      <c r="B673" s="1">
        <v>40574</v>
      </c>
      <c r="C673">
        <v>7</v>
      </c>
      <c r="D673" s="2" t="s">
        <v>43</v>
      </c>
      <c r="E673" t="s">
        <v>26</v>
      </c>
      <c r="F673" s="2" t="s">
        <v>32</v>
      </c>
      <c r="G673" t="s">
        <v>29</v>
      </c>
      <c r="H673" s="3">
        <v>0.16</v>
      </c>
      <c r="I673" s="2" t="s">
        <v>44</v>
      </c>
      <c r="J673" s="3">
        <v>0.13639999999999999</v>
      </c>
      <c r="K673" s="3">
        <v>0.64</v>
      </c>
      <c r="L673" s="3">
        <v>0.28360000000000002</v>
      </c>
      <c r="M673">
        <v>1</v>
      </c>
      <c r="N673">
        <v>71</v>
      </c>
      <c r="O673">
        <v>72</v>
      </c>
    </row>
    <row r="674" spans="1:15" x14ac:dyDescent="0.3">
      <c r="A674">
        <v>673</v>
      </c>
      <c r="B674" s="1">
        <v>40574</v>
      </c>
      <c r="C674">
        <v>8</v>
      </c>
      <c r="D674" s="2" t="s">
        <v>43</v>
      </c>
      <c r="E674" t="s">
        <v>26</v>
      </c>
      <c r="F674" s="2" t="s">
        <v>32</v>
      </c>
      <c r="G674" t="s">
        <v>29</v>
      </c>
      <c r="H674" s="3">
        <v>0.16</v>
      </c>
      <c r="I674" s="2" t="s">
        <v>44</v>
      </c>
      <c r="J674" s="3">
        <v>0.13639999999999999</v>
      </c>
      <c r="K674" s="3">
        <v>0.59</v>
      </c>
      <c r="L674" s="3">
        <v>0.28360000000000002</v>
      </c>
      <c r="M674">
        <v>3</v>
      </c>
      <c r="N674">
        <v>182</v>
      </c>
      <c r="O674">
        <v>185</v>
      </c>
    </row>
    <row r="675" spans="1:15" x14ac:dyDescent="0.3">
      <c r="A675">
        <v>674</v>
      </c>
      <c r="B675" s="1">
        <v>40574</v>
      </c>
      <c r="C675">
        <v>9</v>
      </c>
      <c r="D675" s="2" t="s">
        <v>43</v>
      </c>
      <c r="E675" t="s">
        <v>26</v>
      </c>
      <c r="F675" s="2" t="s">
        <v>32</v>
      </c>
      <c r="G675" t="s">
        <v>29</v>
      </c>
      <c r="H675" s="3">
        <v>0.16</v>
      </c>
      <c r="I675" s="2" t="s">
        <v>44</v>
      </c>
      <c r="J675" s="3">
        <v>0.13639999999999999</v>
      </c>
      <c r="K675" s="3">
        <v>0.59</v>
      </c>
      <c r="L675" s="3">
        <v>0.29849999999999999</v>
      </c>
      <c r="M675">
        <v>0</v>
      </c>
      <c r="N675">
        <v>112</v>
      </c>
      <c r="O675">
        <v>112</v>
      </c>
    </row>
    <row r="676" spans="1:15" x14ac:dyDescent="0.3">
      <c r="A676">
        <v>675</v>
      </c>
      <c r="B676" s="1">
        <v>40574</v>
      </c>
      <c r="C676">
        <v>10</v>
      </c>
      <c r="D676" s="2" t="s">
        <v>43</v>
      </c>
      <c r="E676" t="s">
        <v>26</v>
      </c>
      <c r="F676" s="2" t="s">
        <v>32</v>
      </c>
      <c r="G676" t="s">
        <v>29</v>
      </c>
      <c r="H676" s="3">
        <v>0.16</v>
      </c>
      <c r="I676" s="2" t="s">
        <v>44</v>
      </c>
      <c r="J676" s="3">
        <v>0.1515</v>
      </c>
      <c r="K676" s="3">
        <v>0.59</v>
      </c>
      <c r="L676" s="3">
        <v>0.19400000000000001</v>
      </c>
      <c r="M676">
        <v>1</v>
      </c>
      <c r="N676">
        <v>68</v>
      </c>
      <c r="O676">
        <v>69</v>
      </c>
    </row>
    <row r="677" spans="1:15" x14ac:dyDescent="0.3">
      <c r="A677">
        <v>676</v>
      </c>
      <c r="B677" s="1">
        <v>40574</v>
      </c>
      <c r="C677">
        <v>11</v>
      </c>
      <c r="D677" s="2" t="s">
        <v>43</v>
      </c>
      <c r="E677" t="s">
        <v>26</v>
      </c>
      <c r="F677" s="2" t="s">
        <v>32</v>
      </c>
      <c r="G677" t="s">
        <v>29</v>
      </c>
      <c r="H677" s="3">
        <v>0.16</v>
      </c>
      <c r="I677" s="2" t="s">
        <v>44</v>
      </c>
      <c r="J677" s="3">
        <v>0.1515</v>
      </c>
      <c r="K677" s="3">
        <v>0.59</v>
      </c>
      <c r="L677" s="3">
        <v>0.19400000000000001</v>
      </c>
      <c r="M677">
        <v>2</v>
      </c>
      <c r="N677">
        <v>46</v>
      </c>
      <c r="O677">
        <v>48</v>
      </c>
    </row>
    <row r="678" spans="1:15" hidden="1" x14ac:dyDescent="0.3">
      <c r="A678">
        <v>677</v>
      </c>
      <c r="B678" s="1">
        <v>40574</v>
      </c>
      <c r="C678">
        <v>12</v>
      </c>
      <c r="D678" s="2" t="s">
        <v>45</v>
      </c>
      <c r="E678" t="s">
        <v>26</v>
      </c>
      <c r="F678" s="2" t="s">
        <v>32</v>
      </c>
      <c r="G678" t="s">
        <v>29</v>
      </c>
      <c r="H678" s="3">
        <v>0.18</v>
      </c>
      <c r="I678" s="2" t="s">
        <v>44</v>
      </c>
      <c r="J678" s="3">
        <v>0.21210000000000001</v>
      </c>
      <c r="K678" s="3">
        <v>0.55000000000000004</v>
      </c>
      <c r="L678" s="3">
        <v>0.1045</v>
      </c>
      <c r="M678">
        <v>6</v>
      </c>
      <c r="N678">
        <v>62</v>
      </c>
      <c r="O678">
        <v>68</v>
      </c>
    </row>
    <row r="679" spans="1:15" hidden="1" x14ac:dyDescent="0.3">
      <c r="A679">
        <v>678</v>
      </c>
      <c r="B679" s="1">
        <v>40574</v>
      </c>
      <c r="C679">
        <v>13</v>
      </c>
      <c r="D679" s="2" t="s">
        <v>45</v>
      </c>
      <c r="E679" t="s">
        <v>26</v>
      </c>
      <c r="F679" s="2" t="s">
        <v>32</v>
      </c>
      <c r="G679" t="s">
        <v>29</v>
      </c>
      <c r="H679" s="3">
        <v>0.16</v>
      </c>
      <c r="I679" s="2" t="s">
        <v>44</v>
      </c>
      <c r="J679" s="3">
        <v>0.2273</v>
      </c>
      <c r="K679" s="3">
        <v>0.59</v>
      </c>
      <c r="L679" s="3">
        <v>0</v>
      </c>
      <c r="M679">
        <v>2</v>
      </c>
      <c r="N679">
        <v>52</v>
      </c>
      <c r="O679">
        <v>54</v>
      </c>
    </row>
    <row r="680" spans="1:15" hidden="1" x14ac:dyDescent="0.3">
      <c r="A680">
        <v>679</v>
      </c>
      <c r="B680" s="1">
        <v>40574</v>
      </c>
      <c r="C680">
        <v>14</v>
      </c>
      <c r="D680" s="2" t="s">
        <v>45</v>
      </c>
      <c r="E680" t="s">
        <v>26</v>
      </c>
      <c r="F680" s="2" t="s">
        <v>32</v>
      </c>
      <c r="G680" t="s">
        <v>29</v>
      </c>
      <c r="H680" s="3">
        <v>0.18</v>
      </c>
      <c r="I680" s="2" t="s">
        <v>44</v>
      </c>
      <c r="J680" s="3">
        <v>0.19700000000000001</v>
      </c>
      <c r="K680" s="3">
        <v>0.55000000000000004</v>
      </c>
      <c r="L680" s="3">
        <v>0.1343</v>
      </c>
      <c r="M680">
        <v>1</v>
      </c>
      <c r="N680">
        <v>85</v>
      </c>
      <c r="O680">
        <v>86</v>
      </c>
    </row>
    <row r="681" spans="1:15" hidden="1" x14ac:dyDescent="0.3">
      <c r="A681">
        <v>680</v>
      </c>
      <c r="B681" s="1">
        <v>40574</v>
      </c>
      <c r="C681">
        <v>15</v>
      </c>
      <c r="D681" s="2" t="s">
        <v>45</v>
      </c>
      <c r="E681" t="s">
        <v>26</v>
      </c>
      <c r="F681" s="2" t="s">
        <v>32</v>
      </c>
      <c r="G681" t="s">
        <v>29</v>
      </c>
      <c r="H681" s="3">
        <v>0.16</v>
      </c>
      <c r="I681" s="2" t="s">
        <v>44</v>
      </c>
      <c r="J681" s="3">
        <v>0.18179999999999999</v>
      </c>
      <c r="K681" s="3">
        <v>0.59</v>
      </c>
      <c r="L681" s="3">
        <v>0.1343</v>
      </c>
      <c r="M681">
        <v>3</v>
      </c>
      <c r="N681">
        <v>41</v>
      </c>
      <c r="O681">
        <v>44</v>
      </c>
    </row>
    <row r="682" spans="1:15" hidden="1" x14ac:dyDescent="0.3">
      <c r="A682">
        <v>681</v>
      </c>
      <c r="B682" s="1">
        <v>40574</v>
      </c>
      <c r="C682">
        <v>16</v>
      </c>
      <c r="D682" s="2" t="s">
        <v>45</v>
      </c>
      <c r="E682" t="s">
        <v>26</v>
      </c>
      <c r="F682" s="2" t="s">
        <v>32</v>
      </c>
      <c r="G682" t="s">
        <v>29</v>
      </c>
      <c r="H682" s="3">
        <v>0.16</v>
      </c>
      <c r="I682" s="2" t="s">
        <v>44</v>
      </c>
      <c r="J682" s="3">
        <v>0.18179999999999999</v>
      </c>
      <c r="K682" s="3">
        <v>0.56000000000000005</v>
      </c>
      <c r="L682" s="3">
        <v>0.19400000000000001</v>
      </c>
      <c r="M682">
        <v>3</v>
      </c>
      <c r="N682">
        <v>83</v>
      </c>
      <c r="O682">
        <v>86</v>
      </c>
    </row>
    <row r="683" spans="1:15" hidden="1" x14ac:dyDescent="0.3">
      <c r="A683">
        <v>682</v>
      </c>
      <c r="B683" s="1">
        <v>40574</v>
      </c>
      <c r="C683">
        <v>17</v>
      </c>
      <c r="D683" s="2" t="s">
        <v>47</v>
      </c>
      <c r="E683" t="s">
        <v>26</v>
      </c>
      <c r="F683" s="2" t="s">
        <v>32</v>
      </c>
      <c r="G683" t="s">
        <v>29</v>
      </c>
      <c r="H683" s="3">
        <v>0.16</v>
      </c>
      <c r="I683" s="2" t="s">
        <v>44</v>
      </c>
      <c r="J683" s="3">
        <v>0.1515</v>
      </c>
      <c r="K683" s="3">
        <v>0.59</v>
      </c>
      <c r="L683" s="3">
        <v>0.19400000000000001</v>
      </c>
      <c r="M683">
        <v>6</v>
      </c>
      <c r="N683">
        <v>155</v>
      </c>
      <c r="O683">
        <v>161</v>
      </c>
    </row>
    <row r="684" spans="1:15" hidden="1" x14ac:dyDescent="0.3">
      <c r="A684">
        <v>683</v>
      </c>
      <c r="B684" s="1">
        <v>40574</v>
      </c>
      <c r="C684">
        <v>18</v>
      </c>
      <c r="D684" s="2" t="s">
        <v>47</v>
      </c>
      <c r="E684" t="s">
        <v>26</v>
      </c>
      <c r="F684" s="2" t="s">
        <v>32</v>
      </c>
      <c r="G684" t="s">
        <v>29</v>
      </c>
      <c r="H684" s="3">
        <v>0.16</v>
      </c>
      <c r="I684" s="2" t="s">
        <v>44</v>
      </c>
      <c r="J684" s="3">
        <v>0.1515</v>
      </c>
      <c r="K684" s="3">
        <v>0.55000000000000004</v>
      </c>
      <c r="L684" s="3">
        <v>0.22389999999999999</v>
      </c>
      <c r="M684">
        <v>3</v>
      </c>
      <c r="N684">
        <v>153</v>
      </c>
      <c r="O684">
        <v>156</v>
      </c>
    </row>
    <row r="685" spans="1:15" hidden="1" x14ac:dyDescent="0.3">
      <c r="A685">
        <v>684</v>
      </c>
      <c r="B685" s="1">
        <v>40574</v>
      </c>
      <c r="C685">
        <v>19</v>
      </c>
      <c r="D685" s="2" t="s">
        <v>47</v>
      </c>
      <c r="E685" t="s">
        <v>26</v>
      </c>
      <c r="F685" s="2" t="s">
        <v>32</v>
      </c>
      <c r="G685" t="s">
        <v>28</v>
      </c>
      <c r="H685" s="3">
        <v>0.3</v>
      </c>
      <c r="I685" s="2" t="s">
        <v>42</v>
      </c>
      <c r="J685" s="3">
        <v>0.31819999999999998</v>
      </c>
      <c r="K685" s="3">
        <v>0.61</v>
      </c>
      <c r="L685" s="3">
        <v>0.1045</v>
      </c>
      <c r="M685">
        <v>3</v>
      </c>
      <c r="N685">
        <v>108</v>
      </c>
      <c r="O685">
        <v>111</v>
      </c>
    </row>
    <row r="686" spans="1:15" hidden="1" x14ac:dyDescent="0.3">
      <c r="A686">
        <v>685</v>
      </c>
      <c r="B686" s="1">
        <v>40574</v>
      </c>
      <c r="C686">
        <v>20</v>
      </c>
      <c r="D686" s="2" t="s">
        <v>47</v>
      </c>
      <c r="E686" t="s">
        <v>26</v>
      </c>
      <c r="F686" s="2" t="s">
        <v>32</v>
      </c>
      <c r="G686" t="s">
        <v>30</v>
      </c>
      <c r="H686" s="3">
        <v>0.16</v>
      </c>
      <c r="I686" s="2" t="s">
        <v>44</v>
      </c>
      <c r="J686" s="3">
        <v>0.16669999999999999</v>
      </c>
      <c r="K686" s="3">
        <v>0.59</v>
      </c>
      <c r="L686" s="3">
        <v>0.16420000000000001</v>
      </c>
      <c r="M686">
        <v>0</v>
      </c>
      <c r="N686">
        <v>78</v>
      </c>
      <c r="O686">
        <v>78</v>
      </c>
    </row>
    <row r="687" spans="1:15" hidden="1" x14ac:dyDescent="0.3">
      <c r="A687">
        <v>686</v>
      </c>
      <c r="B687" s="1">
        <v>40574</v>
      </c>
      <c r="C687">
        <v>21</v>
      </c>
      <c r="D687" s="2" t="s">
        <v>41</v>
      </c>
      <c r="E687" t="s">
        <v>26</v>
      </c>
      <c r="F687" s="2" t="s">
        <v>32</v>
      </c>
      <c r="G687" t="s">
        <v>30</v>
      </c>
      <c r="H687" s="3">
        <v>0.16</v>
      </c>
      <c r="I687" s="2" t="s">
        <v>44</v>
      </c>
      <c r="J687" s="3">
        <v>0.19700000000000001</v>
      </c>
      <c r="K687" s="3">
        <v>0.59</v>
      </c>
      <c r="L687" s="3">
        <v>8.9599999999999999E-2</v>
      </c>
      <c r="M687">
        <v>3</v>
      </c>
      <c r="N687">
        <v>53</v>
      </c>
      <c r="O687">
        <v>56</v>
      </c>
    </row>
    <row r="688" spans="1:15" hidden="1" x14ac:dyDescent="0.3">
      <c r="A688">
        <v>687</v>
      </c>
      <c r="B688" s="1">
        <v>40574</v>
      </c>
      <c r="C688">
        <v>22</v>
      </c>
      <c r="D688" s="2" t="s">
        <v>41</v>
      </c>
      <c r="E688" t="s">
        <v>26</v>
      </c>
      <c r="F688" s="2" t="s">
        <v>32</v>
      </c>
      <c r="G688" t="s">
        <v>29</v>
      </c>
      <c r="H688" s="3">
        <v>0.16</v>
      </c>
      <c r="I688" s="2" t="s">
        <v>44</v>
      </c>
      <c r="J688" s="3">
        <v>0.18179999999999999</v>
      </c>
      <c r="K688" s="3">
        <v>0.59</v>
      </c>
      <c r="L688" s="3">
        <v>0.1045</v>
      </c>
      <c r="M688">
        <v>0</v>
      </c>
      <c r="N688">
        <v>34</v>
      </c>
      <c r="O688">
        <v>34</v>
      </c>
    </row>
    <row r="689" spans="1:15" hidden="1" x14ac:dyDescent="0.3">
      <c r="A689">
        <v>688</v>
      </c>
      <c r="B689" s="1">
        <v>40574</v>
      </c>
      <c r="C689">
        <v>23</v>
      </c>
      <c r="D689" s="2" t="s">
        <v>41</v>
      </c>
      <c r="E689" t="s">
        <v>26</v>
      </c>
      <c r="F689" s="2" t="s">
        <v>32</v>
      </c>
      <c r="G689" t="s">
        <v>29</v>
      </c>
      <c r="H689" s="3">
        <v>0.16</v>
      </c>
      <c r="I689" s="2" t="s">
        <v>44</v>
      </c>
      <c r="J689" s="3">
        <v>0.19700000000000001</v>
      </c>
      <c r="K689" s="3">
        <v>0.64</v>
      </c>
      <c r="L689" s="3">
        <v>8.9599999999999999E-2</v>
      </c>
      <c r="M689">
        <v>2</v>
      </c>
      <c r="N689">
        <v>15</v>
      </c>
      <c r="O689">
        <v>17</v>
      </c>
    </row>
    <row r="690" spans="1:15" hidden="1" x14ac:dyDescent="0.3">
      <c r="A690">
        <v>689</v>
      </c>
      <c r="B690" s="1">
        <v>40575</v>
      </c>
      <c r="C690">
        <v>0</v>
      </c>
      <c r="D690" s="2" t="s">
        <v>41</v>
      </c>
      <c r="E690" t="s">
        <v>26</v>
      </c>
      <c r="F690" s="2" t="s">
        <v>33</v>
      </c>
      <c r="G690" t="s">
        <v>29</v>
      </c>
      <c r="H690" s="3">
        <v>0.16</v>
      </c>
      <c r="I690" s="2" t="s">
        <v>44</v>
      </c>
      <c r="J690" s="3">
        <v>0.18179999999999999</v>
      </c>
      <c r="K690" s="3">
        <v>0.64</v>
      </c>
      <c r="L690" s="3">
        <v>0.1045</v>
      </c>
      <c r="M690">
        <v>2</v>
      </c>
      <c r="N690">
        <v>6</v>
      </c>
      <c r="O690">
        <v>8</v>
      </c>
    </row>
    <row r="691" spans="1:15" hidden="1" x14ac:dyDescent="0.3">
      <c r="A691">
        <v>690</v>
      </c>
      <c r="B691" s="1">
        <v>40575</v>
      </c>
      <c r="C691">
        <v>1</v>
      </c>
      <c r="D691" s="2" t="s">
        <v>41</v>
      </c>
      <c r="E691" t="s">
        <v>26</v>
      </c>
      <c r="F691" s="2" t="s">
        <v>33</v>
      </c>
      <c r="G691" t="s">
        <v>29</v>
      </c>
      <c r="H691" s="3">
        <v>0.16</v>
      </c>
      <c r="I691" s="2" t="s">
        <v>44</v>
      </c>
      <c r="J691" s="3">
        <v>0.18179999999999999</v>
      </c>
      <c r="K691" s="3">
        <v>0.69</v>
      </c>
      <c r="L691" s="3">
        <v>0.1045</v>
      </c>
      <c r="M691">
        <v>0</v>
      </c>
      <c r="N691">
        <v>3</v>
      </c>
      <c r="O691">
        <v>3</v>
      </c>
    </row>
    <row r="692" spans="1:15" hidden="1" x14ac:dyDescent="0.3">
      <c r="A692">
        <v>691</v>
      </c>
      <c r="B692" s="1">
        <v>40575</v>
      </c>
      <c r="C692">
        <v>2</v>
      </c>
      <c r="D692" s="2" t="s">
        <v>41</v>
      </c>
      <c r="E692" t="s">
        <v>26</v>
      </c>
      <c r="F692" s="2" t="s">
        <v>33</v>
      </c>
      <c r="G692" t="s">
        <v>29</v>
      </c>
      <c r="H692" s="3">
        <v>0.16</v>
      </c>
      <c r="I692" s="2" t="s">
        <v>44</v>
      </c>
      <c r="J692" s="3">
        <v>0.2273</v>
      </c>
      <c r="K692" s="3">
        <v>0.69</v>
      </c>
      <c r="L692" s="3">
        <v>0</v>
      </c>
      <c r="M692">
        <v>0</v>
      </c>
      <c r="N692">
        <v>2</v>
      </c>
      <c r="O692">
        <v>2</v>
      </c>
    </row>
    <row r="693" spans="1:15" hidden="1" x14ac:dyDescent="0.3">
      <c r="A693">
        <v>692</v>
      </c>
      <c r="B693" s="1">
        <v>40575</v>
      </c>
      <c r="C693">
        <v>3</v>
      </c>
      <c r="D693" s="2" t="s">
        <v>41</v>
      </c>
      <c r="E693" t="s">
        <v>26</v>
      </c>
      <c r="F693" s="2" t="s">
        <v>33</v>
      </c>
      <c r="G693" t="s">
        <v>29</v>
      </c>
      <c r="H693" s="3">
        <v>0.16</v>
      </c>
      <c r="I693" s="2" t="s">
        <v>44</v>
      </c>
      <c r="J693" s="3">
        <v>0.2273</v>
      </c>
      <c r="K693" s="3">
        <v>0.69</v>
      </c>
      <c r="L693" s="3">
        <v>0</v>
      </c>
      <c r="M693">
        <v>0</v>
      </c>
      <c r="N693">
        <v>2</v>
      </c>
      <c r="O693">
        <v>2</v>
      </c>
    </row>
    <row r="694" spans="1:15" x14ac:dyDescent="0.3">
      <c r="A694">
        <v>693</v>
      </c>
      <c r="B694" s="1">
        <v>40575</v>
      </c>
      <c r="C694">
        <v>5</v>
      </c>
      <c r="D694" s="2" t="s">
        <v>43</v>
      </c>
      <c r="E694" t="s">
        <v>26</v>
      </c>
      <c r="F694" s="2" t="s">
        <v>33</v>
      </c>
      <c r="G694" t="s">
        <v>30</v>
      </c>
      <c r="H694" s="3">
        <v>0.14000000000000001</v>
      </c>
      <c r="I694" s="2" t="s">
        <v>44</v>
      </c>
      <c r="J694" s="3">
        <v>0.21210000000000001</v>
      </c>
      <c r="K694" s="3">
        <v>0.93</v>
      </c>
      <c r="L694" s="3">
        <v>0</v>
      </c>
      <c r="M694">
        <v>0</v>
      </c>
      <c r="N694">
        <v>3</v>
      </c>
      <c r="O694">
        <v>3</v>
      </c>
    </row>
    <row r="695" spans="1:15" x14ac:dyDescent="0.3">
      <c r="A695">
        <v>694</v>
      </c>
      <c r="B695" s="1">
        <v>40575</v>
      </c>
      <c r="C695">
        <v>6</v>
      </c>
      <c r="D695" s="2" t="s">
        <v>43</v>
      </c>
      <c r="E695" t="s">
        <v>26</v>
      </c>
      <c r="F695" s="2" t="s">
        <v>33</v>
      </c>
      <c r="G695" t="s">
        <v>30</v>
      </c>
      <c r="H695" s="3">
        <v>0.14000000000000001</v>
      </c>
      <c r="I695" s="2" t="s">
        <v>44</v>
      </c>
      <c r="J695" s="3">
        <v>0.21210000000000001</v>
      </c>
      <c r="K695" s="3">
        <v>0.93</v>
      </c>
      <c r="L695" s="3">
        <v>0</v>
      </c>
      <c r="M695">
        <v>0</v>
      </c>
      <c r="N695">
        <v>22</v>
      </c>
      <c r="O695">
        <v>22</v>
      </c>
    </row>
    <row r="696" spans="1:15" x14ac:dyDescent="0.3">
      <c r="A696">
        <v>695</v>
      </c>
      <c r="B696" s="1">
        <v>40575</v>
      </c>
      <c r="C696">
        <v>7</v>
      </c>
      <c r="D696" s="2" t="s">
        <v>43</v>
      </c>
      <c r="E696" t="s">
        <v>26</v>
      </c>
      <c r="F696" s="2" t="s">
        <v>33</v>
      </c>
      <c r="G696" t="s">
        <v>30</v>
      </c>
      <c r="H696" s="3">
        <v>0.16</v>
      </c>
      <c r="I696" s="2" t="s">
        <v>44</v>
      </c>
      <c r="J696" s="3">
        <v>0.2273</v>
      </c>
      <c r="K696" s="3">
        <v>0.93</v>
      </c>
      <c r="L696" s="3">
        <v>0</v>
      </c>
      <c r="M696">
        <v>0</v>
      </c>
      <c r="N696">
        <v>52</v>
      </c>
      <c r="O696">
        <v>52</v>
      </c>
    </row>
    <row r="697" spans="1:15" x14ac:dyDescent="0.3">
      <c r="A697">
        <v>696</v>
      </c>
      <c r="B697" s="1">
        <v>40575</v>
      </c>
      <c r="C697">
        <v>8</v>
      </c>
      <c r="D697" s="2" t="s">
        <v>43</v>
      </c>
      <c r="E697" t="s">
        <v>26</v>
      </c>
      <c r="F697" s="2" t="s">
        <v>33</v>
      </c>
      <c r="G697" t="s">
        <v>30</v>
      </c>
      <c r="H697" s="3">
        <v>0.16</v>
      </c>
      <c r="I697" s="2" t="s">
        <v>44</v>
      </c>
      <c r="J697" s="3">
        <v>0.2273</v>
      </c>
      <c r="K697" s="3">
        <v>0.93</v>
      </c>
      <c r="L697" s="3">
        <v>0</v>
      </c>
      <c r="M697">
        <v>3</v>
      </c>
      <c r="N697">
        <v>132</v>
      </c>
      <c r="O697">
        <v>135</v>
      </c>
    </row>
    <row r="698" spans="1:15" x14ac:dyDescent="0.3">
      <c r="A698">
        <v>697</v>
      </c>
      <c r="B698" s="1">
        <v>40575</v>
      </c>
      <c r="C698">
        <v>9</v>
      </c>
      <c r="D698" s="2" t="s">
        <v>43</v>
      </c>
      <c r="E698" t="s">
        <v>26</v>
      </c>
      <c r="F698" s="2" t="s">
        <v>33</v>
      </c>
      <c r="G698" t="s">
        <v>29</v>
      </c>
      <c r="H698" s="3">
        <v>0.16</v>
      </c>
      <c r="I698" s="2" t="s">
        <v>44</v>
      </c>
      <c r="J698" s="3">
        <v>0.2273</v>
      </c>
      <c r="K698" s="3">
        <v>0.93</v>
      </c>
      <c r="L698" s="3">
        <v>0</v>
      </c>
      <c r="M698">
        <v>2</v>
      </c>
      <c r="N698">
        <v>114</v>
      </c>
      <c r="O698">
        <v>116</v>
      </c>
    </row>
    <row r="699" spans="1:15" x14ac:dyDescent="0.3">
      <c r="A699">
        <v>698</v>
      </c>
      <c r="B699" s="1">
        <v>40575</v>
      </c>
      <c r="C699">
        <v>10</v>
      </c>
      <c r="D699" s="2" t="s">
        <v>43</v>
      </c>
      <c r="E699" t="s">
        <v>26</v>
      </c>
      <c r="F699" s="2" t="s">
        <v>33</v>
      </c>
      <c r="G699" t="s">
        <v>29</v>
      </c>
      <c r="H699" s="3">
        <v>0.16</v>
      </c>
      <c r="I699" s="2" t="s">
        <v>44</v>
      </c>
      <c r="J699" s="3">
        <v>0.2273</v>
      </c>
      <c r="K699" s="3">
        <v>0.93</v>
      </c>
      <c r="L699" s="3">
        <v>0</v>
      </c>
      <c r="M699">
        <v>0</v>
      </c>
      <c r="N699">
        <v>47</v>
      </c>
      <c r="O699">
        <v>47</v>
      </c>
    </row>
    <row r="700" spans="1:15" x14ac:dyDescent="0.3">
      <c r="A700">
        <v>699</v>
      </c>
      <c r="B700" s="1">
        <v>40575</v>
      </c>
      <c r="C700">
        <v>11</v>
      </c>
      <c r="D700" s="2" t="s">
        <v>43</v>
      </c>
      <c r="E700" t="s">
        <v>26</v>
      </c>
      <c r="F700" s="2" t="s">
        <v>33</v>
      </c>
      <c r="G700" t="s">
        <v>29</v>
      </c>
      <c r="H700" s="3">
        <v>0.18</v>
      </c>
      <c r="I700" s="2" t="s">
        <v>44</v>
      </c>
      <c r="J700" s="3">
        <v>0.2424</v>
      </c>
      <c r="K700" s="3">
        <v>0.86</v>
      </c>
      <c r="L700" s="3">
        <v>0</v>
      </c>
      <c r="M700">
        <v>2</v>
      </c>
      <c r="N700">
        <v>49</v>
      </c>
      <c r="O700">
        <v>51</v>
      </c>
    </row>
    <row r="701" spans="1:15" hidden="1" x14ac:dyDescent="0.3">
      <c r="A701">
        <v>700</v>
      </c>
      <c r="B701" s="1">
        <v>40575</v>
      </c>
      <c r="C701">
        <v>12</v>
      </c>
      <c r="D701" s="2" t="s">
        <v>45</v>
      </c>
      <c r="E701" t="s">
        <v>26</v>
      </c>
      <c r="F701" s="2" t="s">
        <v>33</v>
      </c>
      <c r="G701" t="s">
        <v>29</v>
      </c>
      <c r="H701" s="3">
        <v>0.2</v>
      </c>
      <c r="I701" s="2" t="s">
        <v>44</v>
      </c>
      <c r="J701" s="3">
        <v>0.2576</v>
      </c>
      <c r="K701" s="3">
        <v>0.86</v>
      </c>
      <c r="L701" s="3">
        <v>0</v>
      </c>
      <c r="M701">
        <v>2</v>
      </c>
      <c r="N701">
        <v>53</v>
      </c>
      <c r="O701">
        <v>55</v>
      </c>
    </row>
    <row r="702" spans="1:15" hidden="1" x14ac:dyDescent="0.3">
      <c r="A702">
        <v>701</v>
      </c>
      <c r="B702" s="1">
        <v>40575</v>
      </c>
      <c r="C702">
        <v>13</v>
      </c>
      <c r="D702" s="2" t="s">
        <v>45</v>
      </c>
      <c r="E702" t="s">
        <v>26</v>
      </c>
      <c r="F702" s="2" t="s">
        <v>33</v>
      </c>
      <c r="G702" t="s">
        <v>29</v>
      </c>
      <c r="H702" s="3">
        <v>0.2</v>
      </c>
      <c r="I702" s="2" t="s">
        <v>44</v>
      </c>
      <c r="J702" s="3">
        <v>0.2576</v>
      </c>
      <c r="K702" s="3">
        <v>0.86</v>
      </c>
      <c r="L702" s="3">
        <v>0</v>
      </c>
      <c r="M702">
        <v>3</v>
      </c>
      <c r="N702">
        <v>49</v>
      </c>
      <c r="O702">
        <v>52</v>
      </c>
    </row>
    <row r="703" spans="1:15" hidden="1" x14ac:dyDescent="0.3">
      <c r="A703">
        <v>702</v>
      </c>
      <c r="B703" s="1">
        <v>40575</v>
      </c>
      <c r="C703">
        <v>14</v>
      </c>
      <c r="D703" s="2" t="s">
        <v>45</v>
      </c>
      <c r="E703" t="s">
        <v>26</v>
      </c>
      <c r="F703" s="2" t="s">
        <v>33</v>
      </c>
      <c r="G703" t="s">
        <v>29</v>
      </c>
      <c r="H703" s="3">
        <v>0.22</v>
      </c>
      <c r="I703" s="2" t="s">
        <v>42</v>
      </c>
      <c r="J703" s="3">
        <v>0.2576</v>
      </c>
      <c r="K703" s="3">
        <v>0.8</v>
      </c>
      <c r="L703" s="3">
        <v>8.9599999999999999E-2</v>
      </c>
      <c r="M703">
        <v>5</v>
      </c>
      <c r="N703">
        <v>49</v>
      </c>
      <c r="O703">
        <v>54</v>
      </c>
    </row>
    <row r="704" spans="1:15" hidden="1" x14ac:dyDescent="0.3">
      <c r="A704">
        <v>703</v>
      </c>
      <c r="B704" s="1">
        <v>40575</v>
      </c>
      <c r="C704">
        <v>15</v>
      </c>
      <c r="D704" s="2" t="s">
        <v>45</v>
      </c>
      <c r="E704" t="s">
        <v>26</v>
      </c>
      <c r="F704" s="2" t="s">
        <v>33</v>
      </c>
      <c r="G704" t="s">
        <v>29</v>
      </c>
      <c r="H704" s="3">
        <v>0.24</v>
      </c>
      <c r="I704" s="2" t="s">
        <v>42</v>
      </c>
      <c r="J704" s="3">
        <v>0.28789999999999999</v>
      </c>
      <c r="K704" s="3">
        <v>0.75</v>
      </c>
      <c r="L704" s="3">
        <v>0</v>
      </c>
      <c r="M704">
        <v>7</v>
      </c>
      <c r="N704">
        <v>45</v>
      </c>
      <c r="O704">
        <v>52</v>
      </c>
    </row>
    <row r="705" spans="1:15" hidden="1" x14ac:dyDescent="0.3">
      <c r="A705">
        <v>704</v>
      </c>
      <c r="B705" s="1">
        <v>40575</v>
      </c>
      <c r="C705">
        <v>16</v>
      </c>
      <c r="D705" s="2" t="s">
        <v>45</v>
      </c>
      <c r="E705" t="s">
        <v>26</v>
      </c>
      <c r="F705" s="2" t="s">
        <v>33</v>
      </c>
      <c r="G705" t="s">
        <v>29</v>
      </c>
      <c r="H705" s="3">
        <v>0.24</v>
      </c>
      <c r="I705" s="2" t="s">
        <v>42</v>
      </c>
      <c r="J705" s="3">
        <v>0.2424</v>
      </c>
      <c r="K705" s="3">
        <v>0.75</v>
      </c>
      <c r="L705" s="3">
        <v>0.1343</v>
      </c>
      <c r="M705">
        <v>3</v>
      </c>
      <c r="N705">
        <v>61</v>
      </c>
      <c r="O705">
        <v>64</v>
      </c>
    </row>
    <row r="706" spans="1:15" hidden="1" x14ac:dyDescent="0.3">
      <c r="A706">
        <v>705</v>
      </c>
      <c r="B706" s="1">
        <v>40575</v>
      </c>
      <c r="C706">
        <v>17</v>
      </c>
      <c r="D706" s="2" t="s">
        <v>47</v>
      </c>
      <c r="E706" t="s">
        <v>26</v>
      </c>
      <c r="F706" s="2" t="s">
        <v>33</v>
      </c>
      <c r="G706" t="s">
        <v>29</v>
      </c>
      <c r="H706" s="3">
        <v>0.24</v>
      </c>
      <c r="I706" s="2" t="s">
        <v>42</v>
      </c>
      <c r="J706" s="3">
        <v>0.28789999999999999</v>
      </c>
      <c r="K706" s="3">
        <v>0.75</v>
      </c>
      <c r="L706" s="3">
        <v>0</v>
      </c>
      <c r="M706">
        <v>4</v>
      </c>
      <c r="N706">
        <v>172</v>
      </c>
      <c r="O706">
        <v>176</v>
      </c>
    </row>
    <row r="707" spans="1:15" hidden="1" x14ac:dyDescent="0.3">
      <c r="A707">
        <v>706</v>
      </c>
      <c r="B707" s="1">
        <v>40575</v>
      </c>
      <c r="C707">
        <v>18</v>
      </c>
      <c r="D707" s="2" t="s">
        <v>47</v>
      </c>
      <c r="E707" t="s">
        <v>26</v>
      </c>
      <c r="F707" s="2" t="s">
        <v>33</v>
      </c>
      <c r="G707" t="s">
        <v>29</v>
      </c>
      <c r="H707" s="3">
        <v>0.24</v>
      </c>
      <c r="I707" s="2" t="s">
        <v>42</v>
      </c>
      <c r="J707" s="3">
        <v>0.2576</v>
      </c>
      <c r="K707" s="3">
        <v>0.81</v>
      </c>
      <c r="L707" s="3">
        <v>0.1045</v>
      </c>
      <c r="M707">
        <v>3</v>
      </c>
      <c r="N707">
        <v>165</v>
      </c>
      <c r="O707">
        <v>168</v>
      </c>
    </row>
    <row r="708" spans="1:15" hidden="1" x14ac:dyDescent="0.3">
      <c r="A708">
        <v>707</v>
      </c>
      <c r="B708" s="1">
        <v>40575</v>
      </c>
      <c r="C708">
        <v>19</v>
      </c>
      <c r="D708" s="2" t="s">
        <v>47</v>
      </c>
      <c r="E708" t="s">
        <v>26</v>
      </c>
      <c r="F708" s="2" t="s">
        <v>33</v>
      </c>
      <c r="G708" t="s">
        <v>29</v>
      </c>
      <c r="H708" s="3">
        <v>0.24</v>
      </c>
      <c r="I708" s="2" t="s">
        <v>42</v>
      </c>
      <c r="J708" s="3">
        <v>0.2424</v>
      </c>
      <c r="K708" s="3">
        <v>0.81</v>
      </c>
      <c r="L708" s="3">
        <v>0.1343</v>
      </c>
      <c r="M708">
        <v>3</v>
      </c>
      <c r="N708">
        <v>105</v>
      </c>
      <c r="O708">
        <v>108</v>
      </c>
    </row>
    <row r="709" spans="1:15" hidden="1" x14ac:dyDescent="0.3">
      <c r="A709">
        <v>708</v>
      </c>
      <c r="B709" s="1">
        <v>40575</v>
      </c>
      <c r="C709">
        <v>20</v>
      </c>
      <c r="D709" s="2" t="s">
        <v>47</v>
      </c>
      <c r="E709" t="s">
        <v>26</v>
      </c>
      <c r="F709" s="2" t="s">
        <v>33</v>
      </c>
      <c r="G709" t="s">
        <v>29</v>
      </c>
      <c r="H709" s="3">
        <v>0.22</v>
      </c>
      <c r="I709" s="2" t="s">
        <v>42</v>
      </c>
      <c r="J709" s="3">
        <v>0.2273</v>
      </c>
      <c r="K709" s="3">
        <v>0.87</v>
      </c>
      <c r="L709" s="3">
        <v>0.1343</v>
      </c>
      <c r="M709">
        <v>5</v>
      </c>
      <c r="N709">
        <v>69</v>
      </c>
      <c r="O709">
        <v>74</v>
      </c>
    </row>
    <row r="710" spans="1:15" hidden="1" x14ac:dyDescent="0.3">
      <c r="A710">
        <v>709</v>
      </c>
      <c r="B710" s="1">
        <v>40575</v>
      </c>
      <c r="C710">
        <v>21</v>
      </c>
      <c r="D710" s="2" t="s">
        <v>41</v>
      </c>
      <c r="E710" t="s">
        <v>26</v>
      </c>
      <c r="F710" s="2" t="s">
        <v>33</v>
      </c>
      <c r="G710" t="s">
        <v>29</v>
      </c>
      <c r="H710" s="3">
        <v>0.22</v>
      </c>
      <c r="I710" s="2" t="s">
        <v>42</v>
      </c>
      <c r="J710" s="3">
        <v>0.2273</v>
      </c>
      <c r="K710" s="3">
        <v>0.87</v>
      </c>
      <c r="L710" s="3">
        <v>0.1343</v>
      </c>
      <c r="M710">
        <v>0</v>
      </c>
      <c r="N710">
        <v>64</v>
      </c>
      <c r="O710">
        <v>64</v>
      </c>
    </row>
    <row r="711" spans="1:15" hidden="1" x14ac:dyDescent="0.3">
      <c r="A711">
        <v>710</v>
      </c>
      <c r="B711" s="1">
        <v>40575</v>
      </c>
      <c r="C711">
        <v>22</v>
      </c>
      <c r="D711" s="2" t="s">
        <v>41</v>
      </c>
      <c r="E711" t="s">
        <v>26</v>
      </c>
      <c r="F711" s="2" t="s">
        <v>33</v>
      </c>
      <c r="G711" t="s">
        <v>29</v>
      </c>
      <c r="H711" s="3">
        <v>0.22</v>
      </c>
      <c r="I711" s="2" t="s">
        <v>42</v>
      </c>
      <c r="J711" s="3">
        <v>0.2576</v>
      </c>
      <c r="K711" s="3">
        <v>0.87</v>
      </c>
      <c r="L711" s="3">
        <v>8.9599999999999999E-2</v>
      </c>
      <c r="M711">
        <v>2</v>
      </c>
      <c r="N711">
        <v>34</v>
      </c>
      <c r="O711">
        <v>36</v>
      </c>
    </row>
    <row r="712" spans="1:15" hidden="1" x14ac:dyDescent="0.3">
      <c r="A712">
        <v>711</v>
      </c>
      <c r="B712" s="1">
        <v>40575</v>
      </c>
      <c r="C712">
        <v>23</v>
      </c>
      <c r="D712" s="2" t="s">
        <v>41</v>
      </c>
      <c r="E712" t="s">
        <v>26</v>
      </c>
      <c r="F712" s="2" t="s">
        <v>33</v>
      </c>
      <c r="G712" t="s">
        <v>30</v>
      </c>
      <c r="H712" s="3">
        <v>0.2</v>
      </c>
      <c r="I712" s="2" t="s">
        <v>44</v>
      </c>
      <c r="J712" s="3">
        <v>0.19700000000000001</v>
      </c>
      <c r="K712" s="3">
        <v>0.93</v>
      </c>
      <c r="L712" s="3">
        <v>0.19400000000000001</v>
      </c>
      <c r="M712">
        <v>1</v>
      </c>
      <c r="N712">
        <v>15</v>
      </c>
      <c r="O712">
        <v>16</v>
      </c>
    </row>
    <row r="713" spans="1:15" hidden="1" x14ac:dyDescent="0.3">
      <c r="A713">
        <v>712</v>
      </c>
      <c r="B713" s="1">
        <v>40576</v>
      </c>
      <c r="C713">
        <v>0</v>
      </c>
      <c r="D713" s="2" t="s">
        <v>41</v>
      </c>
      <c r="E713" t="s">
        <v>26</v>
      </c>
      <c r="F713" s="2" t="s">
        <v>34</v>
      </c>
      <c r="G713" t="s">
        <v>30</v>
      </c>
      <c r="H713" s="3">
        <v>0.22</v>
      </c>
      <c r="I713" s="2" t="s">
        <v>42</v>
      </c>
      <c r="J713" s="3">
        <v>0.2424</v>
      </c>
      <c r="K713" s="3">
        <v>0.93</v>
      </c>
      <c r="L713" s="3">
        <v>0.1045</v>
      </c>
      <c r="M713">
        <v>0</v>
      </c>
      <c r="N713">
        <v>2</v>
      </c>
      <c r="O713">
        <v>2</v>
      </c>
    </row>
    <row r="714" spans="1:15" hidden="1" x14ac:dyDescent="0.3">
      <c r="A714">
        <v>713</v>
      </c>
      <c r="B714" s="1">
        <v>40576</v>
      </c>
      <c r="C714">
        <v>1</v>
      </c>
      <c r="D714" s="2" t="s">
        <v>41</v>
      </c>
      <c r="E714" t="s">
        <v>26</v>
      </c>
      <c r="F714" s="2" t="s">
        <v>34</v>
      </c>
      <c r="G714" t="s">
        <v>30</v>
      </c>
      <c r="H714" s="3">
        <v>0.22</v>
      </c>
      <c r="I714" s="2" t="s">
        <v>42</v>
      </c>
      <c r="J714" s="3">
        <v>0.2273</v>
      </c>
      <c r="K714" s="3">
        <v>0.93</v>
      </c>
      <c r="L714" s="3">
        <v>0.19400000000000001</v>
      </c>
      <c r="M714">
        <v>0</v>
      </c>
      <c r="N714">
        <v>3</v>
      </c>
      <c r="O714">
        <v>3</v>
      </c>
    </row>
    <row r="715" spans="1:15" hidden="1" x14ac:dyDescent="0.3">
      <c r="A715">
        <v>714</v>
      </c>
      <c r="B715" s="1">
        <v>40576</v>
      </c>
      <c r="C715">
        <v>2</v>
      </c>
      <c r="D715" s="2" t="s">
        <v>41</v>
      </c>
      <c r="E715" t="s">
        <v>26</v>
      </c>
      <c r="F715" s="2" t="s">
        <v>34</v>
      </c>
      <c r="G715" t="s">
        <v>30</v>
      </c>
      <c r="H715" s="3">
        <v>0.22</v>
      </c>
      <c r="I715" s="2" t="s">
        <v>42</v>
      </c>
      <c r="J715" s="3">
        <v>0.2273</v>
      </c>
      <c r="K715" s="3">
        <v>0.93</v>
      </c>
      <c r="L715" s="3">
        <v>0.1343</v>
      </c>
      <c r="M715">
        <v>4</v>
      </c>
      <c r="N715">
        <v>0</v>
      </c>
      <c r="O715">
        <v>4</v>
      </c>
    </row>
    <row r="716" spans="1:15" hidden="1" x14ac:dyDescent="0.3">
      <c r="A716">
        <v>715</v>
      </c>
      <c r="B716" s="1">
        <v>40576</v>
      </c>
      <c r="C716">
        <v>3</v>
      </c>
      <c r="D716" s="2" t="s">
        <v>41</v>
      </c>
      <c r="E716" t="s">
        <v>26</v>
      </c>
      <c r="F716" s="2" t="s">
        <v>34</v>
      </c>
      <c r="G716" t="s">
        <v>30</v>
      </c>
      <c r="H716" s="3">
        <v>0.22</v>
      </c>
      <c r="I716" s="2" t="s">
        <v>42</v>
      </c>
      <c r="J716" s="3">
        <v>0.2273</v>
      </c>
      <c r="K716" s="3">
        <v>0.93</v>
      </c>
      <c r="L716" s="3">
        <v>0.1343</v>
      </c>
      <c r="M716">
        <v>0</v>
      </c>
      <c r="N716">
        <v>1</v>
      </c>
      <c r="O716">
        <v>1</v>
      </c>
    </row>
    <row r="717" spans="1:15" hidden="1" x14ac:dyDescent="0.3">
      <c r="A717">
        <v>716</v>
      </c>
      <c r="B717" s="1">
        <v>40576</v>
      </c>
      <c r="C717">
        <v>4</v>
      </c>
      <c r="D717" s="2" t="s">
        <v>41</v>
      </c>
      <c r="E717" t="s">
        <v>26</v>
      </c>
      <c r="F717" s="2" t="s">
        <v>34</v>
      </c>
      <c r="G717" t="s">
        <v>30</v>
      </c>
      <c r="H717" s="3">
        <v>0.22</v>
      </c>
      <c r="I717" s="2" t="s">
        <v>42</v>
      </c>
      <c r="J717" s="3">
        <v>0.21210000000000001</v>
      </c>
      <c r="K717" s="3">
        <v>0.93</v>
      </c>
      <c r="L717" s="3">
        <v>0.28360000000000002</v>
      </c>
      <c r="M717">
        <v>0</v>
      </c>
      <c r="N717">
        <v>1</v>
      </c>
      <c r="O717">
        <v>1</v>
      </c>
    </row>
    <row r="718" spans="1:15" x14ac:dyDescent="0.3">
      <c r="A718">
        <v>717</v>
      </c>
      <c r="B718" s="1">
        <v>40576</v>
      </c>
      <c r="C718">
        <v>5</v>
      </c>
      <c r="D718" s="2" t="s">
        <v>43</v>
      </c>
      <c r="E718" t="s">
        <v>26</v>
      </c>
      <c r="F718" s="2" t="s">
        <v>34</v>
      </c>
      <c r="G718" t="s">
        <v>30</v>
      </c>
      <c r="H718" s="3">
        <v>0.22</v>
      </c>
      <c r="I718" s="2" t="s">
        <v>42</v>
      </c>
      <c r="J718" s="3">
        <v>0.2424</v>
      </c>
      <c r="K718" s="3">
        <v>0.93</v>
      </c>
      <c r="L718" s="3">
        <v>0.1045</v>
      </c>
      <c r="M718">
        <v>0</v>
      </c>
      <c r="N718">
        <v>3</v>
      </c>
      <c r="O718">
        <v>3</v>
      </c>
    </row>
    <row r="719" spans="1:15" x14ac:dyDescent="0.3">
      <c r="A719">
        <v>718</v>
      </c>
      <c r="B719" s="1">
        <v>40576</v>
      </c>
      <c r="C719">
        <v>6</v>
      </c>
      <c r="D719" s="2" t="s">
        <v>43</v>
      </c>
      <c r="E719" t="s">
        <v>26</v>
      </c>
      <c r="F719" s="2" t="s">
        <v>34</v>
      </c>
      <c r="G719" t="s">
        <v>30</v>
      </c>
      <c r="H719" s="3">
        <v>0.22</v>
      </c>
      <c r="I719" s="2" t="s">
        <v>42</v>
      </c>
      <c r="J719" s="3">
        <v>0.2424</v>
      </c>
      <c r="K719" s="3">
        <v>0.93</v>
      </c>
      <c r="L719" s="3">
        <v>0.1045</v>
      </c>
      <c r="M719">
        <v>1</v>
      </c>
      <c r="N719">
        <v>17</v>
      </c>
      <c r="O719">
        <v>18</v>
      </c>
    </row>
    <row r="720" spans="1:15" x14ac:dyDescent="0.3">
      <c r="A720">
        <v>719</v>
      </c>
      <c r="B720" s="1">
        <v>40576</v>
      </c>
      <c r="C720">
        <v>7</v>
      </c>
      <c r="D720" s="2" t="s">
        <v>43</v>
      </c>
      <c r="E720" t="s">
        <v>26</v>
      </c>
      <c r="F720" s="2" t="s">
        <v>34</v>
      </c>
      <c r="G720" t="s">
        <v>30</v>
      </c>
      <c r="H720" s="3">
        <v>0.22</v>
      </c>
      <c r="I720" s="2" t="s">
        <v>42</v>
      </c>
      <c r="J720" s="3">
        <v>0.21210000000000001</v>
      </c>
      <c r="K720" s="3">
        <v>0.93</v>
      </c>
      <c r="L720" s="3">
        <v>0.22389999999999999</v>
      </c>
      <c r="M720">
        <v>1</v>
      </c>
      <c r="N720">
        <v>48</v>
      </c>
      <c r="O720">
        <v>49</v>
      </c>
    </row>
    <row r="721" spans="1:15" x14ac:dyDescent="0.3">
      <c r="A721">
        <v>720</v>
      </c>
      <c r="B721" s="1">
        <v>40576</v>
      </c>
      <c r="C721">
        <v>8</v>
      </c>
      <c r="D721" s="2" t="s">
        <v>43</v>
      </c>
      <c r="E721" t="s">
        <v>26</v>
      </c>
      <c r="F721" s="2" t="s">
        <v>34</v>
      </c>
      <c r="G721" t="s">
        <v>30</v>
      </c>
      <c r="H721" s="3">
        <v>0.22</v>
      </c>
      <c r="I721" s="2" t="s">
        <v>42</v>
      </c>
      <c r="J721" s="3">
        <v>0.21210000000000001</v>
      </c>
      <c r="K721" s="3">
        <v>0.93</v>
      </c>
      <c r="L721" s="3">
        <v>0.22389999999999999</v>
      </c>
      <c r="M721">
        <v>1</v>
      </c>
      <c r="N721">
        <v>154</v>
      </c>
      <c r="O721">
        <v>155</v>
      </c>
    </row>
    <row r="722" spans="1:15" x14ac:dyDescent="0.3">
      <c r="A722">
        <v>721</v>
      </c>
      <c r="B722" s="1">
        <v>40576</v>
      </c>
      <c r="C722">
        <v>9</v>
      </c>
      <c r="D722" s="2" t="s">
        <v>43</v>
      </c>
      <c r="E722" t="s">
        <v>26</v>
      </c>
      <c r="F722" s="2" t="s">
        <v>34</v>
      </c>
      <c r="G722" t="s">
        <v>29</v>
      </c>
      <c r="H722" s="3">
        <v>0.24</v>
      </c>
      <c r="I722" s="2" t="s">
        <v>42</v>
      </c>
      <c r="J722" s="3">
        <v>0.2576</v>
      </c>
      <c r="K722" s="3">
        <v>0.93</v>
      </c>
      <c r="L722" s="3">
        <v>8.9599999999999999E-2</v>
      </c>
      <c r="M722">
        <v>4</v>
      </c>
      <c r="N722">
        <v>119</v>
      </c>
      <c r="O722">
        <v>123</v>
      </c>
    </row>
    <row r="723" spans="1:15" x14ac:dyDescent="0.3">
      <c r="A723">
        <v>722</v>
      </c>
      <c r="B723" s="1">
        <v>40576</v>
      </c>
      <c r="C723">
        <v>10</v>
      </c>
      <c r="D723" s="2" t="s">
        <v>43</v>
      </c>
      <c r="E723" t="s">
        <v>26</v>
      </c>
      <c r="F723" s="2" t="s">
        <v>34</v>
      </c>
      <c r="G723" t="s">
        <v>29</v>
      </c>
      <c r="H723" s="3">
        <v>0.22</v>
      </c>
      <c r="I723" s="2" t="s">
        <v>42</v>
      </c>
      <c r="J723" s="3">
        <v>0.2727</v>
      </c>
      <c r="K723" s="3">
        <v>1</v>
      </c>
      <c r="L723" s="3">
        <v>0</v>
      </c>
      <c r="M723">
        <v>2</v>
      </c>
      <c r="N723">
        <v>59</v>
      </c>
      <c r="O723">
        <v>61</v>
      </c>
    </row>
    <row r="724" spans="1:15" x14ac:dyDescent="0.3">
      <c r="A724">
        <v>723</v>
      </c>
      <c r="B724" s="1">
        <v>40576</v>
      </c>
      <c r="C724">
        <v>11</v>
      </c>
      <c r="D724" s="2" t="s">
        <v>43</v>
      </c>
      <c r="E724" t="s">
        <v>26</v>
      </c>
      <c r="F724" s="2" t="s">
        <v>34</v>
      </c>
      <c r="G724" t="s">
        <v>29</v>
      </c>
      <c r="H724" s="3">
        <v>0.24</v>
      </c>
      <c r="I724" s="2" t="s">
        <v>42</v>
      </c>
      <c r="J724" s="3">
        <v>0.2273</v>
      </c>
      <c r="K724" s="3">
        <v>0.93</v>
      </c>
      <c r="L724" s="3">
        <v>0.19400000000000001</v>
      </c>
      <c r="M724">
        <v>5</v>
      </c>
      <c r="N724">
        <v>47</v>
      </c>
      <c r="O724">
        <v>52</v>
      </c>
    </row>
    <row r="725" spans="1:15" hidden="1" x14ac:dyDescent="0.3">
      <c r="A725">
        <v>724</v>
      </c>
      <c r="B725" s="1">
        <v>40576</v>
      </c>
      <c r="C725">
        <v>12</v>
      </c>
      <c r="D725" s="2" t="s">
        <v>45</v>
      </c>
      <c r="E725" t="s">
        <v>26</v>
      </c>
      <c r="F725" s="2" t="s">
        <v>34</v>
      </c>
      <c r="G725" t="s">
        <v>29</v>
      </c>
      <c r="H725" s="3">
        <v>0.24</v>
      </c>
      <c r="I725" s="2" t="s">
        <v>42</v>
      </c>
      <c r="J725" s="3">
        <v>0.2273</v>
      </c>
      <c r="K725" s="3">
        <v>0.93</v>
      </c>
      <c r="L725" s="3">
        <v>0.22389999999999999</v>
      </c>
      <c r="M725">
        <v>3</v>
      </c>
      <c r="N725">
        <v>61</v>
      </c>
      <c r="O725">
        <v>64</v>
      </c>
    </row>
    <row r="726" spans="1:15" hidden="1" x14ac:dyDescent="0.3">
      <c r="A726">
        <v>725</v>
      </c>
      <c r="B726" s="1">
        <v>40576</v>
      </c>
      <c r="C726">
        <v>13</v>
      </c>
      <c r="D726" s="2" t="s">
        <v>45</v>
      </c>
      <c r="E726" t="s">
        <v>26</v>
      </c>
      <c r="F726" s="2" t="s">
        <v>34</v>
      </c>
      <c r="G726" t="s">
        <v>28</v>
      </c>
      <c r="H726" s="3">
        <v>0.34</v>
      </c>
      <c r="I726" s="2" t="s">
        <v>42</v>
      </c>
      <c r="J726" s="3">
        <v>0.33329999999999999</v>
      </c>
      <c r="K726" s="3">
        <v>0.93</v>
      </c>
      <c r="L726" s="3">
        <v>0.16420000000000001</v>
      </c>
      <c r="M726">
        <v>1</v>
      </c>
      <c r="N726">
        <v>74</v>
      </c>
      <c r="O726">
        <v>75</v>
      </c>
    </row>
    <row r="727" spans="1:15" hidden="1" x14ac:dyDescent="0.3">
      <c r="A727">
        <v>726</v>
      </c>
      <c r="B727" s="1">
        <v>40576</v>
      </c>
      <c r="C727">
        <v>14</v>
      </c>
      <c r="D727" s="2" t="s">
        <v>45</v>
      </c>
      <c r="E727" t="s">
        <v>26</v>
      </c>
      <c r="F727" s="2" t="s">
        <v>34</v>
      </c>
      <c r="G727" t="s">
        <v>28</v>
      </c>
      <c r="H727" s="3">
        <v>0.38</v>
      </c>
      <c r="I727" s="2" t="s">
        <v>42</v>
      </c>
      <c r="J727" s="3">
        <v>0.39389999999999997</v>
      </c>
      <c r="K727" s="3">
        <v>0.82</v>
      </c>
      <c r="L727" s="3">
        <v>0.3881</v>
      </c>
      <c r="M727">
        <v>2</v>
      </c>
      <c r="N727">
        <v>61</v>
      </c>
      <c r="O727">
        <v>63</v>
      </c>
    </row>
    <row r="728" spans="1:15" hidden="1" x14ac:dyDescent="0.3">
      <c r="A728">
        <v>727</v>
      </c>
      <c r="B728" s="1">
        <v>40576</v>
      </c>
      <c r="C728">
        <v>15</v>
      </c>
      <c r="D728" s="2" t="s">
        <v>45</v>
      </c>
      <c r="E728" t="s">
        <v>26</v>
      </c>
      <c r="F728" s="2" t="s">
        <v>34</v>
      </c>
      <c r="G728" t="s">
        <v>28</v>
      </c>
      <c r="H728" s="3">
        <v>0.38</v>
      </c>
      <c r="I728" s="2" t="s">
        <v>42</v>
      </c>
      <c r="J728" s="3">
        <v>0.39389999999999997</v>
      </c>
      <c r="K728" s="3">
        <v>0.76</v>
      </c>
      <c r="L728" s="3">
        <v>0.32840000000000003</v>
      </c>
      <c r="M728">
        <v>10</v>
      </c>
      <c r="N728">
        <v>66</v>
      </c>
      <c r="O728">
        <v>76</v>
      </c>
    </row>
    <row r="729" spans="1:15" hidden="1" x14ac:dyDescent="0.3">
      <c r="A729">
        <v>728</v>
      </c>
      <c r="B729" s="1">
        <v>40576</v>
      </c>
      <c r="C729">
        <v>16</v>
      </c>
      <c r="D729" s="2" t="s">
        <v>45</v>
      </c>
      <c r="E729" t="s">
        <v>26</v>
      </c>
      <c r="F729" s="2" t="s">
        <v>34</v>
      </c>
      <c r="G729" t="s">
        <v>28</v>
      </c>
      <c r="H729" s="3">
        <v>0.36</v>
      </c>
      <c r="I729" s="2" t="s">
        <v>42</v>
      </c>
      <c r="J729" s="3">
        <v>0.33329999999999999</v>
      </c>
      <c r="K729" s="3">
        <v>0.71</v>
      </c>
      <c r="L729" s="3">
        <v>0.29849999999999999</v>
      </c>
      <c r="M729">
        <v>8</v>
      </c>
      <c r="N729">
        <v>95</v>
      </c>
      <c r="O729">
        <v>103</v>
      </c>
    </row>
    <row r="730" spans="1:15" hidden="1" x14ac:dyDescent="0.3">
      <c r="A730">
        <v>729</v>
      </c>
      <c r="B730" s="1">
        <v>40576</v>
      </c>
      <c r="C730">
        <v>17</v>
      </c>
      <c r="D730" s="2" t="s">
        <v>47</v>
      </c>
      <c r="E730" t="s">
        <v>26</v>
      </c>
      <c r="F730" s="2" t="s">
        <v>34</v>
      </c>
      <c r="G730" t="s">
        <v>28</v>
      </c>
      <c r="H730" s="3">
        <v>0.36</v>
      </c>
      <c r="I730" s="2" t="s">
        <v>42</v>
      </c>
      <c r="J730" s="3">
        <v>0.31819999999999998</v>
      </c>
      <c r="K730" s="3">
        <v>0.53</v>
      </c>
      <c r="L730" s="3">
        <v>0.52239999999999998</v>
      </c>
      <c r="M730">
        <v>7</v>
      </c>
      <c r="N730">
        <v>183</v>
      </c>
      <c r="O730">
        <v>190</v>
      </c>
    </row>
    <row r="731" spans="1:15" hidden="1" x14ac:dyDescent="0.3">
      <c r="A731">
        <v>730</v>
      </c>
      <c r="B731" s="1">
        <v>40576</v>
      </c>
      <c r="C731">
        <v>18</v>
      </c>
      <c r="D731" s="2" t="s">
        <v>47</v>
      </c>
      <c r="E731" t="s">
        <v>26</v>
      </c>
      <c r="F731" s="2" t="s">
        <v>34</v>
      </c>
      <c r="G731" t="s">
        <v>28</v>
      </c>
      <c r="H731" s="3">
        <v>0.34</v>
      </c>
      <c r="I731" s="2" t="s">
        <v>42</v>
      </c>
      <c r="J731" s="3">
        <v>0.28789999999999999</v>
      </c>
      <c r="K731" s="3">
        <v>0.42</v>
      </c>
      <c r="L731" s="3">
        <v>0.55220000000000002</v>
      </c>
      <c r="M731">
        <v>7</v>
      </c>
      <c r="N731">
        <v>175</v>
      </c>
      <c r="O731">
        <v>182</v>
      </c>
    </row>
    <row r="732" spans="1:15" hidden="1" x14ac:dyDescent="0.3">
      <c r="A732">
        <v>731</v>
      </c>
      <c r="B732" s="1">
        <v>40576</v>
      </c>
      <c r="C732">
        <v>19</v>
      </c>
      <c r="D732" s="2" t="s">
        <v>47</v>
      </c>
      <c r="E732" t="s">
        <v>26</v>
      </c>
      <c r="F732" s="2" t="s">
        <v>34</v>
      </c>
      <c r="G732" t="s">
        <v>28</v>
      </c>
      <c r="H732" s="3">
        <v>0.28000000000000003</v>
      </c>
      <c r="I732" s="2" t="s">
        <v>42</v>
      </c>
      <c r="J732" s="3">
        <v>0.2424</v>
      </c>
      <c r="K732" s="3">
        <v>0.45</v>
      </c>
      <c r="L732" s="3">
        <v>0.49249999999999999</v>
      </c>
      <c r="M732">
        <v>3</v>
      </c>
      <c r="N732">
        <v>88</v>
      </c>
      <c r="O732">
        <v>91</v>
      </c>
    </row>
    <row r="733" spans="1:15" hidden="1" x14ac:dyDescent="0.3">
      <c r="A733">
        <v>732</v>
      </c>
      <c r="B733" s="1">
        <v>40576</v>
      </c>
      <c r="C733">
        <v>20</v>
      </c>
      <c r="D733" s="2" t="s">
        <v>47</v>
      </c>
      <c r="E733" t="s">
        <v>26</v>
      </c>
      <c r="F733" s="2" t="s">
        <v>34</v>
      </c>
      <c r="G733" t="s">
        <v>28</v>
      </c>
      <c r="H733" s="3">
        <v>0.24</v>
      </c>
      <c r="I733" s="2" t="s">
        <v>42</v>
      </c>
      <c r="J733" s="3">
        <v>0.19700000000000001</v>
      </c>
      <c r="K733" s="3">
        <v>0.48</v>
      </c>
      <c r="L733" s="3">
        <v>0.55220000000000002</v>
      </c>
      <c r="M733">
        <v>4</v>
      </c>
      <c r="N733">
        <v>71</v>
      </c>
      <c r="O733">
        <v>75</v>
      </c>
    </row>
    <row r="734" spans="1:15" hidden="1" x14ac:dyDescent="0.3">
      <c r="A734">
        <v>733</v>
      </c>
      <c r="B734" s="1">
        <v>40576</v>
      </c>
      <c r="C734">
        <v>21</v>
      </c>
      <c r="D734" s="2" t="s">
        <v>41</v>
      </c>
      <c r="E734" t="s">
        <v>26</v>
      </c>
      <c r="F734" s="2" t="s">
        <v>34</v>
      </c>
      <c r="G734" t="s">
        <v>28</v>
      </c>
      <c r="H734" s="3">
        <v>0.22</v>
      </c>
      <c r="I734" s="2" t="s">
        <v>42</v>
      </c>
      <c r="J734" s="3">
        <v>0.19700000000000001</v>
      </c>
      <c r="K734" s="3">
        <v>0.47</v>
      </c>
      <c r="L734" s="3">
        <v>0.32840000000000003</v>
      </c>
      <c r="M734">
        <v>1</v>
      </c>
      <c r="N734">
        <v>62</v>
      </c>
      <c r="O734">
        <v>63</v>
      </c>
    </row>
    <row r="735" spans="1:15" hidden="1" x14ac:dyDescent="0.3">
      <c r="A735">
        <v>734</v>
      </c>
      <c r="B735" s="1">
        <v>40576</v>
      </c>
      <c r="C735">
        <v>22</v>
      </c>
      <c r="D735" s="2" t="s">
        <v>41</v>
      </c>
      <c r="E735" t="s">
        <v>26</v>
      </c>
      <c r="F735" s="2" t="s">
        <v>34</v>
      </c>
      <c r="G735" t="s">
        <v>28</v>
      </c>
      <c r="H735" s="3">
        <v>0.22</v>
      </c>
      <c r="I735" s="2" t="s">
        <v>42</v>
      </c>
      <c r="J735" s="3">
        <v>0.21210000000000001</v>
      </c>
      <c r="K735" s="3">
        <v>0.44</v>
      </c>
      <c r="L735" s="3">
        <v>0.25369999999999998</v>
      </c>
      <c r="M735">
        <v>5</v>
      </c>
      <c r="N735">
        <v>35</v>
      </c>
      <c r="O735">
        <v>40</v>
      </c>
    </row>
    <row r="736" spans="1:15" hidden="1" x14ac:dyDescent="0.3">
      <c r="A736">
        <v>735</v>
      </c>
      <c r="B736" s="1">
        <v>40576</v>
      </c>
      <c r="C736">
        <v>23</v>
      </c>
      <c r="D736" s="2" t="s">
        <v>41</v>
      </c>
      <c r="E736" t="s">
        <v>26</v>
      </c>
      <c r="F736" s="2" t="s">
        <v>34</v>
      </c>
      <c r="G736" t="s">
        <v>28</v>
      </c>
      <c r="H736" s="3">
        <v>0.2</v>
      </c>
      <c r="I736" s="2" t="s">
        <v>44</v>
      </c>
      <c r="J736" s="3">
        <v>0.16669999999999999</v>
      </c>
      <c r="K736" s="3">
        <v>0.44</v>
      </c>
      <c r="L736" s="3">
        <v>0.44779999999999998</v>
      </c>
      <c r="M736">
        <v>3</v>
      </c>
      <c r="N736">
        <v>29</v>
      </c>
      <c r="O736">
        <v>32</v>
      </c>
    </row>
    <row r="737" spans="1:15" hidden="1" x14ac:dyDescent="0.3">
      <c r="A737">
        <v>736</v>
      </c>
      <c r="B737" s="1">
        <v>40577</v>
      </c>
      <c r="C737">
        <v>0</v>
      </c>
      <c r="D737" s="2" t="s">
        <v>41</v>
      </c>
      <c r="E737" t="s">
        <v>26</v>
      </c>
      <c r="F737" s="2" t="s">
        <v>35</v>
      </c>
      <c r="G737" t="s">
        <v>28</v>
      </c>
      <c r="H737" s="3">
        <v>0.2</v>
      </c>
      <c r="I737" s="2" t="s">
        <v>44</v>
      </c>
      <c r="J737" s="3">
        <v>0.16669999999999999</v>
      </c>
      <c r="K737" s="3">
        <v>0.4</v>
      </c>
      <c r="L737" s="3">
        <v>0.44779999999999998</v>
      </c>
      <c r="M737">
        <v>1</v>
      </c>
      <c r="N737">
        <v>11</v>
      </c>
      <c r="O737">
        <v>12</v>
      </c>
    </row>
    <row r="738" spans="1:15" hidden="1" x14ac:dyDescent="0.3">
      <c r="A738">
        <v>737</v>
      </c>
      <c r="B738" s="1">
        <v>40577</v>
      </c>
      <c r="C738">
        <v>1</v>
      </c>
      <c r="D738" s="2" t="s">
        <v>41</v>
      </c>
      <c r="E738" t="s">
        <v>26</v>
      </c>
      <c r="F738" s="2" t="s">
        <v>35</v>
      </c>
      <c r="G738" t="s">
        <v>28</v>
      </c>
      <c r="H738" s="3">
        <v>0.2</v>
      </c>
      <c r="I738" s="2" t="s">
        <v>44</v>
      </c>
      <c r="J738" s="3">
        <v>0.1515</v>
      </c>
      <c r="K738" s="3">
        <v>0.44</v>
      </c>
      <c r="L738" s="3">
        <v>0.52239999999999998</v>
      </c>
      <c r="M738">
        <v>0</v>
      </c>
      <c r="N738">
        <v>5</v>
      </c>
      <c r="O738">
        <v>5</v>
      </c>
    </row>
    <row r="739" spans="1:15" hidden="1" x14ac:dyDescent="0.3">
      <c r="A739">
        <v>738</v>
      </c>
      <c r="B739" s="1">
        <v>40577</v>
      </c>
      <c r="C739">
        <v>2</v>
      </c>
      <c r="D739" s="2" t="s">
        <v>41</v>
      </c>
      <c r="E739" t="s">
        <v>26</v>
      </c>
      <c r="F739" s="2" t="s">
        <v>35</v>
      </c>
      <c r="G739" t="s">
        <v>28</v>
      </c>
      <c r="H739" s="3">
        <v>0.18</v>
      </c>
      <c r="I739" s="2" t="s">
        <v>44</v>
      </c>
      <c r="J739" s="3">
        <v>0.16669999999999999</v>
      </c>
      <c r="K739" s="3">
        <v>0.43</v>
      </c>
      <c r="L739" s="3">
        <v>0.25369999999999998</v>
      </c>
      <c r="M739">
        <v>0</v>
      </c>
      <c r="N739">
        <v>2</v>
      </c>
      <c r="O739">
        <v>2</v>
      </c>
    </row>
    <row r="740" spans="1:15" hidden="1" x14ac:dyDescent="0.3">
      <c r="A740">
        <v>739</v>
      </c>
      <c r="B740" s="1">
        <v>40577</v>
      </c>
      <c r="C740">
        <v>3</v>
      </c>
      <c r="D740" s="2" t="s">
        <v>41</v>
      </c>
      <c r="E740" t="s">
        <v>26</v>
      </c>
      <c r="F740" s="2" t="s">
        <v>35</v>
      </c>
      <c r="G740" t="s">
        <v>28</v>
      </c>
      <c r="H740" s="3">
        <v>0.18</v>
      </c>
      <c r="I740" s="2" t="s">
        <v>44</v>
      </c>
      <c r="J740" s="3">
        <v>0.16669999999999999</v>
      </c>
      <c r="K740" s="3">
        <v>0.43</v>
      </c>
      <c r="L740" s="3">
        <v>0.25369999999999998</v>
      </c>
      <c r="M740">
        <v>0</v>
      </c>
      <c r="N740">
        <v>1</v>
      </c>
      <c r="O740">
        <v>1</v>
      </c>
    </row>
    <row r="741" spans="1:15" x14ac:dyDescent="0.3">
      <c r="A741">
        <v>740</v>
      </c>
      <c r="B741" s="1">
        <v>40577</v>
      </c>
      <c r="C741">
        <v>5</v>
      </c>
      <c r="D741" s="2" t="s">
        <v>43</v>
      </c>
      <c r="E741" t="s">
        <v>26</v>
      </c>
      <c r="F741" s="2" t="s">
        <v>35</v>
      </c>
      <c r="G741" t="s">
        <v>28</v>
      </c>
      <c r="H741" s="3">
        <v>0.16</v>
      </c>
      <c r="I741" s="2" t="s">
        <v>44</v>
      </c>
      <c r="J741" s="3">
        <v>0.13639999999999999</v>
      </c>
      <c r="K741" s="3">
        <v>0.5</v>
      </c>
      <c r="L741" s="3">
        <v>0.29849999999999999</v>
      </c>
      <c r="M741">
        <v>0</v>
      </c>
      <c r="N741">
        <v>2</v>
      </c>
      <c r="O741">
        <v>2</v>
      </c>
    </row>
    <row r="742" spans="1:15" x14ac:dyDescent="0.3">
      <c r="A742">
        <v>741</v>
      </c>
      <c r="B742" s="1">
        <v>40577</v>
      </c>
      <c r="C742">
        <v>6</v>
      </c>
      <c r="D742" s="2" t="s">
        <v>43</v>
      </c>
      <c r="E742" t="s">
        <v>26</v>
      </c>
      <c r="F742" s="2" t="s">
        <v>35</v>
      </c>
      <c r="G742" t="s">
        <v>28</v>
      </c>
      <c r="H742" s="3">
        <v>0.16</v>
      </c>
      <c r="I742" s="2" t="s">
        <v>44</v>
      </c>
      <c r="J742" s="3">
        <v>0.13639999999999999</v>
      </c>
      <c r="K742" s="3">
        <v>0.43</v>
      </c>
      <c r="L742" s="3">
        <v>0.35820000000000002</v>
      </c>
      <c r="M742">
        <v>0</v>
      </c>
      <c r="N742">
        <v>39</v>
      </c>
      <c r="O742">
        <v>39</v>
      </c>
    </row>
    <row r="743" spans="1:15" x14ac:dyDescent="0.3">
      <c r="A743">
        <v>742</v>
      </c>
      <c r="B743" s="1">
        <v>40577</v>
      </c>
      <c r="C743">
        <v>7</v>
      </c>
      <c r="D743" s="2" t="s">
        <v>43</v>
      </c>
      <c r="E743" t="s">
        <v>26</v>
      </c>
      <c r="F743" s="2" t="s">
        <v>35</v>
      </c>
      <c r="G743" t="s">
        <v>28</v>
      </c>
      <c r="H743" s="3">
        <v>0.14000000000000001</v>
      </c>
      <c r="I743" s="2" t="s">
        <v>44</v>
      </c>
      <c r="J743" s="3">
        <v>0.1212</v>
      </c>
      <c r="K743" s="3">
        <v>0.5</v>
      </c>
      <c r="L743" s="3">
        <v>0.32840000000000003</v>
      </c>
      <c r="M743">
        <v>1</v>
      </c>
      <c r="N743">
        <v>86</v>
      </c>
      <c r="O743">
        <v>87</v>
      </c>
    </row>
    <row r="744" spans="1:15" x14ac:dyDescent="0.3">
      <c r="A744">
        <v>743</v>
      </c>
      <c r="B744" s="1">
        <v>40577</v>
      </c>
      <c r="C744">
        <v>8</v>
      </c>
      <c r="D744" s="2" t="s">
        <v>43</v>
      </c>
      <c r="E744" t="s">
        <v>26</v>
      </c>
      <c r="F744" s="2" t="s">
        <v>35</v>
      </c>
      <c r="G744" t="s">
        <v>28</v>
      </c>
      <c r="H744" s="3">
        <v>0.14000000000000001</v>
      </c>
      <c r="I744" s="2" t="s">
        <v>44</v>
      </c>
      <c r="J744" s="3">
        <v>0.1212</v>
      </c>
      <c r="K744" s="3">
        <v>0.5</v>
      </c>
      <c r="L744" s="3">
        <v>0.35820000000000002</v>
      </c>
      <c r="M744">
        <v>4</v>
      </c>
      <c r="N744">
        <v>184</v>
      </c>
      <c r="O744">
        <v>188</v>
      </c>
    </row>
    <row r="745" spans="1:15" x14ac:dyDescent="0.3">
      <c r="A745">
        <v>744</v>
      </c>
      <c r="B745" s="1">
        <v>40577</v>
      </c>
      <c r="C745">
        <v>9</v>
      </c>
      <c r="D745" s="2" t="s">
        <v>43</v>
      </c>
      <c r="E745" t="s">
        <v>26</v>
      </c>
      <c r="F745" s="2" t="s">
        <v>35</v>
      </c>
      <c r="G745" t="s">
        <v>28</v>
      </c>
      <c r="H745" s="3">
        <v>0.16</v>
      </c>
      <c r="I745" s="2" t="s">
        <v>44</v>
      </c>
      <c r="J745" s="3">
        <v>0.13639999999999999</v>
      </c>
      <c r="K745" s="3">
        <v>0.47</v>
      </c>
      <c r="L745" s="3">
        <v>0.29849999999999999</v>
      </c>
      <c r="M745">
        <v>6</v>
      </c>
      <c r="N745">
        <v>127</v>
      </c>
      <c r="O745">
        <v>133</v>
      </c>
    </row>
    <row r="746" spans="1:15" x14ac:dyDescent="0.3">
      <c r="A746">
        <v>745</v>
      </c>
      <c r="B746" s="1">
        <v>40577</v>
      </c>
      <c r="C746">
        <v>10</v>
      </c>
      <c r="D746" s="2" t="s">
        <v>43</v>
      </c>
      <c r="E746" t="s">
        <v>26</v>
      </c>
      <c r="F746" s="2" t="s">
        <v>35</v>
      </c>
      <c r="G746" t="s">
        <v>28</v>
      </c>
      <c r="H746" s="3">
        <v>0.18</v>
      </c>
      <c r="I746" s="2" t="s">
        <v>44</v>
      </c>
      <c r="J746" s="3">
        <v>0.1515</v>
      </c>
      <c r="K746" s="3">
        <v>0.43</v>
      </c>
      <c r="L746" s="3">
        <v>0.32840000000000003</v>
      </c>
      <c r="M746">
        <v>2</v>
      </c>
      <c r="N746">
        <v>50</v>
      </c>
      <c r="O746">
        <v>52</v>
      </c>
    </row>
    <row r="747" spans="1:15" x14ac:dyDescent="0.3">
      <c r="A747">
        <v>746</v>
      </c>
      <c r="B747" s="1">
        <v>40577</v>
      </c>
      <c r="C747">
        <v>11</v>
      </c>
      <c r="D747" s="2" t="s">
        <v>43</v>
      </c>
      <c r="E747" t="s">
        <v>26</v>
      </c>
      <c r="F747" s="2" t="s">
        <v>35</v>
      </c>
      <c r="G747" t="s">
        <v>28</v>
      </c>
      <c r="H747" s="3">
        <v>0.18</v>
      </c>
      <c r="I747" s="2" t="s">
        <v>44</v>
      </c>
      <c r="J747" s="3">
        <v>0.13639999999999999</v>
      </c>
      <c r="K747" s="3">
        <v>0.43</v>
      </c>
      <c r="L747" s="3">
        <v>0.44779999999999998</v>
      </c>
      <c r="M747">
        <v>9</v>
      </c>
      <c r="N747">
        <v>55</v>
      </c>
      <c r="O747">
        <v>64</v>
      </c>
    </row>
    <row r="748" spans="1:15" hidden="1" x14ac:dyDescent="0.3">
      <c r="A748">
        <v>747</v>
      </c>
      <c r="B748" s="1">
        <v>40577</v>
      </c>
      <c r="C748">
        <v>12</v>
      </c>
      <c r="D748" s="2" t="s">
        <v>45</v>
      </c>
      <c r="E748" t="s">
        <v>26</v>
      </c>
      <c r="F748" s="2" t="s">
        <v>35</v>
      </c>
      <c r="G748" t="s">
        <v>28</v>
      </c>
      <c r="H748" s="3">
        <v>0.2</v>
      </c>
      <c r="I748" s="2" t="s">
        <v>44</v>
      </c>
      <c r="J748" s="3">
        <v>0.18179999999999999</v>
      </c>
      <c r="K748" s="3">
        <v>0.4</v>
      </c>
      <c r="L748" s="3">
        <v>0.35820000000000002</v>
      </c>
      <c r="M748">
        <v>2</v>
      </c>
      <c r="N748">
        <v>67</v>
      </c>
      <c r="O748">
        <v>69</v>
      </c>
    </row>
    <row r="749" spans="1:15" hidden="1" x14ac:dyDescent="0.3">
      <c r="A749">
        <v>748</v>
      </c>
      <c r="B749" s="1">
        <v>40577</v>
      </c>
      <c r="C749">
        <v>13</v>
      </c>
      <c r="D749" s="2" t="s">
        <v>45</v>
      </c>
      <c r="E749" t="s">
        <v>26</v>
      </c>
      <c r="F749" s="2" t="s">
        <v>35</v>
      </c>
      <c r="G749" t="s">
        <v>28</v>
      </c>
      <c r="H749" s="3">
        <v>0.2</v>
      </c>
      <c r="I749" s="2" t="s">
        <v>44</v>
      </c>
      <c r="J749" s="3">
        <v>0.16669999999999999</v>
      </c>
      <c r="K749" s="3">
        <v>0.4</v>
      </c>
      <c r="L749" s="3">
        <v>0.41789999999999999</v>
      </c>
      <c r="M749">
        <v>4</v>
      </c>
      <c r="N749">
        <v>47</v>
      </c>
      <c r="O749">
        <v>51</v>
      </c>
    </row>
    <row r="750" spans="1:15" hidden="1" x14ac:dyDescent="0.3">
      <c r="A750">
        <v>749</v>
      </c>
      <c r="B750" s="1">
        <v>40577</v>
      </c>
      <c r="C750">
        <v>14</v>
      </c>
      <c r="D750" s="2" t="s">
        <v>45</v>
      </c>
      <c r="E750" t="s">
        <v>26</v>
      </c>
      <c r="F750" s="2" t="s">
        <v>35</v>
      </c>
      <c r="G750" t="s">
        <v>28</v>
      </c>
      <c r="H750" s="3">
        <v>0.22</v>
      </c>
      <c r="I750" s="2" t="s">
        <v>42</v>
      </c>
      <c r="J750" s="3">
        <v>0.19700000000000001</v>
      </c>
      <c r="K750" s="3">
        <v>0.37</v>
      </c>
      <c r="L750" s="3">
        <v>0.3881</v>
      </c>
      <c r="M750">
        <v>4</v>
      </c>
      <c r="N750">
        <v>43</v>
      </c>
      <c r="O750">
        <v>47</v>
      </c>
    </row>
    <row r="751" spans="1:15" hidden="1" x14ac:dyDescent="0.3">
      <c r="A751">
        <v>750</v>
      </c>
      <c r="B751" s="1">
        <v>40577</v>
      </c>
      <c r="C751">
        <v>15</v>
      </c>
      <c r="D751" s="2" t="s">
        <v>45</v>
      </c>
      <c r="E751" t="s">
        <v>26</v>
      </c>
      <c r="F751" s="2" t="s">
        <v>35</v>
      </c>
      <c r="G751" t="s">
        <v>28</v>
      </c>
      <c r="H751" s="3">
        <v>0.22</v>
      </c>
      <c r="I751" s="2" t="s">
        <v>42</v>
      </c>
      <c r="J751" s="3">
        <v>0.19700000000000001</v>
      </c>
      <c r="K751" s="3">
        <v>0.37</v>
      </c>
      <c r="L751" s="3">
        <v>0.32840000000000003</v>
      </c>
      <c r="M751">
        <v>4</v>
      </c>
      <c r="N751">
        <v>56</v>
      </c>
      <c r="O751">
        <v>60</v>
      </c>
    </row>
    <row r="752" spans="1:15" hidden="1" x14ac:dyDescent="0.3">
      <c r="A752">
        <v>751</v>
      </c>
      <c r="B752" s="1">
        <v>40577</v>
      </c>
      <c r="C752">
        <v>16</v>
      </c>
      <c r="D752" s="2" t="s">
        <v>45</v>
      </c>
      <c r="E752" t="s">
        <v>26</v>
      </c>
      <c r="F752" s="2" t="s">
        <v>35</v>
      </c>
      <c r="G752" t="s">
        <v>28</v>
      </c>
      <c r="H752" s="3">
        <v>0.22</v>
      </c>
      <c r="I752" s="2" t="s">
        <v>42</v>
      </c>
      <c r="J752" s="3">
        <v>0.21210000000000001</v>
      </c>
      <c r="K752" s="3">
        <v>0.37</v>
      </c>
      <c r="L752" s="3">
        <v>0.25369999999999998</v>
      </c>
      <c r="M752">
        <v>5</v>
      </c>
      <c r="N752">
        <v>73</v>
      </c>
      <c r="O752">
        <v>78</v>
      </c>
    </row>
    <row r="753" spans="1:15" hidden="1" x14ac:dyDescent="0.3">
      <c r="A753">
        <v>752</v>
      </c>
      <c r="B753" s="1">
        <v>40577</v>
      </c>
      <c r="C753">
        <v>17</v>
      </c>
      <c r="D753" s="2" t="s">
        <v>47</v>
      </c>
      <c r="E753" t="s">
        <v>26</v>
      </c>
      <c r="F753" s="2" t="s">
        <v>35</v>
      </c>
      <c r="G753" t="s">
        <v>28</v>
      </c>
      <c r="H753" s="3">
        <v>0.2</v>
      </c>
      <c r="I753" s="2" t="s">
        <v>44</v>
      </c>
      <c r="J753" s="3">
        <v>0.19700000000000001</v>
      </c>
      <c r="K753" s="3">
        <v>0.4</v>
      </c>
      <c r="L753" s="3">
        <v>0.19400000000000001</v>
      </c>
      <c r="M753">
        <v>5</v>
      </c>
      <c r="N753">
        <v>170</v>
      </c>
      <c r="O753">
        <v>175</v>
      </c>
    </row>
    <row r="754" spans="1:15" hidden="1" x14ac:dyDescent="0.3">
      <c r="A754">
        <v>753</v>
      </c>
      <c r="B754" s="1">
        <v>40577</v>
      </c>
      <c r="C754">
        <v>18</v>
      </c>
      <c r="D754" s="2" t="s">
        <v>47</v>
      </c>
      <c r="E754" t="s">
        <v>26</v>
      </c>
      <c r="F754" s="2" t="s">
        <v>35</v>
      </c>
      <c r="G754" t="s">
        <v>28</v>
      </c>
      <c r="H754" s="3">
        <v>0.2</v>
      </c>
      <c r="I754" s="2" t="s">
        <v>44</v>
      </c>
      <c r="J754" s="3">
        <v>0.21210000000000001</v>
      </c>
      <c r="K754" s="3">
        <v>0.4</v>
      </c>
      <c r="L754" s="3">
        <v>0.16420000000000001</v>
      </c>
      <c r="M754">
        <v>2</v>
      </c>
      <c r="N754">
        <v>145</v>
      </c>
      <c r="O754">
        <v>147</v>
      </c>
    </row>
    <row r="755" spans="1:15" hidden="1" x14ac:dyDescent="0.3">
      <c r="A755">
        <v>754</v>
      </c>
      <c r="B755" s="1">
        <v>40577</v>
      </c>
      <c r="C755">
        <v>19</v>
      </c>
      <c r="D755" s="2" t="s">
        <v>47</v>
      </c>
      <c r="E755" t="s">
        <v>26</v>
      </c>
      <c r="F755" s="2" t="s">
        <v>35</v>
      </c>
      <c r="G755" t="s">
        <v>28</v>
      </c>
      <c r="H755" s="3">
        <v>0.2</v>
      </c>
      <c r="I755" s="2" t="s">
        <v>44</v>
      </c>
      <c r="J755" s="3">
        <v>0.2576</v>
      </c>
      <c r="K755" s="3">
        <v>0.4</v>
      </c>
      <c r="L755" s="3">
        <v>0</v>
      </c>
      <c r="M755">
        <v>4</v>
      </c>
      <c r="N755">
        <v>92</v>
      </c>
      <c r="O755">
        <v>96</v>
      </c>
    </row>
    <row r="756" spans="1:15" hidden="1" x14ac:dyDescent="0.3">
      <c r="A756">
        <v>755</v>
      </c>
      <c r="B756" s="1">
        <v>40577</v>
      </c>
      <c r="C756">
        <v>20</v>
      </c>
      <c r="D756" s="2" t="s">
        <v>47</v>
      </c>
      <c r="E756" t="s">
        <v>26</v>
      </c>
      <c r="F756" s="2" t="s">
        <v>35</v>
      </c>
      <c r="G756" t="s">
        <v>28</v>
      </c>
      <c r="H756" s="3">
        <v>0.2</v>
      </c>
      <c r="I756" s="2" t="s">
        <v>44</v>
      </c>
      <c r="J756" s="3">
        <v>0.2273</v>
      </c>
      <c r="K756" s="3">
        <v>0.47</v>
      </c>
      <c r="L756" s="3">
        <v>8.9599999999999999E-2</v>
      </c>
      <c r="M756">
        <v>1</v>
      </c>
      <c r="N756">
        <v>108</v>
      </c>
      <c r="O756">
        <v>109</v>
      </c>
    </row>
    <row r="757" spans="1:15" hidden="1" x14ac:dyDescent="0.3">
      <c r="A757">
        <v>756</v>
      </c>
      <c r="B757" s="1">
        <v>40577</v>
      </c>
      <c r="C757">
        <v>21</v>
      </c>
      <c r="D757" s="2" t="s">
        <v>41</v>
      </c>
      <c r="E757" t="s">
        <v>26</v>
      </c>
      <c r="F757" s="2" t="s">
        <v>35</v>
      </c>
      <c r="G757" t="s">
        <v>28</v>
      </c>
      <c r="H757" s="3">
        <v>0.18</v>
      </c>
      <c r="I757" s="2" t="s">
        <v>44</v>
      </c>
      <c r="J757" s="3">
        <v>0.21210000000000001</v>
      </c>
      <c r="K757" s="3">
        <v>0.55000000000000004</v>
      </c>
      <c r="L757" s="3">
        <v>0.1045</v>
      </c>
      <c r="M757">
        <v>1</v>
      </c>
      <c r="N757">
        <v>53</v>
      </c>
      <c r="O757">
        <v>54</v>
      </c>
    </row>
    <row r="758" spans="1:15" hidden="1" x14ac:dyDescent="0.3">
      <c r="A758">
        <v>757</v>
      </c>
      <c r="B758" s="1">
        <v>40577</v>
      </c>
      <c r="C758">
        <v>22</v>
      </c>
      <c r="D758" s="2" t="s">
        <v>41</v>
      </c>
      <c r="E758" t="s">
        <v>26</v>
      </c>
      <c r="F758" s="2" t="s">
        <v>35</v>
      </c>
      <c r="G758" t="s">
        <v>28</v>
      </c>
      <c r="H758" s="3">
        <v>0.18</v>
      </c>
      <c r="I758" s="2" t="s">
        <v>44</v>
      </c>
      <c r="J758" s="3">
        <v>0.21210000000000001</v>
      </c>
      <c r="K758" s="3">
        <v>0.51</v>
      </c>
      <c r="L758" s="3">
        <v>8.9599999999999999E-2</v>
      </c>
      <c r="M758">
        <v>2</v>
      </c>
      <c r="N758">
        <v>39</v>
      </c>
      <c r="O758">
        <v>41</v>
      </c>
    </row>
    <row r="759" spans="1:15" hidden="1" x14ac:dyDescent="0.3">
      <c r="A759">
        <v>758</v>
      </c>
      <c r="B759" s="1">
        <v>40577</v>
      </c>
      <c r="C759">
        <v>23</v>
      </c>
      <c r="D759" s="2" t="s">
        <v>41</v>
      </c>
      <c r="E759" t="s">
        <v>26</v>
      </c>
      <c r="F759" s="2" t="s">
        <v>35</v>
      </c>
      <c r="G759" t="s">
        <v>28</v>
      </c>
      <c r="H759" s="3">
        <v>0.2</v>
      </c>
      <c r="I759" s="2" t="s">
        <v>44</v>
      </c>
      <c r="J759" s="3">
        <v>0.2273</v>
      </c>
      <c r="K759" s="3">
        <v>0.47</v>
      </c>
      <c r="L759" s="3">
        <v>0.1045</v>
      </c>
      <c r="M759">
        <v>4</v>
      </c>
      <c r="N759">
        <v>34</v>
      </c>
      <c r="O759">
        <v>38</v>
      </c>
    </row>
    <row r="760" spans="1:15" hidden="1" x14ac:dyDescent="0.3">
      <c r="A760">
        <v>759</v>
      </c>
      <c r="B760" s="1">
        <v>40578</v>
      </c>
      <c r="C760">
        <v>0</v>
      </c>
      <c r="D760" s="2" t="s">
        <v>41</v>
      </c>
      <c r="E760" t="s">
        <v>26</v>
      </c>
      <c r="F760" s="2" t="s">
        <v>36</v>
      </c>
      <c r="G760" t="s">
        <v>29</v>
      </c>
      <c r="H760" s="3">
        <v>0.2</v>
      </c>
      <c r="I760" s="2" t="s">
        <v>44</v>
      </c>
      <c r="J760" s="3">
        <v>0.2576</v>
      </c>
      <c r="K760" s="3">
        <v>0.44</v>
      </c>
      <c r="L760" s="3">
        <v>0</v>
      </c>
      <c r="M760">
        <v>3</v>
      </c>
      <c r="N760">
        <v>10</v>
      </c>
      <c r="O760">
        <v>13</v>
      </c>
    </row>
    <row r="761" spans="1:15" hidden="1" x14ac:dyDescent="0.3">
      <c r="A761">
        <v>760</v>
      </c>
      <c r="B761" s="1">
        <v>40578</v>
      </c>
      <c r="C761">
        <v>1</v>
      </c>
      <c r="D761" s="2" t="s">
        <v>41</v>
      </c>
      <c r="E761" t="s">
        <v>26</v>
      </c>
      <c r="F761" s="2" t="s">
        <v>36</v>
      </c>
      <c r="G761" t="s">
        <v>29</v>
      </c>
      <c r="H761" s="3">
        <v>0.16</v>
      </c>
      <c r="I761" s="2" t="s">
        <v>44</v>
      </c>
      <c r="J761" s="3">
        <v>0.2273</v>
      </c>
      <c r="K761" s="3">
        <v>0.59</v>
      </c>
      <c r="L761" s="3">
        <v>0</v>
      </c>
      <c r="M761">
        <v>0</v>
      </c>
      <c r="N761">
        <v>7</v>
      </c>
      <c r="O761">
        <v>7</v>
      </c>
    </row>
    <row r="762" spans="1:15" hidden="1" x14ac:dyDescent="0.3">
      <c r="A762">
        <v>761</v>
      </c>
      <c r="B762" s="1">
        <v>40578</v>
      </c>
      <c r="C762">
        <v>2</v>
      </c>
      <c r="D762" s="2" t="s">
        <v>41</v>
      </c>
      <c r="E762" t="s">
        <v>26</v>
      </c>
      <c r="F762" s="2" t="s">
        <v>36</v>
      </c>
      <c r="G762" t="s">
        <v>29</v>
      </c>
      <c r="H762" s="3">
        <v>0.14000000000000001</v>
      </c>
      <c r="I762" s="2" t="s">
        <v>44</v>
      </c>
      <c r="J762" s="3">
        <v>0.16669999999999999</v>
      </c>
      <c r="K762" s="3">
        <v>0.63</v>
      </c>
      <c r="L762" s="3">
        <v>0.1045</v>
      </c>
      <c r="M762">
        <v>0</v>
      </c>
      <c r="N762">
        <v>1</v>
      </c>
      <c r="O762">
        <v>1</v>
      </c>
    </row>
    <row r="763" spans="1:15" hidden="1" x14ac:dyDescent="0.3">
      <c r="A763">
        <v>762</v>
      </c>
      <c r="B763" s="1">
        <v>40578</v>
      </c>
      <c r="C763">
        <v>3</v>
      </c>
      <c r="D763" s="2" t="s">
        <v>41</v>
      </c>
      <c r="E763" t="s">
        <v>26</v>
      </c>
      <c r="F763" s="2" t="s">
        <v>36</v>
      </c>
      <c r="G763" t="s">
        <v>29</v>
      </c>
      <c r="H763" s="3">
        <v>0.14000000000000001</v>
      </c>
      <c r="I763" s="2" t="s">
        <v>44</v>
      </c>
      <c r="J763" s="3">
        <v>0.16669999999999999</v>
      </c>
      <c r="K763" s="3">
        <v>0.63</v>
      </c>
      <c r="L763" s="3">
        <v>0.1045</v>
      </c>
      <c r="M763">
        <v>0</v>
      </c>
      <c r="N763">
        <v>1</v>
      </c>
      <c r="O763">
        <v>1</v>
      </c>
    </row>
    <row r="764" spans="1:15" x14ac:dyDescent="0.3">
      <c r="A764">
        <v>763</v>
      </c>
      <c r="B764" s="1">
        <v>40578</v>
      </c>
      <c r="C764">
        <v>5</v>
      </c>
      <c r="D764" s="2" t="s">
        <v>43</v>
      </c>
      <c r="E764" t="s">
        <v>26</v>
      </c>
      <c r="F764" s="2" t="s">
        <v>36</v>
      </c>
      <c r="G764" t="s">
        <v>29</v>
      </c>
      <c r="H764" s="3">
        <v>0.14000000000000001</v>
      </c>
      <c r="I764" s="2" t="s">
        <v>44</v>
      </c>
      <c r="J764" s="3">
        <v>0.1515</v>
      </c>
      <c r="K764" s="3">
        <v>0.63</v>
      </c>
      <c r="L764" s="3">
        <v>0.1343</v>
      </c>
      <c r="M764">
        <v>0</v>
      </c>
      <c r="N764">
        <v>7</v>
      </c>
      <c r="O764">
        <v>7</v>
      </c>
    </row>
    <row r="765" spans="1:15" x14ac:dyDescent="0.3">
      <c r="A765">
        <v>764</v>
      </c>
      <c r="B765" s="1">
        <v>40578</v>
      </c>
      <c r="C765">
        <v>6</v>
      </c>
      <c r="D765" s="2" t="s">
        <v>43</v>
      </c>
      <c r="E765" t="s">
        <v>26</v>
      </c>
      <c r="F765" s="2" t="s">
        <v>36</v>
      </c>
      <c r="G765" t="s">
        <v>29</v>
      </c>
      <c r="H765" s="3">
        <v>0.16</v>
      </c>
      <c r="I765" s="2" t="s">
        <v>44</v>
      </c>
      <c r="J765" s="3">
        <v>0.2273</v>
      </c>
      <c r="K765" s="3">
        <v>0.55000000000000004</v>
      </c>
      <c r="L765" s="3">
        <v>0</v>
      </c>
      <c r="M765">
        <v>2</v>
      </c>
      <c r="N765">
        <v>26</v>
      </c>
      <c r="O765">
        <v>28</v>
      </c>
    </row>
    <row r="766" spans="1:15" x14ac:dyDescent="0.3">
      <c r="A766">
        <v>765</v>
      </c>
      <c r="B766" s="1">
        <v>40578</v>
      </c>
      <c r="C766">
        <v>7</v>
      </c>
      <c r="D766" s="2" t="s">
        <v>43</v>
      </c>
      <c r="E766" t="s">
        <v>26</v>
      </c>
      <c r="F766" s="2" t="s">
        <v>36</v>
      </c>
      <c r="G766" t="s">
        <v>28</v>
      </c>
      <c r="H766" s="3">
        <v>0.14000000000000001</v>
      </c>
      <c r="I766" s="2" t="s">
        <v>44</v>
      </c>
      <c r="J766" s="3">
        <v>0.21210000000000001</v>
      </c>
      <c r="K766" s="3">
        <v>0.59</v>
      </c>
      <c r="L766" s="3">
        <v>0</v>
      </c>
      <c r="M766">
        <v>0</v>
      </c>
      <c r="N766">
        <v>87</v>
      </c>
      <c r="O766">
        <v>87</v>
      </c>
    </row>
    <row r="767" spans="1:15" x14ac:dyDescent="0.3">
      <c r="A767">
        <v>766</v>
      </c>
      <c r="B767" s="1">
        <v>40578</v>
      </c>
      <c r="C767">
        <v>8</v>
      </c>
      <c r="D767" s="2" t="s">
        <v>43</v>
      </c>
      <c r="E767" t="s">
        <v>26</v>
      </c>
      <c r="F767" s="2" t="s">
        <v>36</v>
      </c>
      <c r="G767" t="s">
        <v>28</v>
      </c>
      <c r="H767" s="3">
        <v>0.14000000000000001</v>
      </c>
      <c r="I767" s="2" t="s">
        <v>44</v>
      </c>
      <c r="J767" s="3">
        <v>0.1515</v>
      </c>
      <c r="K767" s="3">
        <v>0.74</v>
      </c>
      <c r="L767" s="3">
        <v>0.1343</v>
      </c>
      <c r="M767">
        <v>3</v>
      </c>
      <c r="N767">
        <v>217</v>
      </c>
      <c r="O767">
        <v>220</v>
      </c>
    </row>
    <row r="768" spans="1:15" x14ac:dyDescent="0.3">
      <c r="A768">
        <v>767</v>
      </c>
      <c r="B768" s="1">
        <v>40578</v>
      </c>
      <c r="C768">
        <v>9</v>
      </c>
      <c r="D768" s="2" t="s">
        <v>43</v>
      </c>
      <c r="E768" t="s">
        <v>26</v>
      </c>
      <c r="F768" s="2" t="s">
        <v>36</v>
      </c>
      <c r="G768" t="s">
        <v>29</v>
      </c>
      <c r="H768" s="3">
        <v>0.16</v>
      </c>
      <c r="I768" s="2" t="s">
        <v>44</v>
      </c>
      <c r="J768" s="3">
        <v>0.18179999999999999</v>
      </c>
      <c r="K768" s="3">
        <v>0.8</v>
      </c>
      <c r="L768" s="3">
        <v>0.1343</v>
      </c>
      <c r="M768">
        <v>3</v>
      </c>
      <c r="N768">
        <v>124</v>
      </c>
      <c r="O768">
        <v>127</v>
      </c>
    </row>
    <row r="769" spans="1:15" x14ac:dyDescent="0.3">
      <c r="A769">
        <v>768</v>
      </c>
      <c r="B769" s="1">
        <v>40578</v>
      </c>
      <c r="C769">
        <v>10</v>
      </c>
      <c r="D769" s="2" t="s">
        <v>43</v>
      </c>
      <c r="E769" t="s">
        <v>26</v>
      </c>
      <c r="F769" s="2" t="s">
        <v>36</v>
      </c>
      <c r="G769" t="s">
        <v>29</v>
      </c>
      <c r="H769" s="3">
        <v>0.2</v>
      </c>
      <c r="I769" s="2" t="s">
        <v>44</v>
      </c>
      <c r="J769" s="3">
        <v>0.21210000000000001</v>
      </c>
      <c r="K769" s="3">
        <v>0.51</v>
      </c>
      <c r="L769" s="3">
        <v>0.1343</v>
      </c>
      <c r="M769">
        <v>5</v>
      </c>
      <c r="N769">
        <v>46</v>
      </c>
      <c r="O769">
        <v>51</v>
      </c>
    </row>
    <row r="770" spans="1:15" x14ac:dyDescent="0.3">
      <c r="A770">
        <v>769</v>
      </c>
      <c r="B770" s="1">
        <v>40578</v>
      </c>
      <c r="C770">
        <v>11</v>
      </c>
      <c r="D770" s="2" t="s">
        <v>43</v>
      </c>
      <c r="E770" t="s">
        <v>26</v>
      </c>
      <c r="F770" s="2" t="s">
        <v>36</v>
      </c>
      <c r="G770" t="s">
        <v>28</v>
      </c>
      <c r="H770" s="3">
        <v>0.22</v>
      </c>
      <c r="I770" s="2" t="s">
        <v>42</v>
      </c>
      <c r="J770" s="3">
        <v>0.2273</v>
      </c>
      <c r="K770" s="3">
        <v>0.51</v>
      </c>
      <c r="L770" s="3">
        <v>0.16420000000000001</v>
      </c>
      <c r="M770">
        <v>3</v>
      </c>
      <c r="N770">
        <v>61</v>
      </c>
      <c r="O770">
        <v>64</v>
      </c>
    </row>
    <row r="771" spans="1:15" hidden="1" x14ac:dyDescent="0.3">
      <c r="A771">
        <v>770</v>
      </c>
      <c r="B771" s="1">
        <v>40578</v>
      </c>
      <c r="C771">
        <v>12</v>
      </c>
      <c r="D771" s="2" t="s">
        <v>45</v>
      </c>
      <c r="E771" t="s">
        <v>26</v>
      </c>
      <c r="F771" s="2" t="s">
        <v>36</v>
      </c>
      <c r="G771" t="s">
        <v>29</v>
      </c>
      <c r="H771" s="3">
        <v>0.24</v>
      </c>
      <c r="I771" s="2" t="s">
        <v>42</v>
      </c>
      <c r="J771" s="3">
        <v>0.2424</v>
      </c>
      <c r="K771" s="3">
        <v>0.48</v>
      </c>
      <c r="L771" s="3">
        <v>0.16420000000000001</v>
      </c>
      <c r="M771">
        <v>8</v>
      </c>
      <c r="N771">
        <v>78</v>
      </c>
      <c r="O771">
        <v>86</v>
      </c>
    </row>
    <row r="772" spans="1:15" hidden="1" x14ac:dyDescent="0.3">
      <c r="A772">
        <v>771</v>
      </c>
      <c r="B772" s="1">
        <v>40578</v>
      </c>
      <c r="C772">
        <v>13</v>
      </c>
      <c r="D772" s="2" t="s">
        <v>45</v>
      </c>
      <c r="E772" t="s">
        <v>26</v>
      </c>
      <c r="F772" s="2" t="s">
        <v>36</v>
      </c>
      <c r="G772" t="s">
        <v>29</v>
      </c>
      <c r="H772" s="3">
        <v>0.26</v>
      </c>
      <c r="I772" s="2" t="s">
        <v>42</v>
      </c>
      <c r="J772" s="3">
        <v>0.2576</v>
      </c>
      <c r="K772" s="3">
        <v>0.5</v>
      </c>
      <c r="L772" s="3">
        <v>0.22389999999999999</v>
      </c>
      <c r="M772">
        <v>9</v>
      </c>
      <c r="N772">
        <v>73</v>
      </c>
      <c r="O772">
        <v>82</v>
      </c>
    </row>
    <row r="773" spans="1:15" hidden="1" x14ac:dyDescent="0.3">
      <c r="A773">
        <v>772</v>
      </c>
      <c r="B773" s="1">
        <v>40578</v>
      </c>
      <c r="C773">
        <v>14</v>
      </c>
      <c r="D773" s="2" t="s">
        <v>45</v>
      </c>
      <c r="E773" t="s">
        <v>26</v>
      </c>
      <c r="F773" s="2" t="s">
        <v>36</v>
      </c>
      <c r="G773" t="s">
        <v>29</v>
      </c>
      <c r="H773" s="3">
        <v>0.28000000000000003</v>
      </c>
      <c r="I773" s="2" t="s">
        <v>42</v>
      </c>
      <c r="J773" s="3">
        <v>0.2727</v>
      </c>
      <c r="K773" s="3">
        <v>0.45</v>
      </c>
      <c r="L773" s="3">
        <v>0.16420000000000001</v>
      </c>
      <c r="M773">
        <v>15</v>
      </c>
      <c r="N773">
        <v>76</v>
      </c>
      <c r="O773">
        <v>91</v>
      </c>
    </row>
    <row r="774" spans="1:15" hidden="1" x14ac:dyDescent="0.3">
      <c r="A774">
        <v>773</v>
      </c>
      <c r="B774" s="1">
        <v>40578</v>
      </c>
      <c r="C774">
        <v>15</v>
      </c>
      <c r="D774" s="2" t="s">
        <v>45</v>
      </c>
      <c r="E774" t="s">
        <v>26</v>
      </c>
      <c r="F774" s="2" t="s">
        <v>36</v>
      </c>
      <c r="G774" t="s">
        <v>29</v>
      </c>
      <c r="H774" s="3">
        <v>0.28000000000000003</v>
      </c>
      <c r="I774" s="2" t="s">
        <v>42</v>
      </c>
      <c r="J774" s="3">
        <v>0.2727</v>
      </c>
      <c r="K774" s="3">
        <v>0.48</v>
      </c>
      <c r="L774" s="3">
        <v>0.25369999999999998</v>
      </c>
      <c r="M774">
        <v>9</v>
      </c>
      <c r="N774">
        <v>81</v>
      </c>
      <c r="O774">
        <v>90</v>
      </c>
    </row>
    <row r="775" spans="1:15" hidden="1" x14ac:dyDescent="0.3">
      <c r="A775">
        <v>774</v>
      </c>
      <c r="B775" s="1">
        <v>40578</v>
      </c>
      <c r="C775">
        <v>16</v>
      </c>
      <c r="D775" s="2" t="s">
        <v>45</v>
      </c>
      <c r="E775" t="s">
        <v>26</v>
      </c>
      <c r="F775" s="2" t="s">
        <v>36</v>
      </c>
      <c r="G775" t="s">
        <v>29</v>
      </c>
      <c r="H775" s="3">
        <v>0.3</v>
      </c>
      <c r="I775" s="2" t="s">
        <v>42</v>
      </c>
      <c r="J775" s="3">
        <v>0.28789999999999999</v>
      </c>
      <c r="K775" s="3">
        <v>0.42</v>
      </c>
      <c r="L775" s="3">
        <v>0.22389999999999999</v>
      </c>
      <c r="M775">
        <v>8</v>
      </c>
      <c r="N775">
        <v>91</v>
      </c>
      <c r="O775">
        <v>99</v>
      </c>
    </row>
    <row r="776" spans="1:15" hidden="1" x14ac:dyDescent="0.3">
      <c r="A776">
        <v>775</v>
      </c>
      <c r="B776" s="1">
        <v>40578</v>
      </c>
      <c r="C776">
        <v>17</v>
      </c>
      <c r="D776" s="2" t="s">
        <v>47</v>
      </c>
      <c r="E776" t="s">
        <v>26</v>
      </c>
      <c r="F776" s="2" t="s">
        <v>36</v>
      </c>
      <c r="G776" t="s">
        <v>29</v>
      </c>
      <c r="H776" s="3">
        <v>0.26</v>
      </c>
      <c r="I776" s="2" t="s">
        <v>42</v>
      </c>
      <c r="J776" s="3">
        <v>0.2727</v>
      </c>
      <c r="K776" s="3">
        <v>0.56000000000000005</v>
      </c>
      <c r="L776" s="3">
        <v>0.1343</v>
      </c>
      <c r="M776">
        <v>10</v>
      </c>
      <c r="N776">
        <v>195</v>
      </c>
      <c r="O776">
        <v>205</v>
      </c>
    </row>
    <row r="777" spans="1:15" hidden="1" x14ac:dyDescent="0.3">
      <c r="A777">
        <v>776</v>
      </c>
      <c r="B777" s="1">
        <v>40578</v>
      </c>
      <c r="C777">
        <v>18</v>
      </c>
      <c r="D777" s="2" t="s">
        <v>47</v>
      </c>
      <c r="E777" t="s">
        <v>26</v>
      </c>
      <c r="F777" s="2" t="s">
        <v>36</v>
      </c>
      <c r="G777" t="s">
        <v>29</v>
      </c>
      <c r="H777" s="3">
        <v>0.24</v>
      </c>
      <c r="I777" s="2" t="s">
        <v>42</v>
      </c>
      <c r="J777" s="3">
        <v>0.2576</v>
      </c>
      <c r="K777" s="3">
        <v>0.6</v>
      </c>
      <c r="L777" s="3">
        <v>0.1045</v>
      </c>
      <c r="M777">
        <v>3</v>
      </c>
      <c r="N777">
        <v>152</v>
      </c>
      <c r="O777">
        <v>155</v>
      </c>
    </row>
    <row r="778" spans="1:15" hidden="1" x14ac:dyDescent="0.3">
      <c r="A778">
        <v>777</v>
      </c>
      <c r="B778" s="1">
        <v>40578</v>
      </c>
      <c r="C778">
        <v>19</v>
      </c>
      <c r="D778" s="2" t="s">
        <v>47</v>
      </c>
      <c r="E778" t="s">
        <v>26</v>
      </c>
      <c r="F778" s="2" t="s">
        <v>36</v>
      </c>
      <c r="G778" t="s">
        <v>29</v>
      </c>
      <c r="H778" s="3">
        <v>0.24</v>
      </c>
      <c r="I778" s="2" t="s">
        <v>42</v>
      </c>
      <c r="J778" s="3">
        <v>0.2424</v>
      </c>
      <c r="K778" s="3">
        <v>0.65</v>
      </c>
      <c r="L778" s="3">
        <v>0.1343</v>
      </c>
      <c r="M778">
        <v>1</v>
      </c>
      <c r="N778">
        <v>102</v>
      </c>
      <c r="O778">
        <v>103</v>
      </c>
    </row>
    <row r="779" spans="1:15" hidden="1" x14ac:dyDescent="0.3">
      <c r="A779">
        <v>778</v>
      </c>
      <c r="B779" s="1">
        <v>40578</v>
      </c>
      <c r="C779">
        <v>20</v>
      </c>
      <c r="D779" s="2" t="s">
        <v>47</v>
      </c>
      <c r="E779" t="s">
        <v>26</v>
      </c>
      <c r="F779" s="2" t="s">
        <v>36</v>
      </c>
      <c r="G779" t="s">
        <v>29</v>
      </c>
      <c r="H779" s="3">
        <v>0.24</v>
      </c>
      <c r="I779" s="2" t="s">
        <v>42</v>
      </c>
      <c r="J779" s="3">
        <v>0.2424</v>
      </c>
      <c r="K779" s="3">
        <v>0.65</v>
      </c>
      <c r="L779" s="3">
        <v>0.16420000000000001</v>
      </c>
      <c r="M779">
        <v>2</v>
      </c>
      <c r="N779">
        <v>69</v>
      </c>
      <c r="O779">
        <v>71</v>
      </c>
    </row>
    <row r="780" spans="1:15" hidden="1" x14ac:dyDescent="0.3">
      <c r="A780">
        <v>779</v>
      </c>
      <c r="B780" s="1">
        <v>40578</v>
      </c>
      <c r="C780">
        <v>21</v>
      </c>
      <c r="D780" s="2" t="s">
        <v>41</v>
      </c>
      <c r="E780" t="s">
        <v>26</v>
      </c>
      <c r="F780" s="2" t="s">
        <v>36</v>
      </c>
      <c r="G780" t="s">
        <v>29</v>
      </c>
      <c r="H780" s="3">
        <v>0.24</v>
      </c>
      <c r="I780" s="2" t="s">
        <v>42</v>
      </c>
      <c r="J780" s="3">
        <v>0.2424</v>
      </c>
      <c r="K780" s="3">
        <v>0.7</v>
      </c>
      <c r="L780" s="3">
        <v>0.16420000000000001</v>
      </c>
      <c r="M780">
        <v>2</v>
      </c>
      <c r="N780">
        <v>41</v>
      </c>
      <c r="O780">
        <v>43</v>
      </c>
    </row>
    <row r="781" spans="1:15" hidden="1" x14ac:dyDescent="0.3">
      <c r="A781">
        <v>780</v>
      </c>
      <c r="B781" s="1">
        <v>40578</v>
      </c>
      <c r="C781">
        <v>22</v>
      </c>
      <c r="D781" s="2" t="s">
        <v>41</v>
      </c>
      <c r="E781" t="s">
        <v>26</v>
      </c>
      <c r="F781" s="2" t="s">
        <v>36</v>
      </c>
      <c r="G781" t="s">
        <v>29</v>
      </c>
      <c r="H781" s="3">
        <v>0.24</v>
      </c>
      <c r="I781" s="2" t="s">
        <v>42</v>
      </c>
      <c r="J781" s="3">
        <v>0.2424</v>
      </c>
      <c r="K781" s="3">
        <v>0.65</v>
      </c>
      <c r="L781" s="3">
        <v>0.16420000000000001</v>
      </c>
      <c r="M781">
        <v>1</v>
      </c>
      <c r="N781">
        <v>45</v>
      </c>
      <c r="O781">
        <v>46</v>
      </c>
    </row>
    <row r="782" spans="1:15" hidden="1" x14ac:dyDescent="0.3">
      <c r="A782">
        <v>781</v>
      </c>
      <c r="B782" s="1">
        <v>40578</v>
      </c>
      <c r="C782">
        <v>23</v>
      </c>
      <c r="D782" s="2" t="s">
        <v>41</v>
      </c>
      <c r="E782" t="s">
        <v>26</v>
      </c>
      <c r="F782" s="2" t="s">
        <v>36</v>
      </c>
      <c r="G782" t="s">
        <v>29</v>
      </c>
      <c r="H782" s="3">
        <v>0.24</v>
      </c>
      <c r="I782" s="2" t="s">
        <v>42</v>
      </c>
      <c r="J782" s="3">
        <v>0.2424</v>
      </c>
      <c r="K782" s="3">
        <v>0.7</v>
      </c>
      <c r="L782" s="3">
        <v>0.1343</v>
      </c>
      <c r="M782">
        <v>1</v>
      </c>
      <c r="N782">
        <v>30</v>
      </c>
      <c r="O782">
        <v>31</v>
      </c>
    </row>
    <row r="783" spans="1:15" hidden="1" x14ac:dyDescent="0.3">
      <c r="A783">
        <v>782</v>
      </c>
      <c r="B783" s="1">
        <v>40579</v>
      </c>
      <c r="C783">
        <v>0</v>
      </c>
      <c r="D783" s="2" t="s">
        <v>41</v>
      </c>
      <c r="E783" t="s">
        <v>26</v>
      </c>
      <c r="F783" s="2" t="s">
        <v>27</v>
      </c>
      <c r="G783" t="s">
        <v>29</v>
      </c>
      <c r="H783" s="3">
        <v>0.24</v>
      </c>
      <c r="I783" s="2" t="s">
        <v>42</v>
      </c>
      <c r="J783" s="3">
        <v>0.2424</v>
      </c>
      <c r="K783" s="3">
        <v>0.7</v>
      </c>
      <c r="L783" s="3">
        <v>0.16420000000000001</v>
      </c>
      <c r="M783">
        <v>3</v>
      </c>
      <c r="N783">
        <v>36</v>
      </c>
      <c r="O783">
        <v>39</v>
      </c>
    </row>
    <row r="784" spans="1:15" hidden="1" x14ac:dyDescent="0.3">
      <c r="A784">
        <v>783</v>
      </c>
      <c r="B784" s="1">
        <v>40579</v>
      </c>
      <c r="C784">
        <v>1</v>
      </c>
      <c r="D784" s="2" t="s">
        <v>41</v>
      </c>
      <c r="E784" t="s">
        <v>26</v>
      </c>
      <c r="F784" s="2" t="s">
        <v>27</v>
      </c>
      <c r="G784" t="s">
        <v>29</v>
      </c>
      <c r="H784" s="3">
        <v>0.24</v>
      </c>
      <c r="I784" s="2" t="s">
        <v>42</v>
      </c>
      <c r="J784" s="3">
        <v>0.2424</v>
      </c>
      <c r="K784" s="3">
        <v>0.65</v>
      </c>
      <c r="L784" s="3">
        <v>0.16420000000000001</v>
      </c>
      <c r="M784">
        <v>1</v>
      </c>
      <c r="N784">
        <v>17</v>
      </c>
      <c r="O784">
        <v>18</v>
      </c>
    </row>
    <row r="785" spans="1:15" hidden="1" x14ac:dyDescent="0.3">
      <c r="A785">
        <v>784</v>
      </c>
      <c r="B785" s="1">
        <v>40579</v>
      </c>
      <c r="C785">
        <v>2</v>
      </c>
      <c r="D785" s="2" t="s">
        <v>41</v>
      </c>
      <c r="E785" t="s">
        <v>26</v>
      </c>
      <c r="F785" s="2" t="s">
        <v>27</v>
      </c>
      <c r="G785" t="s">
        <v>29</v>
      </c>
      <c r="H785" s="3">
        <v>0.24</v>
      </c>
      <c r="I785" s="2" t="s">
        <v>42</v>
      </c>
      <c r="J785" s="3">
        <v>0.2424</v>
      </c>
      <c r="K785" s="3">
        <v>0.75</v>
      </c>
      <c r="L785" s="3">
        <v>0.16420000000000001</v>
      </c>
      <c r="M785">
        <v>5</v>
      </c>
      <c r="N785">
        <v>12</v>
      </c>
      <c r="O785">
        <v>17</v>
      </c>
    </row>
    <row r="786" spans="1:15" hidden="1" x14ac:dyDescent="0.3">
      <c r="A786">
        <v>785</v>
      </c>
      <c r="B786" s="1">
        <v>40579</v>
      </c>
      <c r="C786">
        <v>3</v>
      </c>
      <c r="D786" s="2" t="s">
        <v>41</v>
      </c>
      <c r="E786" t="s">
        <v>26</v>
      </c>
      <c r="F786" s="2" t="s">
        <v>27</v>
      </c>
      <c r="G786" t="s">
        <v>29</v>
      </c>
      <c r="H786" s="3">
        <v>0.24</v>
      </c>
      <c r="I786" s="2" t="s">
        <v>42</v>
      </c>
      <c r="J786" s="3">
        <v>0.2424</v>
      </c>
      <c r="K786" s="3">
        <v>0.75</v>
      </c>
      <c r="L786" s="3">
        <v>0.16420000000000001</v>
      </c>
      <c r="M786">
        <v>1</v>
      </c>
      <c r="N786">
        <v>10</v>
      </c>
      <c r="O786">
        <v>11</v>
      </c>
    </row>
    <row r="787" spans="1:15" hidden="1" x14ac:dyDescent="0.3">
      <c r="A787">
        <v>786</v>
      </c>
      <c r="B787" s="1">
        <v>40579</v>
      </c>
      <c r="C787">
        <v>4</v>
      </c>
      <c r="D787" s="2" t="s">
        <v>41</v>
      </c>
      <c r="E787" t="s">
        <v>26</v>
      </c>
      <c r="F787" s="2" t="s">
        <v>27</v>
      </c>
      <c r="G787" t="s">
        <v>30</v>
      </c>
      <c r="H787" s="3">
        <v>0.22</v>
      </c>
      <c r="I787" s="2" t="s">
        <v>42</v>
      </c>
      <c r="J787" s="3">
        <v>0.2273</v>
      </c>
      <c r="K787" s="3">
        <v>0.93</v>
      </c>
      <c r="L787" s="3">
        <v>0.1343</v>
      </c>
      <c r="M787">
        <v>0</v>
      </c>
      <c r="N787">
        <v>8</v>
      </c>
      <c r="O787">
        <v>8</v>
      </c>
    </row>
    <row r="788" spans="1:15" x14ac:dyDescent="0.3">
      <c r="A788">
        <v>787</v>
      </c>
      <c r="B788" s="1">
        <v>40579</v>
      </c>
      <c r="C788">
        <v>5</v>
      </c>
      <c r="D788" s="2" t="s">
        <v>43</v>
      </c>
      <c r="E788" t="s">
        <v>26</v>
      </c>
      <c r="F788" s="2" t="s">
        <v>27</v>
      </c>
      <c r="G788" t="s">
        <v>30</v>
      </c>
      <c r="H788" s="3">
        <v>0.2</v>
      </c>
      <c r="I788" s="2" t="s">
        <v>44</v>
      </c>
      <c r="J788" s="3">
        <v>0.2273</v>
      </c>
      <c r="K788" s="3">
        <v>1</v>
      </c>
      <c r="L788" s="3">
        <v>8.9599999999999999E-2</v>
      </c>
      <c r="M788">
        <v>0</v>
      </c>
      <c r="N788">
        <v>9</v>
      </c>
      <c r="O788">
        <v>9</v>
      </c>
    </row>
    <row r="789" spans="1:15" x14ac:dyDescent="0.3">
      <c r="A789">
        <v>788</v>
      </c>
      <c r="B789" s="1">
        <v>40579</v>
      </c>
      <c r="C789">
        <v>6</v>
      </c>
      <c r="D789" s="2" t="s">
        <v>43</v>
      </c>
      <c r="E789" t="s">
        <v>26</v>
      </c>
      <c r="F789" s="2" t="s">
        <v>27</v>
      </c>
      <c r="G789" t="s">
        <v>30</v>
      </c>
      <c r="H789" s="3">
        <v>0.2</v>
      </c>
      <c r="I789" s="2" t="s">
        <v>44</v>
      </c>
      <c r="J789" s="3">
        <v>0.2576</v>
      </c>
      <c r="K789" s="3">
        <v>1</v>
      </c>
      <c r="L789" s="3">
        <v>0</v>
      </c>
      <c r="M789">
        <v>0</v>
      </c>
      <c r="N789">
        <v>4</v>
      </c>
      <c r="O789">
        <v>4</v>
      </c>
    </row>
    <row r="790" spans="1:15" x14ac:dyDescent="0.3">
      <c r="A790">
        <v>789</v>
      </c>
      <c r="B790" s="1">
        <v>40579</v>
      </c>
      <c r="C790">
        <v>7</v>
      </c>
      <c r="D790" s="2" t="s">
        <v>43</v>
      </c>
      <c r="E790" t="s">
        <v>26</v>
      </c>
      <c r="F790" s="2" t="s">
        <v>27</v>
      </c>
      <c r="G790" t="s">
        <v>30</v>
      </c>
      <c r="H790" s="3">
        <v>0.22</v>
      </c>
      <c r="I790" s="2" t="s">
        <v>42</v>
      </c>
      <c r="J790" s="3">
        <v>0.2576</v>
      </c>
      <c r="K790" s="3">
        <v>0.93</v>
      </c>
      <c r="L790" s="3">
        <v>8.9599999999999999E-2</v>
      </c>
      <c r="M790">
        <v>0</v>
      </c>
      <c r="N790">
        <v>4</v>
      </c>
      <c r="O790">
        <v>4</v>
      </c>
    </row>
    <row r="791" spans="1:15" x14ac:dyDescent="0.3">
      <c r="A791">
        <v>790</v>
      </c>
      <c r="B791" s="1">
        <v>40579</v>
      </c>
      <c r="C791">
        <v>8</v>
      </c>
      <c r="D791" s="2" t="s">
        <v>43</v>
      </c>
      <c r="E791" t="s">
        <v>26</v>
      </c>
      <c r="F791" s="2" t="s">
        <v>27</v>
      </c>
      <c r="G791" t="s">
        <v>30</v>
      </c>
      <c r="H791" s="3">
        <v>0.2</v>
      </c>
      <c r="I791" s="2" t="s">
        <v>44</v>
      </c>
      <c r="J791" s="3">
        <v>0.2273</v>
      </c>
      <c r="K791" s="3">
        <v>1</v>
      </c>
      <c r="L791" s="3">
        <v>8.9599999999999999E-2</v>
      </c>
      <c r="M791">
        <v>0</v>
      </c>
      <c r="N791">
        <v>10</v>
      </c>
      <c r="O791">
        <v>10</v>
      </c>
    </row>
    <row r="792" spans="1:15" x14ac:dyDescent="0.3">
      <c r="A792">
        <v>791</v>
      </c>
      <c r="B792" s="1">
        <v>40579</v>
      </c>
      <c r="C792">
        <v>9</v>
      </c>
      <c r="D792" s="2" t="s">
        <v>43</v>
      </c>
      <c r="E792" t="s">
        <v>26</v>
      </c>
      <c r="F792" s="2" t="s">
        <v>27</v>
      </c>
      <c r="G792" t="s">
        <v>30</v>
      </c>
      <c r="H792" s="3">
        <v>0.2</v>
      </c>
      <c r="I792" s="2" t="s">
        <v>44</v>
      </c>
      <c r="J792" s="3">
        <v>0.2273</v>
      </c>
      <c r="K792" s="3">
        <v>1</v>
      </c>
      <c r="L792" s="3">
        <v>8.9599999999999999E-2</v>
      </c>
      <c r="M792">
        <v>3</v>
      </c>
      <c r="N792">
        <v>17</v>
      </c>
      <c r="O792">
        <v>20</v>
      </c>
    </row>
    <row r="793" spans="1:15" x14ac:dyDescent="0.3">
      <c r="A793">
        <v>792</v>
      </c>
      <c r="B793" s="1">
        <v>40579</v>
      </c>
      <c r="C793">
        <v>10</v>
      </c>
      <c r="D793" s="2" t="s">
        <v>43</v>
      </c>
      <c r="E793" t="s">
        <v>26</v>
      </c>
      <c r="F793" s="2" t="s">
        <v>27</v>
      </c>
      <c r="G793" t="s">
        <v>30</v>
      </c>
      <c r="H793" s="3">
        <v>0.2</v>
      </c>
      <c r="I793" s="2" t="s">
        <v>44</v>
      </c>
      <c r="J793" s="3">
        <v>0.21210000000000001</v>
      </c>
      <c r="K793" s="3">
        <v>1</v>
      </c>
      <c r="L793" s="3">
        <v>0.1343</v>
      </c>
      <c r="M793">
        <v>3</v>
      </c>
      <c r="N793">
        <v>31</v>
      </c>
      <c r="O793">
        <v>34</v>
      </c>
    </row>
    <row r="794" spans="1:15" x14ac:dyDescent="0.3">
      <c r="A794">
        <v>793</v>
      </c>
      <c r="B794" s="1">
        <v>40579</v>
      </c>
      <c r="C794">
        <v>11</v>
      </c>
      <c r="D794" s="2" t="s">
        <v>43</v>
      </c>
      <c r="E794" t="s">
        <v>26</v>
      </c>
      <c r="F794" s="2" t="s">
        <v>27</v>
      </c>
      <c r="G794" t="s">
        <v>30</v>
      </c>
      <c r="H794" s="3">
        <v>0.22</v>
      </c>
      <c r="I794" s="2" t="s">
        <v>42</v>
      </c>
      <c r="J794" s="3">
        <v>0.2273</v>
      </c>
      <c r="K794" s="3">
        <v>1</v>
      </c>
      <c r="L794" s="3">
        <v>0.1343</v>
      </c>
      <c r="M794">
        <v>1</v>
      </c>
      <c r="N794">
        <v>46</v>
      </c>
      <c r="O794">
        <v>47</v>
      </c>
    </row>
    <row r="795" spans="1:15" hidden="1" x14ac:dyDescent="0.3">
      <c r="A795">
        <v>794</v>
      </c>
      <c r="B795" s="1">
        <v>40579</v>
      </c>
      <c r="C795">
        <v>12</v>
      </c>
      <c r="D795" s="2" t="s">
        <v>45</v>
      </c>
      <c r="E795" t="s">
        <v>26</v>
      </c>
      <c r="F795" s="2" t="s">
        <v>27</v>
      </c>
      <c r="G795" t="s">
        <v>30</v>
      </c>
      <c r="H795" s="3">
        <v>0.22</v>
      </c>
      <c r="I795" s="2" t="s">
        <v>42</v>
      </c>
      <c r="J795" s="3">
        <v>0.2273</v>
      </c>
      <c r="K795" s="3">
        <v>1</v>
      </c>
      <c r="L795" s="3">
        <v>0.16420000000000001</v>
      </c>
      <c r="M795">
        <v>10</v>
      </c>
      <c r="N795">
        <v>42</v>
      </c>
      <c r="O795">
        <v>52</v>
      </c>
    </row>
    <row r="796" spans="1:15" hidden="1" x14ac:dyDescent="0.3">
      <c r="A796">
        <v>795</v>
      </c>
      <c r="B796" s="1">
        <v>40579</v>
      </c>
      <c r="C796">
        <v>13</v>
      </c>
      <c r="D796" s="2" t="s">
        <v>45</v>
      </c>
      <c r="E796" t="s">
        <v>26</v>
      </c>
      <c r="F796" s="2" t="s">
        <v>27</v>
      </c>
      <c r="G796" t="s">
        <v>30</v>
      </c>
      <c r="H796" s="3">
        <v>0.22</v>
      </c>
      <c r="I796" s="2" t="s">
        <v>42</v>
      </c>
      <c r="J796" s="3">
        <v>0.2273</v>
      </c>
      <c r="K796" s="3">
        <v>1</v>
      </c>
      <c r="L796" s="3">
        <v>0.16420000000000001</v>
      </c>
      <c r="M796">
        <v>10</v>
      </c>
      <c r="N796">
        <v>62</v>
      </c>
      <c r="O796">
        <v>72</v>
      </c>
    </row>
    <row r="797" spans="1:15" hidden="1" x14ac:dyDescent="0.3">
      <c r="A797">
        <v>796</v>
      </c>
      <c r="B797" s="1">
        <v>40579</v>
      </c>
      <c r="C797">
        <v>14</v>
      </c>
      <c r="D797" s="2" t="s">
        <v>45</v>
      </c>
      <c r="E797" t="s">
        <v>26</v>
      </c>
      <c r="F797" s="2" t="s">
        <v>27</v>
      </c>
      <c r="G797" t="s">
        <v>30</v>
      </c>
      <c r="H797" s="3">
        <v>0.22</v>
      </c>
      <c r="I797" s="2" t="s">
        <v>42</v>
      </c>
      <c r="J797" s="3">
        <v>0.2727</v>
      </c>
      <c r="K797" s="3">
        <v>1</v>
      </c>
      <c r="L797" s="3">
        <v>0</v>
      </c>
      <c r="M797">
        <v>5</v>
      </c>
      <c r="N797">
        <v>50</v>
      </c>
      <c r="O797">
        <v>55</v>
      </c>
    </row>
    <row r="798" spans="1:15" hidden="1" x14ac:dyDescent="0.3">
      <c r="A798">
        <v>797</v>
      </c>
      <c r="B798" s="1">
        <v>40579</v>
      </c>
      <c r="C798">
        <v>15</v>
      </c>
      <c r="D798" s="2" t="s">
        <v>45</v>
      </c>
      <c r="E798" t="s">
        <v>26</v>
      </c>
      <c r="F798" s="2" t="s">
        <v>27</v>
      </c>
      <c r="G798" t="s">
        <v>30</v>
      </c>
      <c r="H798" s="3">
        <v>0.22</v>
      </c>
      <c r="I798" s="2" t="s">
        <v>42</v>
      </c>
      <c r="J798" s="3">
        <v>0.2727</v>
      </c>
      <c r="K798" s="3">
        <v>1</v>
      </c>
      <c r="L798" s="3">
        <v>0</v>
      </c>
      <c r="M798">
        <v>11</v>
      </c>
      <c r="N798">
        <v>49</v>
      </c>
      <c r="O798">
        <v>60</v>
      </c>
    </row>
    <row r="799" spans="1:15" hidden="1" x14ac:dyDescent="0.3">
      <c r="A799">
        <v>798</v>
      </c>
      <c r="B799" s="1">
        <v>40579</v>
      </c>
      <c r="C799">
        <v>16</v>
      </c>
      <c r="D799" s="2" t="s">
        <v>45</v>
      </c>
      <c r="E799" t="s">
        <v>26</v>
      </c>
      <c r="F799" s="2" t="s">
        <v>27</v>
      </c>
      <c r="G799" t="s">
        <v>30</v>
      </c>
      <c r="H799" s="3">
        <v>0.22</v>
      </c>
      <c r="I799" s="2" t="s">
        <v>42</v>
      </c>
      <c r="J799" s="3">
        <v>0.2273</v>
      </c>
      <c r="K799" s="3">
        <v>1</v>
      </c>
      <c r="L799" s="3">
        <v>0.1343</v>
      </c>
      <c r="M799">
        <v>8</v>
      </c>
      <c r="N799">
        <v>63</v>
      </c>
      <c r="O799">
        <v>71</v>
      </c>
    </row>
    <row r="800" spans="1:15" hidden="1" x14ac:dyDescent="0.3">
      <c r="A800">
        <v>799</v>
      </c>
      <c r="B800" s="1">
        <v>40579</v>
      </c>
      <c r="C800">
        <v>17</v>
      </c>
      <c r="D800" s="2" t="s">
        <v>47</v>
      </c>
      <c r="E800" t="s">
        <v>26</v>
      </c>
      <c r="F800" s="2" t="s">
        <v>27</v>
      </c>
      <c r="G800" t="s">
        <v>29</v>
      </c>
      <c r="H800" s="3">
        <v>0.24</v>
      </c>
      <c r="I800" s="2" t="s">
        <v>42</v>
      </c>
      <c r="J800" s="3">
        <v>0.21210000000000001</v>
      </c>
      <c r="K800" s="3">
        <v>1</v>
      </c>
      <c r="L800" s="3">
        <v>0.28360000000000002</v>
      </c>
      <c r="M800">
        <v>14</v>
      </c>
      <c r="N800">
        <v>64</v>
      </c>
      <c r="O800">
        <v>78</v>
      </c>
    </row>
    <row r="801" spans="1:15" hidden="1" x14ac:dyDescent="0.3">
      <c r="A801">
        <v>800</v>
      </c>
      <c r="B801" s="1">
        <v>40579</v>
      </c>
      <c r="C801">
        <v>18</v>
      </c>
      <c r="D801" s="2" t="s">
        <v>47</v>
      </c>
      <c r="E801" t="s">
        <v>26</v>
      </c>
      <c r="F801" s="2" t="s">
        <v>27</v>
      </c>
      <c r="G801" t="s">
        <v>29</v>
      </c>
      <c r="H801" s="3">
        <v>0.28000000000000003</v>
      </c>
      <c r="I801" s="2" t="s">
        <v>42</v>
      </c>
      <c r="J801" s="3">
        <v>0.2424</v>
      </c>
      <c r="K801" s="3">
        <v>0.93</v>
      </c>
      <c r="L801" s="3">
        <v>0.44779999999999998</v>
      </c>
      <c r="M801">
        <v>2</v>
      </c>
      <c r="N801">
        <v>81</v>
      </c>
      <c r="O801">
        <v>83</v>
      </c>
    </row>
    <row r="802" spans="1:15" hidden="1" x14ac:dyDescent="0.3">
      <c r="A802">
        <v>801</v>
      </c>
      <c r="B802" s="1">
        <v>40579</v>
      </c>
      <c r="C802">
        <v>19</v>
      </c>
      <c r="D802" s="2" t="s">
        <v>47</v>
      </c>
      <c r="E802" t="s">
        <v>26</v>
      </c>
      <c r="F802" s="2" t="s">
        <v>27</v>
      </c>
      <c r="G802" t="s">
        <v>29</v>
      </c>
      <c r="H802" s="3">
        <v>0.28000000000000003</v>
      </c>
      <c r="I802" s="2" t="s">
        <v>42</v>
      </c>
      <c r="J802" s="3">
        <v>0.2424</v>
      </c>
      <c r="K802" s="3">
        <v>0.93</v>
      </c>
      <c r="L802" s="3">
        <v>0.44779999999999998</v>
      </c>
      <c r="M802">
        <v>6</v>
      </c>
      <c r="N802">
        <v>78</v>
      </c>
      <c r="O802">
        <v>84</v>
      </c>
    </row>
    <row r="803" spans="1:15" hidden="1" x14ac:dyDescent="0.3">
      <c r="A803">
        <v>802</v>
      </c>
      <c r="B803" s="1">
        <v>40579</v>
      </c>
      <c r="C803">
        <v>20</v>
      </c>
      <c r="D803" s="2" t="s">
        <v>47</v>
      </c>
      <c r="E803" t="s">
        <v>26</v>
      </c>
      <c r="F803" s="2" t="s">
        <v>27</v>
      </c>
      <c r="G803" t="s">
        <v>28</v>
      </c>
      <c r="H803" s="3">
        <v>0.3</v>
      </c>
      <c r="I803" s="2" t="s">
        <v>42</v>
      </c>
      <c r="J803" s="3">
        <v>0.28789999999999999</v>
      </c>
      <c r="K803" s="3">
        <v>0.87</v>
      </c>
      <c r="L803" s="3">
        <v>0.25369999999999998</v>
      </c>
      <c r="M803">
        <v>5</v>
      </c>
      <c r="N803">
        <v>64</v>
      </c>
      <c r="O803">
        <v>69</v>
      </c>
    </row>
    <row r="804" spans="1:15" hidden="1" x14ac:dyDescent="0.3">
      <c r="A804">
        <v>803</v>
      </c>
      <c r="B804" s="1">
        <v>40579</v>
      </c>
      <c r="C804">
        <v>21</v>
      </c>
      <c r="D804" s="2" t="s">
        <v>41</v>
      </c>
      <c r="E804" t="s">
        <v>26</v>
      </c>
      <c r="F804" s="2" t="s">
        <v>27</v>
      </c>
      <c r="G804" t="s">
        <v>28</v>
      </c>
      <c r="H804" s="3">
        <v>0.26</v>
      </c>
      <c r="I804" s="2" t="s">
        <v>42</v>
      </c>
      <c r="J804" s="3">
        <v>0.2576</v>
      </c>
      <c r="K804" s="3">
        <v>1</v>
      </c>
      <c r="L804" s="3">
        <v>0.19400000000000001</v>
      </c>
      <c r="M804">
        <v>3</v>
      </c>
      <c r="N804">
        <v>53</v>
      </c>
      <c r="O804">
        <v>56</v>
      </c>
    </row>
    <row r="805" spans="1:15" hidden="1" x14ac:dyDescent="0.3">
      <c r="A805">
        <v>804</v>
      </c>
      <c r="B805" s="1">
        <v>40579</v>
      </c>
      <c r="C805">
        <v>22</v>
      </c>
      <c r="D805" s="2" t="s">
        <v>41</v>
      </c>
      <c r="E805" t="s">
        <v>26</v>
      </c>
      <c r="F805" s="2" t="s">
        <v>27</v>
      </c>
      <c r="G805" t="s">
        <v>28</v>
      </c>
      <c r="H805" s="3">
        <v>0.26</v>
      </c>
      <c r="I805" s="2" t="s">
        <v>42</v>
      </c>
      <c r="J805" s="3">
        <v>0.2727</v>
      </c>
      <c r="K805" s="3">
        <v>0.93</v>
      </c>
      <c r="L805" s="3">
        <v>0.1343</v>
      </c>
      <c r="M805">
        <v>2</v>
      </c>
      <c r="N805">
        <v>43</v>
      </c>
      <c r="O805">
        <v>45</v>
      </c>
    </row>
    <row r="806" spans="1:15" hidden="1" x14ac:dyDescent="0.3">
      <c r="A806">
        <v>805</v>
      </c>
      <c r="B806" s="1">
        <v>40579</v>
      </c>
      <c r="C806">
        <v>23</v>
      </c>
      <c r="D806" s="2" t="s">
        <v>41</v>
      </c>
      <c r="E806" t="s">
        <v>26</v>
      </c>
      <c r="F806" s="2" t="s">
        <v>27</v>
      </c>
      <c r="G806" t="s">
        <v>28</v>
      </c>
      <c r="H806" s="3">
        <v>0.26</v>
      </c>
      <c r="I806" s="2" t="s">
        <v>42</v>
      </c>
      <c r="J806" s="3">
        <v>0.2576</v>
      </c>
      <c r="K806" s="3">
        <v>0.93</v>
      </c>
      <c r="L806" s="3">
        <v>0.22389999999999999</v>
      </c>
      <c r="M806">
        <v>7</v>
      </c>
      <c r="N806">
        <v>52</v>
      </c>
      <c r="O806">
        <v>59</v>
      </c>
    </row>
    <row r="807" spans="1:15" hidden="1" x14ac:dyDescent="0.3">
      <c r="A807">
        <v>806</v>
      </c>
      <c r="B807" s="1">
        <v>40580</v>
      </c>
      <c r="C807">
        <v>0</v>
      </c>
      <c r="D807" s="2" t="s">
        <v>41</v>
      </c>
      <c r="E807" t="s">
        <v>26</v>
      </c>
      <c r="F807" s="2" t="s">
        <v>31</v>
      </c>
      <c r="G807" t="s">
        <v>28</v>
      </c>
      <c r="H807" s="3">
        <v>0.26</v>
      </c>
      <c r="I807" s="2" t="s">
        <v>42</v>
      </c>
      <c r="J807" s="3">
        <v>0.2576</v>
      </c>
      <c r="K807" s="3">
        <v>0.7</v>
      </c>
      <c r="L807" s="3">
        <v>0.19400000000000001</v>
      </c>
      <c r="M807">
        <v>2</v>
      </c>
      <c r="N807">
        <v>37</v>
      </c>
      <c r="O807">
        <v>39</v>
      </c>
    </row>
    <row r="808" spans="1:15" hidden="1" x14ac:dyDescent="0.3">
      <c r="A808">
        <v>807</v>
      </c>
      <c r="B808" s="1">
        <v>40580</v>
      </c>
      <c r="C808">
        <v>1</v>
      </c>
      <c r="D808" s="2" t="s">
        <v>41</v>
      </c>
      <c r="E808" t="s">
        <v>26</v>
      </c>
      <c r="F808" s="2" t="s">
        <v>31</v>
      </c>
      <c r="G808" t="s">
        <v>28</v>
      </c>
      <c r="H808" s="3">
        <v>0.26</v>
      </c>
      <c r="I808" s="2" t="s">
        <v>42</v>
      </c>
      <c r="J808" s="3">
        <v>0.2273</v>
      </c>
      <c r="K808" s="3">
        <v>0.65</v>
      </c>
      <c r="L808" s="3">
        <v>0.41789999999999999</v>
      </c>
      <c r="M808">
        <v>4</v>
      </c>
      <c r="N808">
        <v>40</v>
      </c>
      <c r="O808">
        <v>44</v>
      </c>
    </row>
    <row r="809" spans="1:15" hidden="1" x14ac:dyDescent="0.3">
      <c r="A809">
        <v>808</v>
      </c>
      <c r="B809" s="1">
        <v>40580</v>
      </c>
      <c r="C809">
        <v>2</v>
      </c>
      <c r="D809" s="2" t="s">
        <v>41</v>
      </c>
      <c r="E809" t="s">
        <v>26</v>
      </c>
      <c r="F809" s="2" t="s">
        <v>31</v>
      </c>
      <c r="G809" t="s">
        <v>28</v>
      </c>
      <c r="H809" s="3">
        <v>0.26</v>
      </c>
      <c r="I809" s="2" t="s">
        <v>42</v>
      </c>
      <c r="J809" s="3">
        <v>0.2273</v>
      </c>
      <c r="K809" s="3">
        <v>0.6</v>
      </c>
      <c r="L809" s="3">
        <v>0.32840000000000003</v>
      </c>
      <c r="M809">
        <v>0</v>
      </c>
      <c r="N809">
        <v>20</v>
      </c>
      <c r="O809">
        <v>20</v>
      </c>
    </row>
    <row r="810" spans="1:15" hidden="1" x14ac:dyDescent="0.3">
      <c r="A810">
        <v>809</v>
      </c>
      <c r="B810" s="1">
        <v>40580</v>
      </c>
      <c r="C810">
        <v>3</v>
      </c>
      <c r="D810" s="2" t="s">
        <v>41</v>
      </c>
      <c r="E810" t="s">
        <v>26</v>
      </c>
      <c r="F810" s="2" t="s">
        <v>31</v>
      </c>
      <c r="G810" t="s">
        <v>28</v>
      </c>
      <c r="H810" s="3">
        <v>0.26</v>
      </c>
      <c r="I810" s="2" t="s">
        <v>42</v>
      </c>
      <c r="J810" s="3">
        <v>0.28789999999999999</v>
      </c>
      <c r="K810" s="3">
        <v>0.6</v>
      </c>
      <c r="L810" s="3">
        <v>8.9599999999999999E-2</v>
      </c>
      <c r="M810">
        <v>3</v>
      </c>
      <c r="N810">
        <v>10</v>
      </c>
      <c r="O810">
        <v>13</v>
      </c>
    </row>
    <row r="811" spans="1:15" hidden="1" x14ac:dyDescent="0.3">
      <c r="A811">
        <v>810</v>
      </c>
      <c r="B811" s="1">
        <v>40580</v>
      </c>
      <c r="C811">
        <v>4</v>
      </c>
      <c r="D811" s="2" t="s">
        <v>41</v>
      </c>
      <c r="E811" t="s">
        <v>26</v>
      </c>
      <c r="F811" s="2" t="s">
        <v>31</v>
      </c>
      <c r="G811" t="s">
        <v>28</v>
      </c>
      <c r="H811" s="3">
        <v>0.26</v>
      </c>
      <c r="I811" s="2" t="s">
        <v>42</v>
      </c>
      <c r="J811" s="3">
        <v>0.2273</v>
      </c>
      <c r="K811" s="3">
        <v>0.6</v>
      </c>
      <c r="L811" s="3">
        <v>0.35820000000000002</v>
      </c>
      <c r="M811">
        <v>0</v>
      </c>
      <c r="N811">
        <v>2</v>
      </c>
      <c r="O811">
        <v>2</v>
      </c>
    </row>
    <row r="812" spans="1:15" x14ac:dyDescent="0.3">
      <c r="A812">
        <v>811</v>
      </c>
      <c r="B812" s="1">
        <v>40580</v>
      </c>
      <c r="C812">
        <v>5</v>
      </c>
      <c r="D812" s="2" t="s">
        <v>43</v>
      </c>
      <c r="E812" t="s">
        <v>26</v>
      </c>
      <c r="F812" s="2" t="s">
        <v>31</v>
      </c>
      <c r="G812" t="s">
        <v>28</v>
      </c>
      <c r="H812" s="3">
        <v>0.26</v>
      </c>
      <c r="I812" s="2" t="s">
        <v>42</v>
      </c>
      <c r="J812" s="3">
        <v>0.2576</v>
      </c>
      <c r="K812" s="3">
        <v>0.6</v>
      </c>
      <c r="L812" s="3">
        <v>0.22389999999999999</v>
      </c>
      <c r="M812">
        <v>0</v>
      </c>
      <c r="N812">
        <v>1</v>
      </c>
      <c r="O812">
        <v>1</v>
      </c>
    </row>
    <row r="813" spans="1:15" x14ac:dyDescent="0.3">
      <c r="A813">
        <v>812</v>
      </c>
      <c r="B813" s="1">
        <v>40580</v>
      </c>
      <c r="C813">
        <v>6</v>
      </c>
      <c r="D813" s="2" t="s">
        <v>43</v>
      </c>
      <c r="E813" t="s">
        <v>26</v>
      </c>
      <c r="F813" s="2" t="s">
        <v>31</v>
      </c>
      <c r="G813" t="s">
        <v>28</v>
      </c>
      <c r="H813" s="3">
        <v>0.26</v>
      </c>
      <c r="I813" s="2" t="s">
        <v>42</v>
      </c>
      <c r="J813" s="3">
        <v>0.2576</v>
      </c>
      <c r="K813" s="3">
        <v>0.6</v>
      </c>
      <c r="L813" s="3">
        <v>0.22389999999999999</v>
      </c>
      <c r="M813">
        <v>0</v>
      </c>
      <c r="N813">
        <v>1</v>
      </c>
      <c r="O813">
        <v>1</v>
      </c>
    </row>
    <row r="814" spans="1:15" x14ac:dyDescent="0.3">
      <c r="A814">
        <v>813</v>
      </c>
      <c r="B814" s="1">
        <v>40580</v>
      </c>
      <c r="C814">
        <v>7</v>
      </c>
      <c r="D814" s="2" t="s">
        <v>43</v>
      </c>
      <c r="E814" t="s">
        <v>26</v>
      </c>
      <c r="F814" s="2" t="s">
        <v>31</v>
      </c>
      <c r="G814" t="s">
        <v>28</v>
      </c>
      <c r="H814" s="3">
        <v>0.24</v>
      </c>
      <c r="I814" s="2" t="s">
        <v>42</v>
      </c>
      <c r="J814" s="3">
        <v>0.2424</v>
      </c>
      <c r="K814" s="3">
        <v>0.65</v>
      </c>
      <c r="L814" s="3">
        <v>0.16420000000000001</v>
      </c>
      <c r="M814">
        <v>0</v>
      </c>
      <c r="N814">
        <v>8</v>
      </c>
      <c r="O814">
        <v>8</v>
      </c>
    </row>
    <row r="815" spans="1:15" x14ac:dyDescent="0.3">
      <c r="A815">
        <v>814</v>
      </c>
      <c r="B815" s="1">
        <v>40580</v>
      </c>
      <c r="C815">
        <v>8</v>
      </c>
      <c r="D815" s="2" t="s">
        <v>43</v>
      </c>
      <c r="E815" t="s">
        <v>26</v>
      </c>
      <c r="F815" s="2" t="s">
        <v>31</v>
      </c>
      <c r="G815" t="s">
        <v>28</v>
      </c>
      <c r="H815" s="3">
        <v>0.24</v>
      </c>
      <c r="I815" s="2" t="s">
        <v>42</v>
      </c>
      <c r="J815" s="3">
        <v>0.2576</v>
      </c>
      <c r="K815" s="3">
        <v>0.65</v>
      </c>
      <c r="L815" s="3">
        <v>0.1045</v>
      </c>
      <c r="M815">
        <v>2</v>
      </c>
      <c r="N815">
        <v>21</v>
      </c>
      <c r="O815">
        <v>23</v>
      </c>
    </row>
    <row r="816" spans="1:15" x14ac:dyDescent="0.3">
      <c r="A816">
        <v>815</v>
      </c>
      <c r="B816" s="1">
        <v>40580</v>
      </c>
      <c r="C816">
        <v>9</v>
      </c>
      <c r="D816" s="2" t="s">
        <v>43</v>
      </c>
      <c r="E816" t="s">
        <v>26</v>
      </c>
      <c r="F816" s="2" t="s">
        <v>31</v>
      </c>
      <c r="G816" t="s">
        <v>28</v>
      </c>
      <c r="H816" s="3">
        <v>0.28000000000000003</v>
      </c>
      <c r="I816" s="2" t="s">
        <v>42</v>
      </c>
      <c r="J816" s="3">
        <v>0.28789999999999999</v>
      </c>
      <c r="K816" s="3">
        <v>0.56000000000000005</v>
      </c>
      <c r="L816" s="3">
        <v>0.1045</v>
      </c>
      <c r="M816">
        <v>7</v>
      </c>
      <c r="N816">
        <v>38</v>
      </c>
      <c r="O816">
        <v>45</v>
      </c>
    </row>
    <row r="817" spans="1:15" x14ac:dyDescent="0.3">
      <c r="A817">
        <v>816</v>
      </c>
      <c r="B817" s="1">
        <v>40580</v>
      </c>
      <c r="C817">
        <v>10</v>
      </c>
      <c r="D817" s="2" t="s">
        <v>43</v>
      </c>
      <c r="E817" t="s">
        <v>26</v>
      </c>
      <c r="F817" s="2" t="s">
        <v>31</v>
      </c>
      <c r="G817" t="s">
        <v>28</v>
      </c>
      <c r="H817" s="3">
        <v>0.3</v>
      </c>
      <c r="I817" s="2" t="s">
        <v>42</v>
      </c>
      <c r="J817" s="3">
        <v>0.28789999999999999</v>
      </c>
      <c r="K817" s="3">
        <v>0.52</v>
      </c>
      <c r="L817" s="3">
        <v>0.25369999999999998</v>
      </c>
      <c r="M817">
        <v>15</v>
      </c>
      <c r="N817">
        <v>74</v>
      </c>
      <c r="O817">
        <v>89</v>
      </c>
    </row>
    <row r="818" spans="1:15" x14ac:dyDescent="0.3">
      <c r="A818">
        <v>817</v>
      </c>
      <c r="B818" s="1">
        <v>40580</v>
      </c>
      <c r="C818">
        <v>11</v>
      </c>
      <c r="D818" s="2" t="s">
        <v>43</v>
      </c>
      <c r="E818" t="s">
        <v>26</v>
      </c>
      <c r="F818" s="2" t="s">
        <v>31</v>
      </c>
      <c r="G818" t="s">
        <v>28</v>
      </c>
      <c r="H818" s="3">
        <v>0.32</v>
      </c>
      <c r="I818" s="2" t="s">
        <v>42</v>
      </c>
      <c r="J818" s="3">
        <v>0.30299999999999999</v>
      </c>
      <c r="K818" s="3">
        <v>0.49</v>
      </c>
      <c r="L818" s="3">
        <v>0.25369999999999998</v>
      </c>
      <c r="M818">
        <v>28</v>
      </c>
      <c r="N818">
        <v>89</v>
      </c>
      <c r="O818">
        <v>117</v>
      </c>
    </row>
    <row r="819" spans="1:15" hidden="1" x14ac:dyDescent="0.3">
      <c r="A819">
        <v>818</v>
      </c>
      <c r="B819" s="1">
        <v>40580</v>
      </c>
      <c r="C819">
        <v>12</v>
      </c>
      <c r="D819" s="2" t="s">
        <v>45</v>
      </c>
      <c r="E819" t="s">
        <v>26</v>
      </c>
      <c r="F819" s="2" t="s">
        <v>31</v>
      </c>
      <c r="G819" t="s">
        <v>28</v>
      </c>
      <c r="H819" s="3">
        <v>0.34</v>
      </c>
      <c r="I819" s="2" t="s">
        <v>42</v>
      </c>
      <c r="J819" s="3">
        <v>0.33329999999999999</v>
      </c>
      <c r="K819" s="3">
        <v>0.46</v>
      </c>
      <c r="L819" s="3">
        <v>0</v>
      </c>
      <c r="M819">
        <v>48</v>
      </c>
      <c r="N819">
        <v>126</v>
      </c>
      <c r="O819">
        <v>174</v>
      </c>
    </row>
    <row r="820" spans="1:15" hidden="1" x14ac:dyDescent="0.3">
      <c r="A820">
        <v>819</v>
      </c>
      <c r="B820" s="1">
        <v>40580</v>
      </c>
      <c r="C820">
        <v>13</v>
      </c>
      <c r="D820" s="2" t="s">
        <v>45</v>
      </c>
      <c r="E820" t="s">
        <v>26</v>
      </c>
      <c r="F820" s="2" t="s">
        <v>31</v>
      </c>
      <c r="G820" t="s">
        <v>28</v>
      </c>
      <c r="H820" s="3">
        <v>0.34</v>
      </c>
      <c r="I820" s="2" t="s">
        <v>42</v>
      </c>
      <c r="J820" s="3">
        <v>0.36359999999999998</v>
      </c>
      <c r="K820" s="3">
        <v>0.46</v>
      </c>
      <c r="L820" s="3">
        <v>0</v>
      </c>
      <c r="M820">
        <v>47</v>
      </c>
      <c r="N820">
        <v>135</v>
      </c>
      <c r="O820">
        <v>182</v>
      </c>
    </row>
    <row r="821" spans="1:15" hidden="1" x14ac:dyDescent="0.3">
      <c r="A821">
        <v>820</v>
      </c>
      <c r="B821" s="1">
        <v>40580</v>
      </c>
      <c r="C821">
        <v>14</v>
      </c>
      <c r="D821" s="2" t="s">
        <v>45</v>
      </c>
      <c r="E821" t="s">
        <v>26</v>
      </c>
      <c r="F821" s="2" t="s">
        <v>31</v>
      </c>
      <c r="G821" t="s">
        <v>28</v>
      </c>
      <c r="H821" s="3">
        <v>0.34</v>
      </c>
      <c r="I821" s="2" t="s">
        <v>42</v>
      </c>
      <c r="J821" s="3">
        <v>0.34849999999999998</v>
      </c>
      <c r="K821" s="3">
        <v>0.46</v>
      </c>
      <c r="L821" s="3">
        <v>8.9599999999999999E-2</v>
      </c>
      <c r="M821">
        <v>47</v>
      </c>
      <c r="N821">
        <v>114</v>
      </c>
      <c r="O821">
        <v>161</v>
      </c>
    </row>
    <row r="822" spans="1:15" hidden="1" x14ac:dyDescent="0.3">
      <c r="A822">
        <v>821</v>
      </c>
      <c r="B822" s="1">
        <v>40580</v>
      </c>
      <c r="C822">
        <v>15</v>
      </c>
      <c r="D822" s="2" t="s">
        <v>45</v>
      </c>
      <c r="E822" t="s">
        <v>26</v>
      </c>
      <c r="F822" s="2" t="s">
        <v>31</v>
      </c>
      <c r="G822" t="s">
        <v>28</v>
      </c>
      <c r="H822" s="3">
        <v>0.34</v>
      </c>
      <c r="I822" s="2" t="s">
        <v>42</v>
      </c>
      <c r="J822" s="3">
        <v>0.34849999999999998</v>
      </c>
      <c r="K822" s="3">
        <v>0.46</v>
      </c>
      <c r="L822" s="3">
        <v>8.9599999999999999E-2</v>
      </c>
      <c r="M822">
        <v>52</v>
      </c>
      <c r="N822">
        <v>130</v>
      </c>
      <c r="O822">
        <v>182</v>
      </c>
    </row>
    <row r="823" spans="1:15" hidden="1" x14ac:dyDescent="0.3">
      <c r="A823">
        <v>822</v>
      </c>
      <c r="B823" s="1">
        <v>40580</v>
      </c>
      <c r="C823">
        <v>16</v>
      </c>
      <c r="D823" s="2" t="s">
        <v>45</v>
      </c>
      <c r="E823" t="s">
        <v>26</v>
      </c>
      <c r="F823" s="2" t="s">
        <v>31</v>
      </c>
      <c r="G823" t="s">
        <v>28</v>
      </c>
      <c r="H823" s="3">
        <v>0.34</v>
      </c>
      <c r="I823" s="2" t="s">
        <v>42</v>
      </c>
      <c r="J823" s="3">
        <v>0.34849999999999998</v>
      </c>
      <c r="K823" s="3">
        <v>0.49</v>
      </c>
      <c r="L823" s="3">
        <v>0.1045</v>
      </c>
      <c r="M823">
        <v>42</v>
      </c>
      <c r="N823">
        <v>115</v>
      </c>
      <c r="O823">
        <v>157</v>
      </c>
    </row>
    <row r="824" spans="1:15" hidden="1" x14ac:dyDescent="0.3">
      <c r="A824">
        <v>823</v>
      </c>
      <c r="B824" s="1">
        <v>40580</v>
      </c>
      <c r="C824">
        <v>17</v>
      </c>
      <c r="D824" s="2" t="s">
        <v>47</v>
      </c>
      <c r="E824" t="s">
        <v>26</v>
      </c>
      <c r="F824" s="2" t="s">
        <v>31</v>
      </c>
      <c r="G824" t="s">
        <v>28</v>
      </c>
      <c r="H824" s="3">
        <v>0.34</v>
      </c>
      <c r="I824" s="2" t="s">
        <v>42</v>
      </c>
      <c r="J824" s="3">
        <v>0.36359999999999998</v>
      </c>
      <c r="K824" s="3">
        <v>0.46</v>
      </c>
      <c r="L824" s="3">
        <v>0</v>
      </c>
      <c r="M824">
        <v>24</v>
      </c>
      <c r="N824">
        <v>97</v>
      </c>
      <c r="O824">
        <v>121</v>
      </c>
    </row>
    <row r="825" spans="1:15" hidden="1" x14ac:dyDescent="0.3">
      <c r="A825">
        <v>824</v>
      </c>
      <c r="B825" s="1">
        <v>40580</v>
      </c>
      <c r="C825">
        <v>18</v>
      </c>
      <c r="D825" s="2" t="s">
        <v>47</v>
      </c>
      <c r="E825" t="s">
        <v>26</v>
      </c>
      <c r="F825" s="2" t="s">
        <v>31</v>
      </c>
      <c r="G825" t="s">
        <v>28</v>
      </c>
      <c r="H825" s="3">
        <v>0.3</v>
      </c>
      <c r="I825" s="2" t="s">
        <v>42</v>
      </c>
      <c r="J825" s="3">
        <v>0.30299999999999999</v>
      </c>
      <c r="K825" s="3">
        <v>0.56000000000000005</v>
      </c>
      <c r="L825" s="3">
        <v>0.16420000000000001</v>
      </c>
      <c r="M825">
        <v>13</v>
      </c>
      <c r="N825">
        <v>65</v>
      </c>
      <c r="O825">
        <v>78</v>
      </c>
    </row>
    <row r="826" spans="1:15" hidden="1" x14ac:dyDescent="0.3">
      <c r="A826">
        <v>825</v>
      </c>
      <c r="B826" s="1">
        <v>40580</v>
      </c>
      <c r="C826">
        <v>19</v>
      </c>
      <c r="D826" s="2" t="s">
        <v>47</v>
      </c>
      <c r="E826" t="s">
        <v>26</v>
      </c>
      <c r="F826" s="2" t="s">
        <v>31</v>
      </c>
      <c r="G826" t="s">
        <v>28</v>
      </c>
      <c r="H826" s="3">
        <v>0.28000000000000003</v>
      </c>
      <c r="I826" s="2" t="s">
        <v>42</v>
      </c>
      <c r="J826" s="3">
        <v>0.28789999999999999</v>
      </c>
      <c r="K826" s="3">
        <v>0.61</v>
      </c>
      <c r="L826" s="3">
        <v>0.1343</v>
      </c>
      <c r="M826">
        <v>1</v>
      </c>
      <c r="N826">
        <v>20</v>
      </c>
      <c r="O826">
        <v>21</v>
      </c>
    </row>
    <row r="827" spans="1:15" hidden="1" x14ac:dyDescent="0.3">
      <c r="A827">
        <v>826</v>
      </c>
      <c r="B827" s="1">
        <v>40580</v>
      </c>
      <c r="C827">
        <v>20</v>
      </c>
      <c r="D827" s="2" t="s">
        <v>47</v>
      </c>
      <c r="E827" t="s">
        <v>26</v>
      </c>
      <c r="F827" s="2" t="s">
        <v>31</v>
      </c>
      <c r="G827" t="s">
        <v>28</v>
      </c>
      <c r="H827" s="3">
        <v>0.28000000000000003</v>
      </c>
      <c r="I827" s="2" t="s">
        <v>42</v>
      </c>
      <c r="J827" s="3">
        <v>0.28789999999999999</v>
      </c>
      <c r="K827" s="3">
        <v>0.61</v>
      </c>
      <c r="L827" s="3">
        <v>0.1045</v>
      </c>
      <c r="M827">
        <v>5</v>
      </c>
      <c r="N827">
        <v>21</v>
      </c>
      <c r="O827">
        <v>26</v>
      </c>
    </row>
    <row r="828" spans="1:15" hidden="1" x14ac:dyDescent="0.3">
      <c r="A828">
        <v>827</v>
      </c>
      <c r="B828" s="1">
        <v>40580</v>
      </c>
      <c r="C828">
        <v>21</v>
      </c>
      <c r="D828" s="2" t="s">
        <v>41</v>
      </c>
      <c r="E828" t="s">
        <v>26</v>
      </c>
      <c r="F828" s="2" t="s">
        <v>31</v>
      </c>
      <c r="G828" t="s">
        <v>28</v>
      </c>
      <c r="H828" s="3">
        <v>0.26</v>
      </c>
      <c r="I828" s="2" t="s">
        <v>42</v>
      </c>
      <c r="J828" s="3">
        <v>0.30299999999999999</v>
      </c>
      <c r="K828" s="3">
        <v>0.6</v>
      </c>
      <c r="L828" s="3">
        <v>0</v>
      </c>
      <c r="M828">
        <v>5</v>
      </c>
      <c r="N828">
        <v>22</v>
      </c>
      <c r="O828">
        <v>27</v>
      </c>
    </row>
    <row r="829" spans="1:15" hidden="1" x14ac:dyDescent="0.3">
      <c r="A829">
        <v>828</v>
      </c>
      <c r="B829" s="1">
        <v>40580</v>
      </c>
      <c r="C829">
        <v>22</v>
      </c>
      <c r="D829" s="2" t="s">
        <v>41</v>
      </c>
      <c r="E829" t="s">
        <v>26</v>
      </c>
      <c r="F829" s="2" t="s">
        <v>31</v>
      </c>
      <c r="G829" t="s">
        <v>28</v>
      </c>
      <c r="H829" s="3">
        <v>0.26</v>
      </c>
      <c r="I829" s="2" t="s">
        <v>42</v>
      </c>
      <c r="J829" s="3">
        <v>0.30299999999999999</v>
      </c>
      <c r="K829" s="3">
        <v>0.6</v>
      </c>
      <c r="L829" s="3">
        <v>0</v>
      </c>
      <c r="M829">
        <v>5</v>
      </c>
      <c r="N829">
        <v>57</v>
      </c>
      <c r="O829">
        <v>62</v>
      </c>
    </row>
    <row r="830" spans="1:15" hidden="1" x14ac:dyDescent="0.3">
      <c r="A830">
        <v>829</v>
      </c>
      <c r="B830" s="1">
        <v>40580</v>
      </c>
      <c r="C830">
        <v>23</v>
      </c>
      <c r="D830" s="2" t="s">
        <v>41</v>
      </c>
      <c r="E830" t="s">
        <v>26</v>
      </c>
      <c r="F830" s="2" t="s">
        <v>31</v>
      </c>
      <c r="G830" t="s">
        <v>28</v>
      </c>
      <c r="H830" s="3">
        <v>0.24</v>
      </c>
      <c r="I830" s="2" t="s">
        <v>42</v>
      </c>
      <c r="J830" s="3">
        <v>0.28789999999999999</v>
      </c>
      <c r="K830" s="3">
        <v>0.65</v>
      </c>
      <c r="L830" s="3">
        <v>0</v>
      </c>
      <c r="M830">
        <v>4</v>
      </c>
      <c r="N830">
        <v>26</v>
      </c>
      <c r="O830">
        <v>30</v>
      </c>
    </row>
    <row r="831" spans="1:15" hidden="1" x14ac:dyDescent="0.3">
      <c r="A831">
        <v>830</v>
      </c>
      <c r="B831" s="1">
        <v>40581</v>
      </c>
      <c r="C831">
        <v>0</v>
      </c>
      <c r="D831" s="2" t="s">
        <v>41</v>
      </c>
      <c r="E831" t="s">
        <v>26</v>
      </c>
      <c r="F831" s="2" t="s">
        <v>32</v>
      </c>
      <c r="G831" t="s">
        <v>28</v>
      </c>
      <c r="H831" s="3">
        <v>0.24</v>
      </c>
      <c r="I831" s="2" t="s">
        <v>42</v>
      </c>
      <c r="J831" s="3">
        <v>0.28789999999999999</v>
      </c>
      <c r="K831" s="3">
        <v>0.65</v>
      </c>
      <c r="L831" s="3">
        <v>0</v>
      </c>
      <c r="M831">
        <v>1</v>
      </c>
      <c r="N831">
        <v>14</v>
      </c>
      <c r="O831">
        <v>15</v>
      </c>
    </row>
    <row r="832" spans="1:15" hidden="1" x14ac:dyDescent="0.3">
      <c r="A832">
        <v>831</v>
      </c>
      <c r="B832" s="1">
        <v>40581</v>
      </c>
      <c r="C832">
        <v>1</v>
      </c>
      <c r="D832" s="2" t="s">
        <v>41</v>
      </c>
      <c r="E832" t="s">
        <v>26</v>
      </c>
      <c r="F832" s="2" t="s">
        <v>32</v>
      </c>
      <c r="G832" t="s">
        <v>28</v>
      </c>
      <c r="H832" s="3">
        <v>0.22</v>
      </c>
      <c r="I832" s="2" t="s">
        <v>42</v>
      </c>
      <c r="J832" s="3">
        <v>0.2727</v>
      </c>
      <c r="K832" s="3">
        <v>0.75</v>
      </c>
      <c r="L832" s="3">
        <v>0</v>
      </c>
      <c r="M832">
        <v>1</v>
      </c>
      <c r="N832">
        <v>4</v>
      </c>
      <c r="O832">
        <v>5</v>
      </c>
    </row>
    <row r="833" spans="1:15" hidden="1" x14ac:dyDescent="0.3">
      <c r="A833">
        <v>832</v>
      </c>
      <c r="B833" s="1">
        <v>40581</v>
      </c>
      <c r="C833">
        <v>2</v>
      </c>
      <c r="D833" s="2" t="s">
        <v>41</v>
      </c>
      <c r="E833" t="s">
        <v>26</v>
      </c>
      <c r="F833" s="2" t="s">
        <v>32</v>
      </c>
      <c r="G833" t="s">
        <v>28</v>
      </c>
      <c r="H833" s="3">
        <v>0.2</v>
      </c>
      <c r="I833" s="2" t="s">
        <v>44</v>
      </c>
      <c r="J833" s="3">
        <v>0.2576</v>
      </c>
      <c r="K833" s="3">
        <v>0.8</v>
      </c>
      <c r="L833" s="3">
        <v>0</v>
      </c>
      <c r="M833">
        <v>0</v>
      </c>
      <c r="N833">
        <v>3</v>
      </c>
      <c r="O833">
        <v>3</v>
      </c>
    </row>
    <row r="834" spans="1:15" hidden="1" x14ac:dyDescent="0.3">
      <c r="A834">
        <v>833</v>
      </c>
      <c r="B834" s="1">
        <v>40581</v>
      </c>
      <c r="C834">
        <v>3</v>
      </c>
      <c r="D834" s="2" t="s">
        <v>41</v>
      </c>
      <c r="E834" t="s">
        <v>26</v>
      </c>
      <c r="F834" s="2" t="s">
        <v>32</v>
      </c>
      <c r="G834" t="s">
        <v>28</v>
      </c>
      <c r="H834" s="3">
        <v>0.2</v>
      </c>
      <c r="I834" s="2" t="s">
        <v>44</v>
      </c>
      <c r="J834" s="3">
        <v>0.2576</v>
      </c>
      <c r="K834" s="3">
        <v>0.86</v>
      </c>
      <c r="L834" s="3">
        <v>0</v>
      </c>
      <c r="M834">
        <v>0</v>
      </c>
      <c r="N834">
        <v>1</v>
      </c>
      <c r="O834">
        <v>1</v>
      </c>
    </row>
    <row r="835" spans="1:15" hidden="1" x14ac:dyDescent="0.3">
      <c r="A835">
        <v>834</v>
      </c>
      <c r="B835" s="1">
        <v>40581</v>
      </c>
      <c r="C835">
        <v>4</v>
      </c>
      <c r="D835" s="2" t="s">
        <v>41</v>
      </c>
      <c r="E835" t="s">
        <v>26</v>
      </c>
      <c r="F835" s="2" t="s">
        <v>32</v>
      </c>
      <c r="G835" t="s">
        <v>28</v>
      </c>
      <c r="H835" s="3">
        <v>0.2</v>
      </c>
      <c r="I835" s="2" t="s">
        <v>44</v>
      </c>
      <c r="J835" s="3">
        <v>0.2576</v>
      </c>
      <c r="K835" s="3">
        <v>0.86</v>
      </c>
      <c r="L835" s="3">
        <v>0</v>
      </c>
      <c r="M835">
        <v>1</v>
      </c>
      <c r="N835">
        <v>1</v>
      </c>
      <c r="O835">
        <v>2</v>
      </c>
    </row>
    <row r="836" spans="1:15" x14ac:dyDescent="0.3">
      <c r="A836">
        <v>835</v>
      </c>
      <c r="B836" s="1">
        <v>40581</v>
      </c>
      <c r="C836">
        <v>5</v>
      </c>
      <c r="D836" s="2" t="s">
        <v>43</v>
      </c>
      <c r="E836" t="s">
        <v>26</v>
      </c>
      <c r="F836" s="2" t="s">
        <v>32</v>
      </c>
      <c r="G836" t="s">
        <v>28</v>
      </c>
      <c r="H836" s="3">
        <v>0.2</v>
      </c>
      <c r="I836" s="2" t="s">
        <v>44</v>
      </c>
      <c r="J836" s="3">
        <v>0.2576</v>
      </c>
      <c r="K836" s="3">
        <v>0.86</v>
      </c>
      <c r="L836" s="3">
        <v>0</v>
      </c>
      <c r="M836">
        <v>1</v>
      </c>
      <c r="N836">
        <v>9</v>
      </c>
      <c r="O836">
        <v>10</v>
      </c>
    </row>
    <row r="837" spans="1:15" x14ac:dyDescent="0.3">
      <c r="A837">
        <v>836</v>
      </c>
      <c r="B837" s="1">
        <v>40581</v>
      </c>
      <c r="C837">
        <v>6</v>
      </c>
      <c r="D837" s="2" t="s">
        <v>43</v>
      </c>
      <c r="E837" t="s">
        <v>26</v>
      </c>
      <c r="F837" s="2" t="s">
        <v>32</v>
      </c>
      <c r="G837" t="s">
        <v>28</v>
      </c>
      <c r="H837" s="3">
        <v>0.18</v>
      </c>
      <c r="I837" s="2" t="s">
        <v>44</v>
      </c>
      <c r="J837" s="3">
        <v>0.2424</v>
      </c>
      <c r="K837" s="3">
        <v>0.93</v>
      </c>
      <c r="L837" s="3">
        <v>0</v>
      </c>
      <c r="M837">
        <v>1</v>
      </c>
      <c r="N837">
        <v>29</v>
      </c>
      <c r="O837">
        <v>30</v>
      </c>
    </row>
    <row r="838" spans="1:15" x14ac:dyDescent="0.3">
      <c r="A838">
        <v>837</v>
      </c>
      <c r="B838" s="1">
        <v>40581</v>
      </c>
      <c r="C838">
        <v>7</v>
      </c>
      <c r="D838" s="2" t="s">
        <v>43</v>
      </c>
      <c r="E838" t="s">
        <v>26</v>
      </c>
      <c r="F838" s="2" t="s">
        <v>32</v>
      </c>
      <c r="G838" t="s">
        <v>28</v>
      </c>
      <c r="H838" s="3">
        <v>0.18</v>
      </c>
      <c r="I838" s="2" t="s">
        <v>44</v>
      </c>
      <c r="J838" s="3">
        <v>0.2424</v>
      </c>
      <c r="K838" s="3">
        <v>0.86</v>
      </c>
      <c r="L838" s="3">
        <v>0</v>
      </c>
      <c r="M838">
        <v>6</v>
      </c>
      <c r="N838">
        <v>89</v>
      </c>
      <c r="O838">
        <v>95</v>
      </c>
    </row>
    <row r="839" spans="1:15" x14ac:dyDescent="0.3">
      <c r="A839">
        <v>838</v>
      </c>
      <c r="B839" s="1">
        <v>40581</v>
      </c>
      <c r="C839">
        <v>8</v>
      </c>
      <c r="D839" s="2" t="s">
        <v>43</v>
      </c>
      <c r="E839" t="s">
        <v>26</v>
      </c>
      <c r="F839" s="2" t="s">
        <v>32</v>
      </c>
      <c r="G839" t="s">
        <v>29</v>
      </c>
      <c r="H839" s="3">
        <v>0.16</v>
      </c>
      <c r="I839" s="2" t="s">
        <v>44</v>
      </c>
      <c r="J839" s="3">
        <v>0.2273</v>
      </c>
      <c r="K839" s="3">
        <v>1</v>
      </c>
      <c r="L839" s="3">
        <v>0</v>
      </c>
      <c r="M839">
        <v>7</v>
      </c>
      <c r="N839">
        <v>223</v>
      </c>
      <c r="O839">
        <v>230</v>
      </c>
    </row>
    <row r="840" spans="1:15" x14ac:dyDescent="0.3">
      <c r="A840">
        <v>839</v>
      </c>
      <c r="B840" s="1">
        <v>40581</v>
      </c>
      <c r="C840">
        <v>9</v>
      </c>
      <c r="D840" s="2" t="s">
        <v>43</v>
      </c>
      <c r="E840" t="s">
        <v>26</v>
      </c>
      <c r="F840" s="2" t="s">
        <v>32</v>
      </c>
      <c r="G840" t="s">
        <v>28</v>
      </c>
      <c r="H840" s="3">
        <v>0.22</v>
      </c>
      <c r="I840" s="2" t="s">
        <v>42</v>
      </c>
      <c r="J840" s="3">
        <v>0.2727</v>
      </c>
      <c r="K840" s="3">
        <v>0.8</v>
      </c>
      <c r="L840" s="3">
        <v>0</v>
      </c>
      <c r="M840">
        <v>3</v>
      </c>
      <c r="N840">
        <v>115</v>
      </c>
      <c r="O840">
        <v>118</v>
      </c>
    </row>
    <row r="841" spans="1:15" x14ac:dyDescent="0.3">
      <c r="A841">
        <v>840</v>
      </c>
      <c r="B841" s="1">
        <v>40581</v>
      </c>
      <c r="C841">
        <v>10</v>
      </c>
      <c r="D841" s="2" t="s">
        <v>43</v>
      </c>
      <c r="E841" t="s">
        <v>26</v>
      </c>
      <c r="F841" s="2" t="s">
        <v>32</v>
      </c>
      <c r="G841" t="s">
        <v>28</v>
      </c>
      <c r="H841" s="3">
        <v>0.24</v>
      </c>
      <c r="I841" s="2" t="s">
        <v>42</v>
      </c>
      <c r="J841" s="3">
        <v>0.2576</v>
      </c>
      <c r="K841" s="3">
        <v>0.75</v>
      </c>
      <c r="L841" s="3">
        <v>0.1045</v>
      </c>
      <c r="M841">
        <v>6</v>
      </c>
      <c r="N841">
        <v>49</v>
      </c>
      <c r="O841">
        <v>55</v>
      </c>
    </row>
    <row r="842" spans="1:15" x14ac:dyDescent="0.3">
      <c r="A842">
        <v>841</v>
      </c>
      <c r="B842" s="1">
        <v>40581</v>
      </c>
      <c r="C842">
        <v>11</v>
      </c>
      <c r="D842" s="2" t="s">
        <v>43</v>
      </c>
      <c r="E842" t="s">
        <v>26</v>
      </c>
      <c r="F842" s="2" t="s">
        <v>32</v>
      </c>
      <c r="G842" t="s">
        <v>28</v>
      </c>
      <c r="H842" s="3">
        <v>0.3</v>
      </c>
      <c r="I842" s="2" t="s">
        <v>42</v>
      </c>
      <c r="J842" s="3">
        <v>0.31819999999999998</v>
      </c>
      <c r="K842" s="3">
        <v>0.65</v>
      </c>
      <c r="L842" s="3">
        <v>8.9599999999999999E-2</v>
      </c>
      <c r="M842">
        <v>11</v>
      </c>
      <c r="N842">
        <v>36</v>
      </c>
      <c r="O842">
        <v>47</v>
      </c>
    </row>
    <row r="843" spans="1:15" hidden="1" x14ac:dyDescent="0.3">
      <c r="A843">
        <v>842</v>
      </c>
      <c r="B843" s="1">
        <v>40581</v>
      </c>
      <c r="C843">
        <v>12</v>
      </c>
      <c r="D843" s="2" t="s">
        <v>45</v>
      </c>
      <c r="E843" t="s">
        <v>26</v>
      </c>
      <c r="F843" s="2" t="s">
        <v>32</v>
      </c>
      <c r="G843" t="s">
        <v>29</v>
      </c>
      <c r="H843" s="3">
        <v>0.32</v>
      </c>
      <c r="I843" s="2" t="s">
        <v>42</v>
      </c>
      <c r="J843" s="3">
        <v>0.34849999999999998</v>
      </c>
      <c r="K843" s="3">
        <v>0.62</v>
      </c>
      <c r="L843" s="3">
        <v>0</v>
      </c>
      <c r="M843">
        <v>7</v>
      </c>
      <c r="N843">
        <v>59</v>
      </c>
      <c r="O843">
        <v>66</v>
      </c>
    </row>
    <row r="844" spans="1:15" hidden="1" x14ac:dyDescent="0.3">
      <c r="A844">
        <v>843</v>
      </c>
      <c r="B844" s="1">
        <v>40581</v>
      </c>
      <c r="C844">
        <v>13</v>
      </c>
      <c r="D844" s="2" t="s">
        <v>45</v>
      </c>
      <c r="E844" t="s">
        <v>26</v>
      </c>
      <c r="F844" s="2" t="s">
        <v>32</v>
      </c>
      <c r="G844" t="s">
        <v>29</v>
      </c>
      <c r="H844" s="3">
        <v>0.36</v>
      </c>
      <c r="I844" s="2" t="s">
        <v>42</v>
      </c>
      <c r="J844" s="3">
        <v>0.36359999999999998</v>
      </c>
      <c r="K844" s="3">
        <v>0.56999999999999995</v>
      </c>
      <c r="L844" s="3">
        <v>8.9599999999999999E-2</v>
      </c>
      <c r="M844">
        <v>10</v>
      </c>
      <c r="N844">
        <v>54</v>
      </c>
      <c r="O844">
        <v>64</v>
      </c>
    </row>
    <row r="845" spans="1:15" hidden="1" x14ac:dyDescent="0.3">
      <c r="A845">
        <v>844</v>
      </c>
      <c r="B845" s="1">
        <v>40581</v>
      </c>
      <c r="C845">
        <v>14</v>
      </c>
      <c r="D845" s="2" t="s">
        <v>45</v>
      </c>
      <c r="E845" t="s">
        <v>26</v>
      </c>
      <c r="F845" s="2" t="s">
        <v>32</v>
      </c>
      <c r="G845" t="s">
        <v>29</v>
      </c>
      <c r="H845" s="3">
        <v>0.36</v>
      </c>
      <c r="I845" s="2" t="s">
        <v>42</v>
      </c>
      <c r="J845" s="3">
        <v>0.36359999999999998</v>
      </c>
      <c r="K845" s="3">
        <v>0.56999999999999995</v>
      </c>
      <c r="L845" s="3">
        <v>8.9599999999999999E-2</v>
      </c>
      <c r="M845">
        <v>8</v>
      </c>
      <c r="N845">
        <v>52</v>
      </c>
      <c r="O845">
        <v>60</v>
      </c>
    </row>
    <row r="846" spans="1:15" hidden="1" x14ac:dyDescent="0.3">
      <c r="A846">
        <v>845</v>
      </c>
      <c r="B846" s="1">
        <v>40581</v>
      </c>
      <c r="C846">
        <v>15</v>
      </c>
      <c r="D846" s="2" t="s">
        <v>45</v>
      </c>
      <c r="E846" t="s">
        <v>26</v>
      </c>
      <c r="F846" s="2" t="s">
        <v>32</v>
      </c>
      <c r="G846" t="s">
        <v>29</v>
      </c>
      <c r="H846" s="3">
        <v>0.38</v>
      </c>
      <c r="I846" s="2" t="s">
        <v>42</v>
      </c>
      <c r="J846" s="3">
        <v>0.39389999999999997</v>
      </c>
      <c r="K846" s="3">
        <v>0.54</v>
      </c>
      <c r="L846" s="3">
        <v>8.9599999999999999E-2</v>
      </c>
      <c r="M846">
        <v>4</v>
      </c>
      <c r="N846">
        <v>46</v>
      </c>
      <c r="O846">
        <v>50</v>
      </c>
    </row>
    <row r="847" spans="1:15" hidden="1" x14ac:dyDescent="0.3">
      <c r="A847">
        <v>846</v>
      </c>
      <c r="B847" s="1">
        <v>40581</v>
      </c>
      <c r="C847">
        <v>16</v>
      </c>
      <c r="D847" s="2" t="s">
        <v>45</v>
      </c>
      <c r="E847" t="s">
        <v>26</v>
      </c>
      <c r="F847" s="2" t="s">
        <v>32</v>
      </c>
      <c r="G847" t="s">
        <v>29</v>
      </c>
      <c r="H847" s="3">
        <v>0.36</v>
      </c>
      <c r="I847" s="2" t="s">
        <v>42</v>
      </c>
      <c r="J847" s="3">
        <v>0.34849999999999998</v>
      </c>
      <c r="K847" s="3">
        <v>0.56999999999999995</v>
      </c>
      <c r="L847" s="3">
        <v>0.1343</v>
      </c>
      <c r="M847">
        <v>16</v>
      </c>
      <c r="N847">
        <v>98</v>
      </c>
      <c r="O847">
        <v>114</v>
      </c>
    </row>
    <row r="848" spans="1:15" hidden="1" x14ac:dyDescent="0.3">
      <c r="A848">
        <v>847</v>
      </c>
      <c r="B848" s="1">
        <v>40581</v>
      </c>
      <c r="C848">
        <v>17</v>
      </c>
      <c r="D848" s="2" t="s">
        <v>47</v>
      </c>
      <c r="E848" t="s">
        <v>26</v>
      </c>
      <c r="F848" s="2" t="s">
        <v>32</v>
      </c>
      <c r="G848" t="s">
        <v>29</v>
      </c>
      <c r="H848" s="3">
        <v>0.32</v>
      </c>
      <c r="I848" s="2" t="s">
        <v>42</v>
      </c>
      <c r="J848" s="3">
        <v>0.31819999999999998</v>
      </c>
      <c r="K848" s="3">
        <v>0.7</v>
      </c>
      <c r="L848" s="3">
        <v>0.16420000000000001</v>
      </c>
      <c r="M848">
        <v>9</v>
      </c>
      <c r="N848">
        <v>207</v>
      </c>
      <c r="O848">
        <v>216</v>
      </c>
    </row>
    <row r="849" spans="1:15" hidden="1" x14ac:dyDescent="0.3">
      <c r="A849">
        <v>848</v>
      </c>
      <c r="B849" s="1">
        <v>40581</v>
      </c>
      <c r="C849">
        <v>18</v>
      </c>
      <c r="D849" s="2" t="s">
        <v>47</v>
      </c>
      <c r="E849" t="s">
        <v>26</v>
      </c>
      <c r="F849" s="2" t="s">
        <v>32</v>
      </c>
      <c r="G849" t="s">
        <v>29</v>
      </c>
      <c r="H849" s="3">
        <v>0.34</v>
      </c>
      <c r="I849" s="2" t="s">
        <v>42</v>
      </c>
      <c r="J849" s="3">
        <v>0.33329999999999999</v>
      </c>
      <c r="K849" s="3">
        <v>0.66</v>
      </c>
      <c r="L849" s="3">
        <v>0.1343</v>
      </c>
      <c r="M849">
        <v>5</v>
      </c>
      <c r="N849">
        <v>170</v>
      </c>
      <c r="O849">
        <v>175</v>
      </c>
    </row>
    <row r="850" spans="1:15" hidden="1" x14ac:dyDescent="0.3">
      <c r="A850">
        <v>849</v>
      </c>
      <c r="B850" s="1">
        <v>40581</v>
      </c>
      <c r="C850">
        <v>19</v>
      </c>
      <c r="D850" s="2" t="s">
        <v>47</v>
      </c>
      <c r="E850" t="s">
        <v>26</v>
      </c>
      <c r="F850" s="2" t="s">
        <v>32</v>
      </c>
      <c r="G850" t="s">
        <v>29</v>
      </c>
      <c r="H850" s="3">
        <v>0.32</v>
      </c>
      <c r="I850" s="2" t="s">
        <v>42</v>
      </c>
      <c r="J850" s="3">
        <v>0.34849999999999998</v>
      </c>
      <c r="K850" s="3">
        <v>0.7</v>
      </c>
      <c r="L850" s="3">
        <v>0</v>
      </c>
      <c r="M850">
        <v>5</v>
      </c>
      <c r="N850">
        <v>123</v>
      </c>
      <c r="O850">
        <v>128</v>
      </c>
    </row>
    <row r="851" spans="1:15" hidden="1" x14ac:dyDescent="0.3">
      <c r="A851">
        <v>850</v>
      </c>
      <c r="B851" s="1">
        <v>40581</v>
      </c>
      <c r="C851">
        <v>20</v>
      </c>
      <c r="D851" s="2" t="s">
        <v>47</v>
      </c>
      <c r="E851" t="s">
        <v>26</v>
      </c>
      <c r="F851" s="2" t="s">
        <v>32</v>
      </c>
      <c r="G851" t="s">
        <v>29</v>
      </c>
      <c r="H851" s="3">
        <v>0.32</v>
      </c>
      <c r="I851" s="2" t="s">
        <v>42</v>
      </c>
      <c r="J851" s="3">
        <v>0.33329999999999999</v>
      </c>
      <c r="K851" s="3">
        <v>0.7</v>
      </c>
      <c r="L851" s="3">
        <v>0.1045</v>
      </c>
      <c r="M851">
        <v>6</v>
      </c>
      <c r="N851">
        <v>82</v>
      </c>
      <c r="O851">
        <v>88</v>
      </c>
    </row>
    <row r="852" spans="1:15" hidden="1" x14ac:dyDescent="0.3">
      <c r="A852">
        <v>851</v>
      </c>
      <c r="B852" s="1">
        <v>40581</v>
      </c>
      <c r="C852">
        <v>21</v>
      </c>
      <c r="D852" s="2" t="s">
        <v>41</v>
      </c>
      <c r="E852" t="s">
        <v>26</v>
      </c>
      <c r="F852" s="2" t="s">
        <v>32</v>
      </c>
      <c r="G852" t="s">
        <v>28</v>
      </c>
      <c r="H852" s="3">
        <v>0.32</v>
      </c>
      <c r="I852" s="2" t="s">
        <v>42</v>
      </c>
      <c r="J852" s="3">
        <v>0.34849999999999998</v>
      </c>
      <c r="K852" s="3">
        <v>0.7</v>
      </c>
      <c r="L852" s="3">
        <v>0</v>
      </c>
      <c r="M852">
        <v>3</v>
      </c>
      <c r="N852">
        <v>75</v>
      </c>
      <c r="O852">
        <v>78</v>
      </c>
    </row>
    <row r="853" spans="1:15" hidden="1" x14ac:dyDescent="0.3">
      <c r="A853">
        <v>852</v>
      </c>
      <c r="B853" s="1">
        <v>40581</v>
      </c>
      <c r="C853">
        <v>22</v>
      </c>
      <c r="D853" s="2" t="s">
        <v>41</v>
      </c>
      <c r="E853" t="s">
        <v>26</v>
      </c>
      <c r="F853" s="2" t="s">
        <v>32</v>
      </c>
      <c r="G853" t="s">
        <v>28</v>
      </c>
      <c r="H853" s="3">
        <v>0.28000000000000003</v>
      </c>
      <c r="I853" s="2" t="s">
        <v>42</v>
      </c>
      <c r="J853" s="3">
        <v>0.30299999999999999</v>
      </c>
      <c r="K853" s="3">
        <v>0.81</v>
      </c>
      <c r="L853" s="3">
        <v>8.9599999999999999E-2</v>
      </c>
      <c r="M853">
        <v>3</v>
      </c>
      <c r="N853">
        <v>34</v>
      </c>
      <c r="O853">
        <v>37</v>
      </c>
    </row>
    <row r="854" spans="1:15" hidden="1" x14ac:dyDescent="0.3">
      <c r="A854">
        <v>853</v>
      </c>
      <c r="B854" s="1">
        <v>40581</v>
      </c>
      <c r="C854">
        <v>23</v>
      </c>
      <c r="D854" s="2" t="s">
        <v>41</v>
      </c>
      <c r="E854" t="s">
        <v>26</v>
      </c>
      <c r="F854" s="2" t="s">
        <v>32</v>
      </c>
      <c r="G854" t="s">
        <v>29</v>
      </c>
      <c r="H854" s="3">
        <v>0.3</v>
      </c>
      <c r="I854" s="2" t="s">
        <v>42</v>
      </c>
      <c r="J854" s="3">
        <v>0.33329999999999999</v>
      </c>
      <c r="K854" s="3">
        <v>0.81</v>
      </c>
      <c r="L854" s="3">
        <v>0</v>
      </c>
      <c r="M854">
        <v>6</v>
      </c>
      <c r="N854">
        <v>19</v>
      </c>
      <c r="O854">
        <v>25</v>
      </c>
    </row>
    <row r="855" spans="1:15" hidden="1" x14ac:dyDescent="0.3">
      <c r="A855">
        <v>854</v>
      </c>
      <c r="B855" s="1">
        <v>40582</v>
      </c>
      <c r="C855">
        <v>0</v>
      </c>
      <c r="D855" s="2" t="s">
        <v>41</v>
      </c>
      <c r="E855" t="s">
        <v>26</v>
      </c>
      <c r="F855" s="2" t="s">
        <v>33</v>
      </c>
      <c r="G855" t="s">
        <v>29</v>
      </c>
      <c r="H855" s="3">
        <v>0.28000000000000003</v>
      </c>
      <c r="I855" s="2" t="s">
        <v>42</v>
      </c>
      <c r="J855" s="3">
        <v>0.31819999999999998</v>
      </c>
      <c r="K855" s="3">
        <v>0.87</v>
      </c>
      <c r="L855" s="3">
        <v>0</v>
      </c>
      <c r="M855">
        <v>4</v>
      </c>
      <c r="N855">
        <v>6</v>
      </c>
      <c r="O855">
        <v>10</v>
      </c>
    </row>
    <row r="856" spans="1:15" hidden="1" x14ac:dyDescent="0.3">
      <c r="A856">
        <v>855</v>
      </c>
      <c r="B856" s="1">
        <v>40582</v>
      </c>
      <c r="C856">
        <v>1</v>
      </c>
      <c r="D856" s="2" t="s">
        <v>41</v>
      </c>
      <c r="E856" t="s">
        <v>26</v>
      </c>
      <c r="F856" s="2" t="s">
        <v>33</v>
      </c>
      <c r="G856" t="s">
        <v>29</v>
      </c>
      <c r="H856" s="3">
        <v>0.28000000000000003</v>
      </c>
      <c r="I856" s="2" t="s">
        <v>42</v>
      </c>
      <c r="J856" s="3">
        <v>0.31819999999999998</v>
      </c>
      <c r="K856" s="3">
        <v>0.87</v>
      </c>
      <c r="L856" s="3">
        <v>0</v>
      </c>
      <c r="M856">
        <v>0</v>
      </c>
      <c r="N856">
        <v>4</v>
      </c>
      <c r="O856">
        <v>4</v>
      </c>
    </row>
    <row r="857" spans="1:15" hidden="1" x14ac:dyDescent="0.3">
      <c r="A857">
        <v>856</v>
      </c>
      <c r="B857" s="1">
        <v>40582</v>
      </c>
      <c r="C857">
        <v>2</v>
      </c>
      <c r="D857" s="2" t="s">
        <v>41</v>
      </c>
      <c r="E857" t="s">
        <v>26</v>
      </c>
      <c r="F857" s="2" t="s">
        <v>33</v>
      </c>
      <c r="G857" t="s">
        <v>29</v>
      </c>
      <c r="H857" s="3">
        <v>0.26</v>
      </c>
      <c r="I857" s="2" t="s">
        <v>42</v>
      </c>
      <c r="J857" s="3">
        <v>0.2727</v>
      </c>
      <c r="K857" s="3">
        <v>0.93</v>
      </c>
      <c r="L857" s="3">
        <v>0.1045</v>
      </c>
      <c r="M857">
        <v>1</v>
      </c>
      <c r="N857">
        <v>1</v>
      </c>
      <c r="O857">
        <v>2</v>
      </c>
    </row>
    <row r="858" spans="1:15" hidden="1" x14ac:dyDescent="0.3">
      <c r="A858">
        <v>857</v>
      </c>
      <c r="B858" s="1">
        <v>40582</v>
      </c>
      <c r="C858">
        <v>3</v>
      </c>
      <c r="D858" s="2" t="s">
        <v>41</v>
      </c>
      <c r="E858" t="s">
        <v>26</v>
      </c>
      <c r="F858" s="2" t="s">
        <v>33</v>
      </c>
      <c r="G858" t="s">
        <v>30</v>
      </c>
      <c r="H858" s="3">
        <v>0.28000000000000003</v>
      </c>
      <c r="I858" s="2" t="s">
        <v>42</v>
      </c>
      <c r="J858" s="3">
        <v>0.2727</v>
      </c>
      <c r="K858" s="3">
        <v>0.93</v>
      </c>
      <c r="L858" s="3">
        <v>0.16420000000000001</v>
      </c>
      <c r="M858">
        <v>0</v>
      </c>
      <c r="N858">
        <v>1</v>
      </c>
      <c r="O858">
        <v>1</v>
      </c>
    </row>
    <row r="859" spans="1:15" hidden="1" x14ac:dyDescent="0.3">
      <c r="A859">
        <v>858</v>
      </c>
      <c r="B859" s="1">
        <v>40582</v>
      </c>
      <c r="C859">
        <v>4</v>
      </c>
      <c r="D859" s="2" t="s">
        <v>41</v>
      </c>
      <c r="E859" t="s">
        <v>26</v>
      </c>
      <c r="F859" s="2" t="s">
        <v>33</v>
      </c>
      <c r="G859" t="s">
        <v>28</v>
      </c>
      <c r="H859" s="3">
        <v>0.26</v>
      </c>
      <c r="I859" s="2" t="s">
        <v>42</v>
      </c>
      <c r="J859" s="3">
        <v>0.2576</v>
      </c>
      <c r="K859" s="3">
        <v>0.93</v>
      </c>
      <c r="L859" s="3">
        <v>0.16420000000000001</v>
      </c>
      <c r="M859">
        <v>0</v>
      </c>
      <c r="N859">
        <v>3</v>
      </c>
      <c r="O859">
        <v>3</v>
      </c>
    </row>
    <row r="860" spans="1:15" x14ac:dyDescent="0.3">
      <c r="A860">
        <v>859</v>
      </c>
      <c r="B860" s="1">
        <v>40582</v>
      </c>
      <c r="C860">
        <v>5</v>
      </c>
      <c r="D860" s="2" t="s">
        <v>43</v>
      </c>
      <c r="E860" t="s">
        <v>26</v>
      </c>
      <c r="F860" s="2" t="s">
        <v>33</v>
      </c>
      <c r="G860" t="s">
        <v>28</v>
      </c>
      <c r="H860" s="3">
        <v>0.26</v>
      </c>
      <c r="I860" s="2" t="s">
        <v>42</v>
      </c>
      <c r="J860" s="3">
        <v>0.2273</v>
      </c>
      <c r="K860" s="3">
        <v>0.81</v>
      </c>
      <c r="L860" s="3">
        <v>0.32840000000000003</v>
      </c>
      <c r="M860">
        <v>0</v>
      </c>
      <c r="N860">
        <v>2</v>
      </c>
      <c r="O860">
        <v>2</v>
      </c>
    </row>
    <row r="861" spans="1:15" x14ac:dyDescent="0.3">
      <c r="A861">
        <v>860</v>
      </c>
      <c r="B861" s="1">
        <v>40582</v>
      </c>
      <c r="C861">
        <v>6</v>
      </c>
      <c r="D861" s="2" t="s">
        <v>43</v>
      </c>
      <c r="E861" t="s">
        <v>26</v>
      </c>
      <c r="F861" s="2" t="s">
        <v>33</v>
      </c>
      <c r="G861" t="s">
        <v>28</v>
      </c>
      <c r="H861" s="3">
        <v>0.26</v>
      </c>
      <c r="I861" s="2" t="s">
        <v>42</v>
      </c>
      <c r="J861" s="3">
        <v>0.2273</v>
      </c>
      <c r="K861" s="3">
        <v>0.7</v>
      </c>
      <c r="L861" s="3">
        <v>0.32840000000000003</v>
      </c>
      <c r="M861">
        <v>0</v>
      </c>
      <c r="N861">
        <v>39</v>
      </c>
      <c r="O861">
        <v>39</v>
      </c>
    </row>
    <row r="862" spans="1:15" x14ac:dyDescent="0.3">
      <c r="A862">
        <v>861</v>
      </c>
      <c r="B862" s="1">
        <v>40582</v>
      </c>
      <c r="C862">
        <v>7</v>
      </c>
      <c r="D862" s="2" t="s">
        <v>43</v>
      </c>
      <c r="E862" t="s">
        <v>26</v>
      </c>
      <c r="F862" s="2" t="s">
        <v>33</v>
      </c>
      <c r="G862" t="s">
        <v>28</v>
      </c>
      <c r="H862" s="3">
        <v>0.24</v>
      </c>
      <c r="I862" s="2" t="s">
        <v>42</v>
      </c>
      <c r="J862" s="3">
        <v>0.19700000000000001</v>
      </c>
      <c r="K862" s="3">
        <v>0.65</v>
      </c>
      <c r="L862" s="3">
        <v>0.41789999999999999</v>
      </c>
      <c r="M862">
        <v>3</v>
      </c>
      <c r="N862">
        <v>97</v>
      </c>
      <c r="O862">
        <v>100</v>
      </c>
    </row>
    <row r="863" spans="1:15" x14ac:dyDescent="0.3">
      <c r="A863">
        <v>862</v>
      </c>
      <c r="B863" s="1">
        <v>40582</v>
      </c>
      <c r="C863">
        <v>8</v>
      </c>
      <c r="D863" s="2" t="s">
        <v>43</v>
      </c>
      <c r="E863" t="s">
        <v>26</v>
      </c>
      <c r="F863" s="2" t="s">
        <v>33</v>
      </c>
      <c r="G863" t="s">
        <v>28</v>
      </c>
      <c r="H863" s="3">
        <v>0.24</v>
      </c>
      <c r="I863" s="2" t="s">
        <v>42</v>
      </c>
      <c r="J863" s="3">
        <v>0.19700000000000001</v>
      </c>
      <c r="K863" s="3">
        <v>0.56000000000000005</v>
      </c>
      <c r="L863" s="3">
        <v>0.49249999999999999</v>
      </c>
      <c r="M863">
        <v>7</v>
      </c>
      <c r="N863">
        <v>236</v>
      </c>
      <c r="O863">
        <v>243</v>
      </c>
    </row>
    <row r="864" spans="1:15" x14ac:dyDescent="0.3">
      <c r="A864">
        <v>863</v>
      </c>
      <c r="B864" s="1">
        <v>40582</v>
      </c>
      <c r="C864">
        <v>9</v>
      </c>
      <c r="D864" s="2" t="s">
        <v>43</v>
      </c>
      <c r="E864" t="s">
        <v>26</v>
      </c>
      <c r="F864" s="2" t="s">
        <v>33</v>
      </c>
      <c r="G864" t="s">
        <v>28</v>
      </c>
      <c r="H864" s="3">
        <v>0.24</v>
      </c>
      <c r="I864" s="2" t="s">
        <v>42</v>
      </c>
      <c r="J864" s="3">
        <v>0.19700000000000001</v>
      </c>
      <c r="K864" s="3">
        <v>0.52</v>
      </c>
      <c r="L864" s="3">
        <v>0.49249999999999999</v>
      </c>
      <c r="M864">
        <v>7</v>
      </c>
      <c r="N864">
        <v>128</v>
      </c>
      <c r="O864">
        <v>135</v>
      </c>
    </row>
    <row r="865" spans="1:15" x14ac:dyDescent="0.3">
      <c r="A865">
        <v>864</v>
      </c>
      <c r="B865" s="1">
        <v>40582</v>
      </c>
      <c r="C865">
        <v>10</v>
      </c>
      <c r="D865" s="2" t="s">
        <v>43</v>
      </c>
      <c r="E865" t="s">
        <v>26</v>
      </c>
      <c r="F865" s="2" t="s">
        <v>33</v>
      </c>
      <c r="G865" t="s">
        <v>28</v>
      </c>
      <c r="H865" s="3">
        <v>0.22</v>
      </c>
      <c r="I865" s="2" t="s">
        <v>42</v>
      </c>
      <c r="J865" s="3">
        <v>0.18179999999999999</v>
      </c>
      <c r="K865" s="3">
        <v>0.47</v>
      </c>
      <c r="L865" s="3">
        <v>0.55220000000000002</v>
      </c>
      <c r="M865">
        <v>4</v>
      </c>
      <c r="N865">
        <v>44</v>
      </c>
      <c r="O865">
        <v>48</v>
      </c>
    </row>
    <row r="866" spans="1:15" x14ac:dyDescent="0.3">
      <c r="A866">
        <v>865</v>
      </c>
      <c r="B866" s="1">
        <v>40582</v>
      </c>
      <c r="C866">
        <v>11</v>
      </c>
      <c r="D866" s="2" t="s">
        <v>43</v>
      </c>
      <c r="E866" t="s">
        <v>26</v>
      </c>
      <c r="F866" s="2" t="s">
        <v>33</v>
      </c>
      <c r="G866" t="s">
        <v>28</v>
      </c>
      <c r="H866" s="3">
        <v>0.22</v>
      </c>
      <c r="I866" s="2" t="s">
        <v>42</v>
      </c>
      <c r="J866" s="3">
        <v>0.18179999999999999</v>
      </c>
      <c r="K866" s="3">
        <v>0.47</v>
      </c>
      <c r="L866" s="3">
        <v>0.4627</v>
      </c>
      <c r="M866">
        <v>1</v>
      </c>
      <c r="N866">
        <v>49</v>
      </c>
      <c r="O866">
        <v>50</v>
      </c>
    </row>
    <row r="867" spans="1:15" hidden="1" x14ac:dyDescent="0.3">
      <c r="A867">
        <v>866</v>
      </c>
      <c r="B867" s="1">
        <v>40582</v>
      </c>
      <c r="C867">
        <v>12</v>
      </c>
      <c r="D867" s="2" t="s">
        <v>45</v>
      </c>
      <c r="E867" t="s">
        <v>26</v>
      </c>
      <c r="F867" s="2" t="s">
        <v>33</v>
      </c>
      <c r="G867" t="s">
        <v>28</v>
      </c>
      <c r="H867" s="3">
        <v>0.24</v>
      </c>
      <c r="I867" s="2" t="s">
        <v>42</v>
      </c>
      <c r="J867" s="3">
        <v>0.19700000000000001</v>
      </c>
      <c r="K867" s="3">
        <v>0.38</v>
      </c>
      <c r="L867" s="3">
        <v>0.49249999999999999</v>
      </c>
      <c r="M867">
        <v>2</v>
      </c>
      <c r="N867">
        <v>63</v>
      </c>
      <c r="O867">
        <v>65</v>
      </c>
    </row>
    <row r="868" spans="1:15" hidden="1" x14ac:dyDescent="0.3">
      <c r="A868">
        <v>867</v>
      </c>
      <c r="B868" s="1">
        <v>40582</v>
      </c>
      <c r="C868">
        <v>13</v>
      </c>
      <c r="D868" s="2" t="s">
        <v>45</v>
      </c>
      <c r="E868" t="s">
        <v>26</v>
      </c>
      <c r="F868" s="2" t="s">
        <v>33</v>
      </c>
      <c r="G868" t="s">
        <v>29</v>
      </c>
      <c r="H868" s="3">
        <v>0.24</v>
      </c>
      <c r="I868" s="2" t="s">
        <v>42</v>
      </c>
      <c r="J868" s="3">
        <v>0.19700000000000001</v>
      </c>
      <c r="K868" s="3">
        <v>0.32</v>
      </c>
      <c r="L868" s="3">
        <v>0.44779999999999998</v>
      </c>
      <c r="M868">
        <v>2</v>
      </c>
      <c r="N868">
        <v>48</v>
      </c>
      <c r="O868">
        <v>50</v>
      </c>
    </row>
    <row r="869" spans="1:15" hidden="1" x14ac:dyDescent="0.3">
      <c r="A869">
        <v>868</v>
      </c>
      <c r="B869" s="1">
        <v>40582</v>
      </c>
      <c r="C869">
        <v>14</v>
      </c>
      <c r="D869" s="2" t="s">
        <v>45</v>
      </c>
      <c r="E869" t="s">
        <v>26</v>
      </c>
      <c r="F869" s="2" t="s">
        <v>33</v>
      </c>
      <c r="G869" t="s">
        <v>28</v>
      </c>
      <c r="H869" s="3">
        <v>0.22</v>
      </c>
      <c r="I869" s="2" t="s">
        <v>42</v>
      </c>
      <c r="J869" s="3">
        <v>0.19700000000000001</v>
      </c>
      <c r="K869" s="3">
        <v>0.37</v>
      </c>
      <c r="L869" s="3">
        <v>0.41789999999999999</v>
      </c>
      <c r="M869">
        <v>3</v>
      </c>
      <c r="N869">
        <v>61</v>
      </c>
      <c r="O869">
        <v>64</v>
      </c>
    </row>
    <row r="870" spans="1:15" hidden="1" x14ac:dyDescent="0.3">
      <c r="A870">
        <v>869</v>
      </c>
      <c r="B870" s="1">
        <v>40582</v>
      </c>
      <c r="C870">
        <v>15</v>
      </c>
      <c r="D870" s="2" t="s">
        <v>45</v>
      </c>
      <c r="E870" t="s">
        <v>26</v>
      </c>
      <c r="F870" s="2" t="s">
        <v>33</v>
      </c>
      <c r="G870" t="s">
        <v>28</v>
      </c>
      <c r="H870" s="3">
        <v>0.22</v>
      </c>
      <c r="I870" s="2" t="s">
        <v>42</v>
      </c>
      <c r="J870" s="3">
        <v>0.19700000000000001</v>
      </c>
      <c r="K870" s="3">
        <v>0.35</v>
      </c>
      <c r="L870" s="3">
        <v>0.3881</v>
      </c>
      <c r="M870">
        <v>6</v>
      </c>
      <c r="N870">
        <v>45</v>
      </c>
      <c r="O870">
        <v>51</v>
      </c>
    </row>
    <row r="871" spans="1:15" hidden="1" x14ac:dyDescent="0.3">
      <c r="A871">
        <v>870</v>
      </c>
      <c r="B871" s="1">
        <v>40582</v>
      </c>
      <c r="C871">
        <v>16</v>
      </c>
      <c r="D871" s="2" t="s">
        <v>45</v>
      </c>
      <c r="E871" t="s">
        <v>26</v>
      </c>
      <c r="F871" s="2" t="s">
        <v>33</v>
      </c>
      <c r="G871" t="s">
        <v>28</v>
      </c>
      <c r="H871" s="3">
        <v>0.22</v>
      </c>
      <c r="I871" s="2" t="s">
        <v>42</v>
      </c>
      <c r="J871" s="3">
        <v>0.18179999999999999</v>
      </c>
      <c r="K871" s="3">
        <v>0.35</v>
      </c>
      <c r="L871" s="3">
        <v>0.52239999999999998</v>
      </c>
      <c r="M871">
        <v>4</v>
      </c>
      <c r="N871">
        <v>79</v>
      </c>
      <c r="O871">
        <v>83</v>
      </c>
    </row>
    <row r="872" spans="1:15" hidden="1" x14ac:dyDescent="0.3">
      <c r="A872">
        <v>871</v>
      </c>
      <c r="B872" s="1">
        <v>40582</v>
      </c>
      <c r="C872">
        <v>17</v>
      </c>
      <c r="D872" s="2" t="s">
        <v>47</v>
      </c>
      <c r="E872" t="s">
        <v>26</v>
      </c>
      <c r="F872" s="2" t="s">
        <v>33</v>
      </c>
      <c r="G872" t="s">
        <v>28</v>
      </c>
      <c r="H872" s="3">
        <v>0.22</v>
      </c>
      <c r="I872" s="2" t="s">
        <v>42</v>
      </c>
      <c r="J872" s="3">
        <v>0.18179999999999999</v>
      </c>
      <c r="K872" s="3">
        <v>0.32</v>
      </c>
      <c r="L872" s="3">
        <v>0.58209999999999995</v>
      </c>
      <c r="M872">
        <v>4</v>
      </c>
      <c r="N872">
        <v>172</v>
      </c>
      <c r="O872">
        <v>176</v>
      </c>
    </row>
    <row r="873" spans="1:15" hidden="1" x14ac:dyDescent="0.3">
      <c r="A873">
        <v>872</v>
      </c>
      <c r="B873" s="1">
        <v>40582</v>
      </c>
      <c r="C873">
        <v>18</v>
      </c>
      <c r="D873" s="2" t="s">
        <v>47</v>
      </c>
      <c r="E873" t="s">
        <v>26</v>
      </c>
      <c r="F873" s="2" t="s">
        <v>33</v>
      </c>
      <c r="G873" t="s">
        <v>28</v>
      </c>
      <c r="H873" s="3">
        <v>0.2</v>
      </c>
      <c r="I873" s="2" t="s">
        <v>44</v>
      </c>
      <c r="J873" s="3">
        <v>0.18179999999999999</v>
      </c>
      <c r="K873" s="3">
        <v>0.32</v>
      </c>
      <c r="L873" s="3">
        <v>0.3881</v>
      </c>
      <c r="M873">
        <v>1</v>
      </c>
      <c r="N873">
        <v>151</v>
      </c>
      <c r="O873">
        <v>152</v>
      </c>
    </row>
    <row r="874" spans="1:15" hidden="1" x14ac:dyDescent="0.3">
      <c r="A874">
        <v>873</v>
      </c>
      <c r="B874" s="1">
        <v>40582</v>
      </c>
      <c r="C874">
        <v>19</v>
      </c>
      <c r="D874" s="2" t="s">
        <v>47</v>
      </c>
      <c r="E874" t="s">
        <v>26</v>
      </c>
      <c r="F874" s="2" t="s">
        <v>33</v>
      </c>
      <c r="G874" t="s">
        <v>28</v>
      </c>
      <c r="H874" s="3">
        <v>0.16</v>
      </c>
      <c r="I874" s="2" t="s">
        <v>44</v>
      </c>
      <c r="J874" s="3">
        <v>0.1212</v>
      </c>
      <c r="K874" s="3">
        <v>0.4</v>
      </c>
      <c r="L874" s="3">
        <v>0.4627</v>
      </c>
      <c r="M874">
        <v>1</v>
      </c>
      <c r="N874">
        <v>100</v>
      </c>
      <c r="O874">
        <v>101</v>
      </c>
    </row>
    <row r="875" spans="1:15" hidden="1" x14ac:dyDescent="0.3">
      <c r="A875">
        <v>874</v>
      </c>
      <c r="B875" s="1">
        <v>40582</v>
      </c>
      <c r="C875">
        <v>20</v>
      </c>
      <c r="D875" s="2" t="s">
        <v>47</v>
      </c>
      <c r="E875" t="s">
        <v>26</v>
      </c>
      <c r="F875" s="2" t="s">
        <v>33</v>
      </c>
      <c r="G875" t="s">
        <v>28</v>
      </c>
      <c r="H875" s="3">
        <v>0.16</v>
      </c>
      <c r="I875" s="2" t="s">
        <v>44</v>
      </c>
      <c r="J875" s="3">
        <v>0.13639999999999999</v>
      </c>
      <c r="K875" s="3">
        <v>0.4</v>
      </c>
      <c r="L875" s="3">
        <v>0.32840000000000003</v>
      </c>
      <c r="M875">
        <v>3</v>
      </c>
      <c r="N875">
        <v>53</v>
      </c>
      <c r="O875">
        <v>56</v>
      </c>
    </row>
    <row r="876" spans="1:15" hidden="1" x14ac:dyDescent="0.3">
      <c r="A876">
        <v>875</v>
      </c>
      <c r="B876" s="1">
        <v>40582</v>
      </c>
      <c r="C876">
        <v>21</v>
      </c>
      <c r="D876" s="2" t="s">
        <v>41</v>
      </c>
      <c r="E876" t="s">
        <v>26</v>
      </c>
      <c r="F876" s="2" t="s">
        <v>33</v>
      </c>
      <c r="G876" t="s">
        <v>28</v>
      </c>
      <c r="H876" s="3">
        <v>0.14000000000000001</v>
      </c>
      <c r="I876" s="2" t="s">
        <v>44</v>
      </c>
      <c r="J876" s="3">
        <v>0.1061</v>
      </c>
      <c r="K876" s="3">
        <v>0.33</v>
      </c>
      <c r="L876" s="3">
        <v>0.4627</v>
      </c>
      <c r="M876">
        <v>8</v>
      </c>
      <c r="N876">
        <v>46</v>
      </c>
      <c r="O876">
        <v>54</v>
      </c>
    </row>
    <row r="877" spans="1:15" hidden="1" x14ac:dyDescent="0.3">
      <c r="A877">
        <v>876</v>
      </c>
      <c r="B877" s="1">
        <v>40582</v>
      </c>
      <c r="C877">
        <v>22</v>
      </c>
      <c r="D877" s="2" t="s">
        <v>41</v>
      </c>
      <c r="E877" t="s">
        <v>26</v>
      </c>
      <c r="F877" s="2" t="s">
        <v>33</v>
      </c>
      <c r="G877" t="s">
        <v>28</v>
      </c>
      <c r="H877" s="3">
        <v>0.12</v>
      </c>
      <c r="I877" s="2" t="s">
        <v>44</v>
      </c>
      <c r="J877" s="3">
        <v>0.1061</v>
      </c>
      <c r="K877" s="3">
        <v>0.33</v>
      </c>
      <c r="L877" s="3">
        <v>0.35820000000000002</v>
      </c>
      <c r="M877">
        <v>0</v>
      </c>
      <c r="N877">
        <v>29</v>
      </c>
      <c r="O877">
        <v>29</v>
      </c>
    </row>
    <row r="878" spans="1:15" hidden="1" x14ac:dyDescent="0.3">
      <c r="A878">
        <v>877</v>
      </c>
      <c r="B878" s="1">
        <v>40582</v>
      </c>
      <c r="C878">
        <v>23</v>
      </c>
      <c r="D878" s="2" t="s">
        <v>41</v>
      </c>
      <c r="E878" t="s">
        <v>26</v>
      </c>
      <c r="F878" s="2" t="s">
        <v>33</v>
      </c>
      <c r="G878" t="s">
        <v>28</v>
      </c>
      <c r="H878" s="3">
        <v>0.12</v>
      </c>
      <c r="I878" s="2" t="s">
        <v>44</v>
      </c>
      <c r="J878" s="3">
        <v>0.1061</v>
      </c>
      <c r="K878" s="3">
        <v>0.33</v>
      </c>
      <c r="L878" s="3">
        <v>0.32840000000000003</v>
      </c>
      <c r="M878">
        <v>3</v>
      </c>
      <c r="N878">
        <v>9</v>
      </c>
      <c r="O878">
        <v>12</v>
      </c>
    </row>
    <row r="879" spans="1:15" hidden="1" x14ac:dyDescent="0.3">
      <c r="A879">
        <v>878</v>
      </c>
      <c r="B879" s="1">
        <v>40583</v>
      </c>
      <c r="C879">
        <v>0</v>
      </c>
      <c r="D879" s="2" t="s">
        <v>41</v>
      </c>
      <c r="E879" t="s">
        <v>26</v>
      </c>
      <c r="F879" s="2" t="s">
        <v>34</v>
      </c>
      <c r="G879" t="s">
        <v>28</v>
      </c>
      <c r="H879" s="3">
        <v>0.1</v>
      </c>
      <c r="I879" s="2" t="s">
        <v>44</v>
      </c>
      <c r="J879" s="3">
        <v>7.5800000000000006E-2</v>
      </c>
      <c r="K879" s="3">
        <v>0.36</v>
      </c>
      <c r="L879" s="3">
        <v>0.35820000000000002</v>
      </c>
      <c r="M879">
        <v>0</v>
      </c>
      <c r="N879">
        <v>17</v>
      </c>
      <c r="O879">
        <v>17</v>
      </c>
    </row>
    <row r="880" spans="1:15" hidden="1" x14ac:dyDescent="0.3">
      <c r="A880">
        <v>879</v>
      </c>
      <c r="B880" s="1">
        <v>40583</v>
      </c>
      <c r="C880">
        <v>1</v>
      </c>
      <c r="D880" s="2" t="s">
        <v>41</v>
      </c>
      <c r="E880" t="s">
        <v>26</v>
      </c>
      <c r="F880" s="2" t="s">
        <v>34</v>
      </c>
      <c r="G880" t="s">
        <v>28</v>
      </c>
      <c r="H880" s="3">
        <v>0.1</v>
      </c>
      <c r="I880" s="2" t="s">
        <v>44</v>
      </c>
      <c r="J880" s="3">
        <v>0.1061</v>
      </c>
      <c r="K880" s="3">
        <v>0.36</v>
      </c>
      <c r="L880" s="3">
        <v>0.22389999999999999</v>
      </c>
      <c r="M880">
        <v>0</v>
      </c>
      <c r="N880">
        <v>7</v>
      </c>
      <c r="O880">
        <v>7</v>
      </c>
    </row>
    <row r="881" spans="1:15" hidden="1" x14ac:dyDescent="0.3">
      <c r="A881">
        <v>880</v>
      </c>
      <c r="B881" s="1">
        <v>40583</v>
      </c>
      <c r="C881">
        <v>2</v>
      </c>
      <c r="D881" s="2" t="s">
        <v>41</v>
      </c>
      <c r="E881" t="s">
        <v>26</v>
      </c>
      <c r="F881" s="2" t="s">
        <v>34</v>
      </c>
      <c r="G881" t="s">
        <v>28</v>
      </c>
      <c r="H881" s="3">
        <v>0.08</v>
      </c>
      <c r="I881" s="2" t="s">
        <v>44</v>
      </c>
      <c r="J881" s="3">
        <v>7.5800000000000006E-2</v>
      </c>
      <c r="K881" s="3">
        <v>0.38</v>
      </c>
      <c r="L881" s="3">
        <v>0.28360000000000002</v>
      </c>
      <c r="M881">
        <v>1</v>
      </c>
      <c r="N881">
        <v>2</v>
      </c>
      <c r="O881">
        <v>3</v>
      </c>
    </row>
    <row r="882" spans="1:15" hidden="1" x14ac:dyDescent="0.3">
      <c r="A882">
        <v>881</v>
      </c>
      <c r="B882" s="1">
        <v>40583</v>
      </c>
      <c r="C882">
        <v>3</v>
      </c>
      <c r="D882" s="2" t="s">
        <v>41</v>
      </c>
      <c r="E882" t="s">
        <v>26</v>
      </c>
      <c r="F882" s="2" t="s">
        <v>34</v>
      </c>
      <c r="G882" t="s">
        <v>28</v>
      </c>
      <c r="H882" s="3">
        <v>0.06</v>
      </c>
      <c r="I882" s="2" t="s">
        <v>44</v>
      </c>
      <c r="J882" s="3">
        <v>7.5800000000000006E-2</v>
      </c>
      <c r="K882" s="3">
        <v>0.45</v>
      </c>
      <c r="L882" s="3">
        <v>0.1343</v>
      </c>
      <c r="M882">
        <v>0</v>
      </c>
      <c r="N882">
        <v>2</v>
      </c>
      <c r="O882">
        <v>2</v>
      </c>
    </row>
    <row r="883" spans="1:15" x14ac:dyDescent="0.3">
      <c r="A883">
        <v>882</v>
      </c>
      <c r="B883" s="1">
        <v>40583</v>
      </c>
      <c r="C883">
        <v>5</v>
      </c>
      <c r="D883" s="2" t="s">
        <v>43</v>
      </c>
      <c r="E883" t="s">
        <v>26</v>
      </c>
      <c r="F883" s="2" t="s">
        <v>34</v>
      </c>
      <c r="G883" t="s">
        <v>28</v>
      </c>
      <c r="H883" s="3">
        <v>0.06</v>
      </c>
      <c r="I883" s="2" t="s">
        <v>44</v>
      </c>
      <c r="J883" s="3">
        <v>0.1061</v>
      </c>
      <c r="K883" s="3">
        <v>0.45</v>
      </c>
      <c r="L883" s="3">
        <v>0.1045</v>
      </c>
      <c r="M883">
        <v>0</v>
      </c>
      <c r="N883">
        <v>7</v>
      </c>
      <c r="O883">
        <v>7</v>
      </c>
    </row>
    <row r="884" spans="1:15" x14ac:dyDescent="0.3">
      <c r="A884">
        <v>883</v>
      </c>
      <c r="B884" s="1">
        <v>40583</v>
      </c>
      <c r="C884">
        <v>6</v>
      </c>
      <c r="D884" s="2" t="s">
        <v>43</v>
      </c>
      <c r="E884" t="s">
        <v>26</v>
      </c>
      <c r="F884" s="2" t="s">
        <v>34</v>
      </c>
      <c r="G884" t="s">
        <v>28</v>
      </c>
      <c r="H884" s="3">
        <v>0.06</v>
      </c>
      <c r="I884" s="2" t="s">
        <v>44</v>
      </c>
      <c r="J884" s="3">
        <v>0.1515</v>
      </c>
      <c r="K884" s="3">
        <v>0.45</v>
      </c>
      <c r="L884" s="3">
        <v>0</v>
      </c>
      <c r="M884">
        <v>0</v>
      </c>
      <c r="N884">
        <v>43</v>
      </c>
      <c r="O884">
        <v>43</v>
      </c>
    </row>
    <row r="885" spans="1:15" x14ac:dyDescent="0.3">
      <c r="A885">
        <v>884</v>
      </c>
      <c r="B885" s="1">
        <v>40583</v>
      </c>
      <c r="C885">
        <v>7</v>
      </c>
      <c r="D885" s="2" t="s">
        <v>43</v>
      </c>
      <c r="E885" t="s">
        <v>26</v>
      </c>
      <c r="F885" s="2" t="s">
        <v>34</v>
      </c>
      <c r="G885" t="s">
        <v>28</v>
      </c>
      <c r="H885" s="3">
        <v>0.06</v>
      </c>
      <c r="I885" s="2" t="s">
        <v>44</v>
      </c>
      <c r="J885" s="3">
        <v>0.1061</v>
      </c>
      <c r="K885" s="3">
        <v>0.49</v>
      </c>
      <c r="L885" s="3">
        <v>0.1045</v>
      </c>
      <c r="M885">
        <v>4</v>
      </c>
      <c r="N885">
        <v>95</v>
      </c>
      <c r="O885">
        <v>99</v>
      </c>
    </row>
    <row r="886" spans="1:15" x14ac:dyDescent="0.3">
      <c r="A886">
        <v>885</v>
      </c>
      <c r="B886" s="1">
        <v>40583</v>
      </c>
      <c r="C886">
        <v>8</v>
      </c>
      <c r="D886" s="2" t="s">
        <v>43</v>
      </c>
      <c r="E886" t="s">
        <v>26</v>
      </c>
      <c r="F886" s="2" t="s">
        <v>34</v>
      </c>
      <c r="G886" t="s">
        <v>28</v>
      </c>
      <c r="H886" s="3">
        <v>0.1</v>
      </c>
      <c r="I886" s="2" t="s">
        <v>44</v>
      </c>
      <c r="J886" s="3">
        <v>0.13639999999999999</v>
      </c>
      <c r="K886" s="3">
        <v>0.42</v>
      </c>
      <c r="L886" s="3">
        <v>0</v>
      </c>
      <c r="M886">
        <v>1</v>
      </c>
      <c r="N886">
        <v>198</v>
      </c>
      <c r="O886">
        <v>199</v>
      </c>
    </row>
    <row r="887" spans="1:15" x14ac:dyDescent="0.3">
      <c r="A887">
        <v>886</v>
      </c>
      <c r="B887" s="1">
        <v>40583</v>
      </c>
      <c r="C887">
        <v>9</v>
      </c>
      <c r="D887" s="2" t="s">
        <v>43</v>
      </c>
      <c r="E887" t="s">
        <v>26</v>
      </c>
      <c r="F887" s="2" t="s">
        <v>34</v>
      </c>
      <c r="G887" t="s">
        <v>28</v>
      </c>
      <c r="H887" s="3">
        <v>0.12</v>
      </c>
      <c r="I887" s="2" t="s">
        <v>44</v>
      </c>
      <c r="J887" s="3">
        <v>0.13639999999999999</v>
      </c>
      <c r="K887" s="3">
        <v>0.39</v>
      </c>
      <c r="L887" s="3">
        <v>0.16420000000000001</v>
      </c>
      <c r="M887">
        <v>4</v>
      </c>
      <c r="N887">
        <v>119</v>
      </c>
      <c r="O887">
        <v>123</v>
      </c>
    </row>
    <row r="888" spans="1:15" x14ac:dyDescent="0.3">
      <c r="A888">
        <v>887</v>
      </c>
      <c r="B888" s="1">
        <v>40583</v>
      </c>
      <c r="C888">
        <v>10</v>
      </c>
      <c r="D888" s="2" t="s">
        <v>43</v>
      </c>
      <c r="E888" t="s">
        <v>26</v>
      </c>
      <c r="F888" s="2" t="s">
        <v>34</v>
      </c>
      <c r="G888" t="s">
        <v>28</v>
      </c>
      <c r="H888" s="3">
        <v>0.14000000000000001</v>
      </c>
      <c r="I888" s="2" t="s">
        <v>44</v>
      </c>
      <c r="J888" s="3">
        <v>0.18179999999999999</v>
      </c>
      <c r="K888" s="3">
        <v>0.36</v>
      </c>
      <c r="L888" s="3">
        <v>0</v>
      </c>
      <c r="M888">
        <v>8</v>
      </c>
      <c r="N888">
        <v>51</v>
      </c>
      <c r="O888">
        <v>59</v>
      </c>
    </row>
    <row r="889" spans="1:15" x14ac:dyDescent="0.3">
      <c r="A889">
        <v>888</v>
      </c>
      <c r="B889" s="1">
        <v>40583</v>
      </c>
      <c r="C889">
        <v>11</v>
      </c>
      <c r="D889" s="2" t="s">
        <v>43</v>
      </c>
      <c r="E889" t="s">
        <v>26</v>
      </c>
      <c r="F889" s="2" t="s">
        <v>34</v>
      </c>
      <c r="G889" t="s">
        <v>29</v>
      </c>
      <c r="H889" s="3">
        <v>0.14000000000000001</v>
      </c>
      <c r="I889" s="2" t="s">
        <v>44</v>
      </c>
      <c r="J889" s="3">
        <v>0.1515</v>
      </c>
      <c r="K889" s="3">
        <v>0.43</v>
      </c>
      <c r="L889" s="3">
        <v>0.16420000000000001</v>
      </c>
      <c r="M889">
        <v>1</v>
      </c>
      <c r="N889">
        <v>40</v>
      </c>
      <c r="O889">
        <v>41</v>
      </c>
    </row>
    <row r="890" spans="1:15" hidden="1" x14ac:dyDescent="0.3">
      <c r="A890">
        <v>889</v>
      </c>
      <c r="B890" s="1">
        <v>40583</v>
      </c>
      <c r="C890">
        <v>12</v>
      </c>
      <c r="D890" s="2" t="s">
        <v>45</v>
      </c>
      <c r="E890" t="s">
        <v>26</v>
      </c>
      <c r="F890" s="2" t="s">
        <v>34</v>
      </c>
      <c r="G890" t="s">
        <v>29</v>
      </c>
      <c r="H890" s="3">
        <v>0.18</v>
      </c>
      <c r="I890" s="2" t="s">
        <v>44</v>
      </c>
      <c r="J890" s="3">
        <v>0.18179999999999999</v>
      </c>
      <c r="K890" s="3">
        <v>0.4</v>
      </c>
      <c r="L890" s="3">
        <v>0.22389999999999999</v>
      </c>
      <c r="M890">
        <v>4</v>
      </c>
      <c r="N890">
        <v>57</v>
      </c>
      <c r="O890">
        <v>61</v>
      </c>
    </row>
    <row r="891" spans="1:15" hidden="1" x14ac:dyDescent="0.3">
      <c r="A891">
        <v>890</v>
      </c>
      <c r="B891" s="1">
        <v>40583</v>
      </c>
      <c r="C891">
        <v>13</v>
      </c>
      <c r="D891" s="2" t="s">
        <v>45</v>
      </c>
      <c r="E891" t="s">
        <v>26</v>
      </c>
      <c r="F891" s="2" t="s">
        <v>34</v>
      </c>
      <c r="G891" t="s">
        <v>28</v>
      </c>
      <c r="H891" s="3">
        <v>0.18</v>
      </c>
      <c r="I891" s="2" t="s">
        <v>44</v>
      </c>
      <c r="J891" s="3">
        <v>0.16669999999999999</v>
      </c>
      <c r="K891" s="3">
        <v>0.4</v>
      </c>
      <c r="L891" s="3">
        <v>0.25369999999999998</v>
      </c>
      <c r="M891">
        <v>2</v>
      </c>
      <c r="N891">
        <v>67</v>
      </c>
      <c r="O891">
        <v>69</v>
      </c>
    </row>
    <row r="892" spans="1:15" hidden="1" x14ac:dyDescent="0.3">
      <c r="A892">
        <v>891</v>
      </c>
      <c r="B892" s="1">
        <v>40583</v>
      </c>
      <c r="C892">
        <v>14</v>
      </c>
      <c r="D892" s="2" t="s">
        <v>45</v>
      </c>
      <c r="E892" t="s">
        <v>26</v>
      </c>
      <c r="F892" s="2" t="s">
        <v>34</v>
      </c>
      <c r="G892" t="s">
        <v>28</v>
      </c>
      <c r="H892" s="3">
        <v>0.2</v>
      </c>
      <c r="I892" s="2" t="s">
        <v>44</v>
      </c>
      <c r="J892" s="3">
        <v>0.18179999999999999</v>
      </c>
      <c r="K892" s="3">
        <v>0.34</v>
      </c>
      <c r="L892" s="3">
        <v>0.29849999999999999</v>
      </c>
      <c r="M892">
        <v>2</v>
      </c>
      <c r="N892">
        <v>56</v>
      </c>
      <c r="O892">
        <v>58</v>
      </c>
    </row>
    <row r="893" spans="1:15" hidden="1" x14ac:dyDescent="0.3">
      <c r="A893">
        <v>892</v>
      </c>
      <c r="B893" s="1">
        <v>40583</v>
      </c>
      <c r="C893">
        <v>15</v>
      </c>
      <c r="D893" s="2" t="s">
        <v>45</v>
      </c>
      <c r="E893" t="s">
        <v>26</v>
      </c>
      <c r="F893" s="2" t="s">
        <v>34</v>
      </c>
      <c r="G893" t="s">
        <v>29</v>
      </c>
      <c r="H893" s="3">
        <v>0.2</v>
      </c>
      <c r="I893" s="2" t="s">
        <v>44</v>
      </c>
      <c r="J893" s="3">
        <v>0.18179999999999999</v>
      </c>
      <c r="K893" s="3">
        <v>0.34</v>
      </c>
      <c r="L893" s="3">
        <v>0.28360000000000002</v>
      </c>
      <c r="M893">
        <v>3</v>
      </c>
      <c r="N893">
        <v>61</v>
      </c>
      <c r="O893">
        <v>64</v>
      </c>
    </row>
    <row r="894" spans="1:15" hidden="1" x14ac:dyDescent="0.3">
      <c r="A894">
        <v>893</v>
      </c>
      <c r="B894" s="1">
        <v>40583</v>
      </c>
      <c r="C894">
        <v>16</v>
      </c>
      <c r="D894" s="2" t="s">
        <v>45</v>
      </c>
      <c r="E894" t="s">
        <v>26</v>
      </c>
      <c r="F894" s="2" t="s">
        <v>34</v>
      </c>
      <c r="G894" t="s">
        <v>29</v>
      </c>
      <c r="H894" s="3">
        <v>0.2</v>
      </c>
      <c r="I894" s="2" t="s">
        <v>44</v>
      </c>
      <c r="J894" s="3">
        <v>0.19700000000000001</v>
      </c>
      <c r="K894" s="3">
        <v>0.37</v>
      </c>
      <c r="L894" s="3">
        <v>0.25369999999999998</v>
      </c>
      <c r="M894">
        <v>7</v>
      </c>
      <c r="N894">
        <v>72</v>
      </c>
      <c r="O894">
        <v>79</v>
      </c>
    </row>
    <row r="895" spans="1:15" hidden="1" x14ac:dyDescent="0.3">
      <c r="A895">
        <v>894</v>
      </c>
      <c r="B895" s="1">
        <v>40583</v>
      </c>
      <c r="C895">
        <v>17</v>
      </c>
      <c r="D895" s="2" t="s">
        <v>47</v>
      </c>
      <c r="E895" t="s">
        <v>26</v>
      </c>
      <c r="F895" s="2" t="s">
        <v>34</v>
      </c>
      <c r="G895" t="s">
        <v>29</v>
      </c>
      <c r="H895" s="3">
        <v>0.2</v>
      </c>
      <c r="I895" s="2" t="s">
        <v>44</v>
      </c>
      <c r="J895" s="3">
        <v>0.19700000000000001</v>
      </c>
      <c r="K895" s="3">
        <v>0.34</v>
      </c>
      <c r="L895" s="3">
        <v>0.25369999999999998</v>
      </c>
      <c r="M895">
        <v>9</v>
      </c>
      <c r="N895">
        <v>157</v>
      </c>
      <c r="O895">
        <v>166</v>
      </c>
    </row>
    <row r="896" spans="1:15" hidden="1" x14ac:dyDescent="0.3">
      <c r="A896">
        <v>895</v>
      </c>
      <c r="B896" s="1">
        <v>40583</v>
      </c>
      <c r="C896">
        <v>18</v>
      </c>
      <c r="D896" s="2" t="s">
        <v>47</v>
      </c>
      <c r="E896" t="s">
        <v>26</v>
      </c>
      <c r="F896" s="2" t="s">
        <v>34</v>
      </c>
      <c r="G896" t="s">
        <v>29</v>
      </c>
      <c r="H896" s="3">
        <v>0.18</v>
      </c>
      <c r="I896" s="2" t="s">
        <v>44</v>
      </c>
      <c r="J896" s="3">
        <v>0.16669999999999999</v>
      </c>
      <c r="K896" s="3">
        <v>0.47</v>
      </c>
      <c r="L896" s="3">
        <v>0.29849999999999999</v>
      </c>
      <c r="M896">
        <v>2</v>
      </c>
      <c r="N896">
        <v>168</v>
      </c>
      <c r="O896">
        <v>170</v>
      </c>
    </row>
    <row r="897" spans="1:15" hidden="1" x14ac:dyDescent="0.3">
      <c r="A897">
        <v>896</v>
      </c>
      <c r="B897" s="1">
        <v>40583</v>
      </c>
      <c r="C897">
        <v>19</v>
      </c>
      <c r="D897" s="2" t="s">
        <v>47</v>
      </c>
      <c r="E897" t="s">
        <v>26</v>
      </c>
      <c r="F897" s="2" t="s">
        <v>34</v>
      </c>
      <c r="G897" t="s">
        <v>30</v>
      </c>
      <c r="H897" s="3">
        <v>0.14000000000000001</v>
      </c>
      <c r="I897" s="2" t="s">
        <v>44</v>
      </c>
      <c r="J897" s="3">
        <v>0.1212</v>
      </c>
      <c r="K897" s="3">
        <v>0.86</v>
      </c>
      <c r="L897" s="3">
        <v>0.25369999999999998</v>
      </c>
      <c r="M897">
        <v>1</v>
      </c>
      <c r="N897">
        <v>87</v>
      </c>
      <c r="O897">
        <v>88</v>
      </c>
    </row>
    <row r="898" spans="1:15" hidden="1" x14ac:dyDescent="0.3">
      <c r="A898">
        <v>897</v>
      </c>
      <c r="B898" s="1">
        <v>40583</v>
      </c>
      <c r="C898">
        <v>20</v>
      </c>
      <c r="D898" s="2" t="s">
        <v>47</v>
      </c>
      <c r="E898" t="s">
        <v>26</v>
      </c>
      <c r="F898" s="2" t="s">
        <v>34</v>
      </c>
      <c r="G898" t="s">
        <v>30</v>
      </c>
      <c r="H898" s="3">
        <v>0.14000000000000001</v>
      </c>
      <c r="I898" s="2" t="s">
        <v>44</v>
      </c>
      <c r="J898" s="3">
        <v>0.1515</v>
      </c>
      <c r="K898" s="3">
        <v>0.86</v>
      </c>
      <c r="L898" s="3">
        <v>0.16420000000000001</v>
      </c>
      <c r="M898">
        <v>0</v>
      </c>
      <c r="N898">
        <v>84</v>
      </c>
      <c r="O898">
        <v>84</v>
      </c>
    </row>
    <row r="899" spans="1:15" hidden="1" x14ac:dyDescent="0.3">
      <c r="A899">
        <v>898</v>
      </c>
      <c r="B899" s="1">
        <v>40583</v>
      </c>
      <c r="C899">
        <v>21</v>
      </c>
      <c r="D899" s="2" t="s">
        <v>41</v>
      </c>
      <c r="E899" t="s">
        <v>26</v>
      </c>
      <c r="F899" s="2" t="s">
        <v>34</v>
      </c>
      <c r="G899" t="s">
        <v>29</v>
      </c>
      <c r="H899" s="3">
        <v>0.14000000000000001</v>
      </c>
      <c r="I899" s="2" t="s">
        <v>44</v>
      </c>
      <c r="J899" s="3">
        <v>0.1515</v>
      </c>
      <c r="K899" s="3">
        <v>0.86</v>
      </c>
      <c r="L899" s="3">
        <v>0.16420000000000001</v>
      </c>
      <c r="M899">
        <v>0</v>
      </c>
      <c r="N899">
        <v>83</v>
      </c>
      <c r="O899">
        <v>83</v>
      </c>
    </row>
    <row r="900" spans="1:15" hidden="1" x14ac:dyDescent="0.3">
      <c r="A900">
        <v>899</v>
      </c>
      <c r="B900" s="1">
        <v>40583</v>
      </c>
      <c r="C900">
        <v>22</v>
      </c>
      <c r="D900" s="2" t="s">
        <v>41</v>
      </c>
      <c r="E900" t="s">
        <v>26</v>
      </c>
      <c r="F900" s="2" t="s">
        <v>34</v>
      </c>
      <c r="G900" t="s">
        <v>30</v>
      </c>
      <c r="H900" s="3">
        <v>0.16</v>
      </c>
      <c r="I900" s="2" t="s">
        <v>44</v>
      </c>
      <c r="J900" s="3">
        <v>0.16669999999999999</v>
      </c>
      <c r="K900" s="3">
        <v>0.8</v>
      </c>
      <c r="L900" s="3">
        <v>0.16420000000000001</v>
      </c>
      <c r="M900">
        <v>4</v>
      </c>
      <c r="N900">
        <v>42</v>
      </c>
      <c r="O900">
        <v>46</v>
      </c>
    </row>
    <row r="901" spans="1:15" hidden="1" x14ac:dyDescent="0.3">
      <c r="A901">
        <v>900</v>
      </c>
      <c r="B901" s="1">
        <v>40583</v>
      </c>
      <c r="C901">
        <v>23</v>
      </c>
      <c r="D901" s="2" t="s">
        <v>41</v>
      </c>
      <c r="E901" t="s">
        <v>26</v>
      </c>
      <c r="F901" s="2" t="s">
        <v>34</v>
      </c>
      <c r="G901" t="s">
        <v>30</v>
      </c>
      <c r="H901" s="3">
        <v>0.16</v>
      </c>
      <c r="I901" s="2" t="s">
        <v>44</v>
      </c>
      <c r="J901" s="3">
        <v>0.1515</v>
      </c>
      <c r="K901" s="3">
        <v>0.8</v>
      </c>
      <c r="L901" s="3">
        <v>0.19400000000000001</v>
      </c>
      <c r="M901">
        <v>0</v>
      </c>
      <c r="N901">
        <v>37</v>
      </c>
      <c r="O901">
        <v>37</v>
      </c>
    </row>
    <row r="902" spans="1:15" hidden="1" x14ac:dyDescent="0.3">
      <c r="A902">
        <v>901</v>
      </c>
      <c r="B902" s="1">
        <v>40584</v>
      </c>
      <c r="C902">
        <v>0</v>
      </c>
      <c r="D902" s="2" t="s">
        <v>41</v>
      </c>
      <c r="E902" t="s">
        <v>26</v>
      </c>
      <c r="F902" s="2" t="s">
        <v>35</v>
      </c>
      <c r="G902" t="s">
        <v>30</v>
      </c>
      <c r="H902" s="3">
        <v>0.14000000000000001</v>
      </c>
      <c r="I902" s="2" t="s">
        <v>44</v>
      </c>
      <c r="J902" s="3">
        <v>0.13639999999999999</v>
      </c>
      <c r="K902" s="3">
        <v>0.86</v>
      </c>
      <c r="L902" s="3">
        <v>0.19400000000000001</v>
      </c>
      <c r="M902">
        <v>0</v>
      </c>
      <c r="N902">
        <v>16</v>
      </c>
      <c r="O902">
        <v>16</v>
      </c>
    </row>
    <row r="903" spans="1:15" hidden="1" x14ac:dyDescent="0.3">
      <c r="A903">
        <v>902</v>
      </c>
      <c r="B903" s="1">
        <v>40584</v>
      </c>
      <c r="C903">
        <v>1</v>
      </c>
      <c r="D903" s="2" t="s">
        <v>41</v>
      </c>
      <c r="E903" t="s">
        <v>26</v>
      </c>
      <c r="F903" s="2" t="s">
        <v>35</v>
      </c>
      <c r="G903" t="s">
        <v>30</v>
      </c>
      <c r="H903" s="3">
        <v>0.14000000000000001</v>
      </c>
      <c r="I903" s="2" t="s">
        <v>44</v>
      </c>
      <c r="J903" s="3">
        <v>0.1515</v>
      </c>
      <c r="K903" s="3">
        <v>0.8</v>
      </c>
      <c r="L903" s="3">
        <v>0.1343</v>
      </c>
      <c r="M903">
        <v>0</v>
      </c>
      <c r="N903">
        <v>7</v>
      </c>
      <c r="O903">
        <v>7</v>
      </c>
    </row>
    <row r="904" spans="1:15" hidden="1" x14ac:dyDescent="0.3">
      <c r="A904">
        <v>903</v>
      </c>
      <c r="B904" s="1">
        <v>40584</v>
      </c>
      <c r="C904">
        <v>2</v>
      </c>
      <c r="D904" s="2" t="s">
        <v>41</v>
      </c>
      <c r="E904" t="s">
        <v>26</v>
      </c>
      <c r="F904" s="2" t="s">
        <v>35</v>
      </c>
      <c r="G904" t="s">
        <v>30</v>
      </c>
      <c r="H904" s="3">
        <v>0.14000000000000001</v>
      </c>
      <c r="I904" s="2" t="s">
        <v>44</v>
      </c>
      <c r="J904" s="3">
        <v>0.1515</v>
      </c>
      <c r="K904" s="3">
        <v>0.8</v>
      </c>
      <c r="L904" s="3">
        <v>0.1343</v>
      </c>
      <c r="M904">
        <v>0</v>
      </c>
      <c r="N904">
        <v>3</v>
      </c>
      <c r="O904">
        <v>3</v>
      </c>
    </row>
    <row r="905" spans="1:15" hidden="1" x14ac:dyDescent="0.3">
      <c r="A905">
        <v>904</v>
      </c>
      <c r="B905" s="1">
        <v>40584</v>
      </c>
      <c r="C905">
        <v>4</v>
      </c>
      <c r="D905" s="2" t="s">
        <v>41</v>
      </c>
      <c r="E905" t="s">
        <v>26</v>
      </c>
      <c r="F905" s="2" t="s">
        <v>35</v>
      </c>
      <c r="G905" t="s">
        <v>29</v>
      </c>
      <c r="H905" s="3">
        <v>0.14000000000000001</v>
      </c>
      <c r="I905" s="2" t="s">
        <v>44</v>
      </c>
      <c r="J905" s="3">
        <v>0.13639999999999999</v>
      </c>
      <c r="K905" s="3">
        <v>0.59</v>
      </c>
      <c r="L905" s="3">
        <v>0.22389999999999999</v>
      </c>
      <c r="M905">
        <v>0</v>
      </c>
      <c r="N905">
        <v>1</v>
      </c>
      <c r="O905">
        <v>1</v>
      </c>
    </row>
    <row r="906" spans="1:15" x14ac:dyDescent="0.3">
      <c r="A906">
        <v>905</v>
      </c>
      <c r="B906" s="1">
        <v>40584</v>
      </c>
      <c r="C906">
        <v>5</v>
      </c>
      <c r="D906" s="2" t="s">
        <v>43</v>
      </c>
      <c r="E906" t="s">
        <v>26</v>
      </c>
      <c r="F906" s="2" t="s">
        <v>35</v>
      </c>
      <c r="G906" t="s">
        <v>29</v>
      </c>
      <c r="H906" s="3">
        <v>0.12</v>
      </c>
      <c r="I906" s="2" t="s">
        <v>44</v>
      </c>
      <c r="J906" s="3">
        <v>0.1212</v>
      </c>
      <c r="K906" s="3">
        <v>0.5</v>
      </c>
      <c r="L906" s="3">
        <v>0.22389999999999999</v>
      </c>
      <c r="M906">
        <v>0</v>
      </c>
      <c r="N906">
        <v>6</v>
      </c>
      <c r="O906">
        <v>6</v>
      </c>
    </row>
    <row r="907" spans="1:15" x14ac:dyDescent="0.3">
      <c r="A907">
        <v>906</v>
      </c>
      <c r="B907" s="1">
        <v>40584</v>
      </c>
      <c r="C907">
        <v>6</v>
      </c>
      <c r="D907" s="2" t="s">
        <v>43</v>
      </c>
      <c r="E907" t="s">
        <v>26</v>
      </c>
      <c r="F907" s="2" t="s">
        <v>35</v>
      </c>
      <c r="G907" t="s">
        <v>29</v>
      </c>
      <c r="H907" s="3">
        <v>0.12</v>
      </c>
      <c r="I907" s="2" t="s">
        <v>44</v>
      </c>
      <c r="J907" s="3">
        <v>0.1212</v>
      </c>
      <c r="K907" s="3">
        <v>0.54</v>
      </c>
      <c r="L907" s="3">
        <v>0.28360000000000002</v>
      </c>
      <c r="M907">
        <v>0</v>
      </c>
      <c r="N907">
        <v>26</v>
      </c>
      <c r="O907">
        <v>26</v>
      </c>
    </row>
    <row r="908" spans="1:15" x14ac:dyDescent="0.3">
      <c r="A908">
        <v>907</v>
      </c>
      <c r="B908" s="1">
        <v>40584</v>
      </c>
      <c r="C908">
        <v>7</v>
      </c>
      <c r="D908" s="2" t="s">
        <v>43</v>
      </c>
      <c r="E908" t="s">
        <v>26</v>
      </c>
      <c r="F908" s="2" t="s">
        <v>35</v>
      </c>
      <c r="G908" t="s">
        <v>28</v>
      </c>
      <c r="H908" s="3">
        <v>0.1</v>
      </c>
      <c r="I908" s="2" t="s">
        <v>44</v>
      </c>
      <c r="J908" s="3">
        <v>7.5800000000000006E-2</v>
      </c>
      <c r="K908" s="3">
        <v>0.5</v>
      </c>
      <c r="L908" s="3">
        <v>0.41789999999999999</v>
      </c>
      <c r="M908">
        <v>0</v>
      </c>
      <c r="N908">
        <v>99</v>
      </c>
      <c r="O908">
        <v>99</v>
      </c>
    </row>
    <row r="909" spans="1:15" x14ac:dyDescent="0.3">
      <c r="A909">
        <v>908</v>
      </c>
      <c r="B909" s="1">
        <v>40584</v>
      </c>
      <c r="C909">
        <v>8</v>
      </c>
      <c r="D909" s="2" t="s">
        <v>43</v>
      </c>
      <c r="E909" t="s">
        <v>26</v>
      </c>
      <c r="F909" s="2" t="s">
        <v>35</v>
      </c>
      <c r="G909" t="s">
        <v>28</v>
      </c>
      <c r="H909" s="3">
        <v>0.1</v>
      </c>
      <c r="I909" s="2" t="s">
        <v>44</v>
      </c>
      <c r="J909" s="3">
        <v>7.5800000000000006E-2</v>
      </c>
      <c r="K909" s="3">
        <v>0.49</v>
      </c>
      <c r="L909" s="3">
        <v>0.32840000000000003</v>
      </c>
      <c r="M909">
        <v>5</v>
      </c>
      <c r="N909">
        <v>173</v>
      </c>
      <c r="O909">
        <v>178</v>
      </c>
    </row>
    <row r="910" spans="1:15" x14ac:dyDescent="0.3">
      <c r="A910">
        <v>909</v>
      </c>
      <c r="B910" s="1">
        <v>40584</v>
      </c>
      <c r="C910">
        <v>9</v>
      </c>
      <c r="D910" s="2" t="s">
        <v>43</v>
      </c>
      <c r="E910" t="s">
        <v>26</v>
      </c>
      <c r="F910" s="2" t="s">
        <v>35</v>
      </c>
      <c r="G910" t="s">
        <v>28</v>
      </c>
      <c r="H910" s="3">
        <v>0.12</v>
      </c>
      <c r="I910" s="2" t="s">
        <v>44</v>
      </c>
      <c r="J910" s="3">
        <v>0.1061</v>
      </c>
      <c r="K910" s="3">
        <v>0.42</v>
      </c>
      <c r="L910" s="3">
        <v>0.35820000000000002</v>
      </c>
      <c r="M910">
        <v>1</v>
      </c>
      <c r="N910">
        <v>121</v>
      </c>
      <c r="O910">
        <v>122</v>
      </c>
    </row>
    <row r="911" spans="1:15" x14ac:dyDescent="0.3">
      <c r="A911">
        <v>910</v>
      </c>
      <c r="B911" s="1">
        <v>40584</v>
      </c>
      <c r="C911">
        <v>10</v>
      </c>
      <c r="D911" s="2" t="s">
        <v>43</v>
      </c>
      <c r="E911" t="s">
        <v>26</v>
      </c>
      <c r="F911" s="2" t="s">
        <v>35</v>
      </c>
      <c r="G911" t="s">
        <v>28</v>
      </c>
      <c r="H911" s="3">
        <v>0.12</v>
      </c>
      <c r="I911" s="2" t="s">
        <v>44</v>
      </c>
      <c r="J911" s="3">
        <v>0.1061</v>
      </c>
      <c r="K911" s="3">
        <v>0.42</v>
      </c>
      <c r="L911" s="3">
        <v>0.29849999999999999</v>
      </c>
      <c r="M911">
        <v>1</v>
      </c>
      <c r="N911">
        <v>34</v>
      </c>
      <c r="O911">
        <v>35</v>
      </c>
    </row>
    <row r="912" spans="1:15" x14ac:dyDescent="0.3">
      <c r="A912">
        <v>911</v>
      </c>
      <c r="B912" s="1">
        <v>40584</v>
      </c>
      <c r="C912">
        <v>11</v>
      </c>
      <c r="D912" s="2" t="s">
        <v>43</v>
      </c>
      <c r="E912" t="s">
        <v>26</v>
      </c>
      <c r="F912" s="2" t="s">
        <v>35</v>
      </c>
      <c r="G912" t="s">
        <v>28</v>
      </c>
      <c r="H912" s="3">
        <v>0.14000000000000001</v>
      </c>
      <c r="I912" s="2" t="s">
        <v>44</v>
      </c>
      <c r="J912" s="3">
        <v>0.1212</v>
      </c>
      <c r="K912" s="3">
        <v>0.39</v>
      </c>
      <c r="L912" s="3">
        <v>0.35820000000000002</v>
      </c>
      <c r="M912">
        <v>1</v>
      </c>
      <c r="N912">
        <v>44</v>
      </c>
      <c r="O912">
        <v>45</v>
      </c>
    </row>
    <row r="913" spans="1:15" hidden="1" x14ac:dyDescent="0.3">
      <c r="A913">
        <v>912</v>
      </c>
      <c r="B913" s="1">
        <v>40584</v>
      </c>
      <c r="C913">
        <v>12</v>
      </c>
      <c r="D913" s="2" t="s">
        <v>45</v>
      </c>
      <c r="E913" t="s">
        <v>26</v>
      </c>
      <c r="F913" s="2" t="s">
        <v>35</v>
      </c>
      <c r="G913" t="s">
        <v>28</v>
      </c>
      <c r="H913" s="3">
        <v>0.16</v>
      </c>
      <c r="I913" s="2" t="s">
        <v>44</v>
      </c>
      <c r="J913" s="3">
        <v>0.13639999999999999</v>
      </c>
      <c r="K913" s="3">
        <v>0.34</v>
      </c>
      <c r="L913" s="3">
        <v>0.3881</v>
      </c>
      <c r="M913">
        <v>4</v>
      </c>
      <c r="N913">
        <v>65</v>
      </c>
      <c r="O913">
        <v>69</v>
      </c>
    </row>
    <row r="914" spans="1:15" hidden="1" x14ac:dyDescent="0.3">
      <c r="A914">
        <v>913</v>
      </c>
      <c r="B914" s="1">
        <v>40584</v>
      </c>
      <c r="C914">
        <v>13</v>
      </c>
      <c r="D914" s="2" t="s">
        <v>45</v>
      </c>
      <c r="E914" t="s">
        <v>26</v>
      </c>
      <c r="F914" s="2" t="s">
        <v>35</v>
      </c>
      <c r="G914" t="s">
        <v>28</v>
      </c>
      <c r="H914" s="3">
        <v>0.18</v>
      </c>
      <c r="I914" s="2" t="s">
        <v>44</v>
      </c>
      <c r="J914" s="3">
        <v>0.16669999999999999</v>
      </c>
      <c r="K914" s="3">
        <v>0.28999999999999998</v>
      </c>
      <c r="L914" s="3">
        <v>0.29849999999999999</v>
      </c>
      <c r="M914">
        <v>3</v>
      </c>
      <c r="N914">
        <v>59</v>
      </c>
      <c r="O914">
        <v>62</v>
      </c>
    </row>
    <row r="915" spans="1:15" hidden="1" x14ac:dyDescent="0.3">
      <c r="A915">
        <v>914</v>
      </c>
      <c r="B915" s="1">
        <v>40584</v>
      </c>
      <c r="C915">
        <v>14</v>
      </c>
      <c r="D915" s="2" t="s">
        <v>45</v>
      </c>
      <c r="E915" t="s">
        <v>26</v>
      </c>
      <c r="F915" s="2" t="s">
        <v>35</v>
      </c>
      <c r="G915" t="s">
        <v>28</v>
      </c>
      <c r="H915" s="3">
        <v>0.2</v>
      </c>
      <c r="I915" s="2" t="s">
        <v>44</v>
      </c>
      <c r="J915" s="3">
        <v>0.18179999999999999</v>
      </c>
      <c r="K915" s="3">
        <v>0.27</v>
      </c>
      <c r="L915" s="3">
        <v>0.28360000000000002</v>
      </c>
      <c r="M915">
        <v>6</v>
      </c>
      <c r="N915">
        <v>42</v>
      </c>
      <c r="O915">
        <v>48</v>
      </c>
    </row>
    <row r="916" spans="1:15" hidden="1" x14ac:dyDescent="0.3">
      <c r="A916">
        <v>915</v>
      </c>
      <c r="B916" s="1">
        <v>40584</v>
      </c>
      <c r="C916">
        <v>15</v>
      </c>
      <c r="D916" s="2" t="s">
        <v>45</v>
      </c>
      <c r="E916" t="s">
        <v>26</v>
      </c>
      <c r="F916" s="2" t="s">
        <v>35</v>
      </c>
      <c r="G916" t="s">
        <v>28</v>
      </c>
      <c r="H916" s="3">
        <v>0.2</v>
      </c>
      <c r="I916" s="2" t="s">
        <v>44</v>
      </c>
      <c r="J916" s="3">
        <v>0.19700000000000001</v>
      </c>
      <c r="K916" s="3">
        <v>0.25</v>
      </c>
      <c r="L916" s="3">
        <v>0.25369999999999998</v>
      </c>
      <c r="M916">
        <v>0</v>
      </c>
      <c r="N916">
        <v>50</v>
      </c>
      <c r="O916">
        <v>50</v>
      </c>
    </row>
    <row r="917" spans="1:15" hidden="1" x14ac:dyDescent="0.3">
      <c r="A917">
        <v>916</v>
      </c>
      <c r="B917" s="1">
        <v>40584</v>
      </c>
      <c r="C917">
        <v>16</v>
      </c>
      <c r="D917" s="2" t="s">
        <v>45</v>
      </c>
      <c r="E917" t="s">
        <v>26</v>
      </c>
      <c r="F917" s="2" t="s">
        <v>35</v>
      </c>
      <c r="G917" t="s">
        <v>28</v>
      </c>
      <c r="H917" s="3">
        <v>0.2</v>
      </c>
      <c r="I917" s="2" t="s">
        <v>44</v>
      </c>
      <c r="J917" s="3">
        <v>0.18179999999999999</v>
      </c>
      <c r="K917" s="3">
        <v>0.27</v>
      </c>
      <c r="L917" s="3">
        <v>0.29849999999999999</v>
      </c>
      <c r="M917">
        <v>4</v>
      </c>
      <c r="N917">
        <v>76</v>
      </c>
      <c r="O917">
        <v>80</v>
      </c>
    </row>
    <row r="918" spans="1:15" hidden="1" x14ac:dyDescent="0.3">
      <c r="A918">
        <v>917</v>
      </c>
      <c r="B918" s="1">
        <v>40584</v>
      </c>
      <c r="C918">
        <v>17</v>
      </c>
      <c r="D918" s="2" t="s">
        <v>47</v>
      </c>
      <c r="E918" t="s">
        <v>26</v>
      </c>
      <c r="F918" s="2" t="s">
        <v>35</v>
      </c>
      <c r="G918" t="s">
        <v>28</v>
      </c>
      <c r="H918" s="3">
        <v>0.18</v>
      </c>
      <c r="I918" s="2" t="s">
        <v>44</v>
      </c>
      <c r="J918" s="3">
        <v>0.18179999999999999</v>
      </c>
      <c r="K918" s="3">
        <v>0.26</v>
      </c>
      <c r="L918" s="3">
        <v>0.19400000000000001</v>
      </c>
      <c r="M918">
        <v>6</v>
      </c>
      <c r="N918">
        <v>159</v>
      </c>
      <c r="O918">
        <v>165</v>
      </c>
    </row>
    <row r="919" spans="1:15" hidden="1" x14ac:dyDescent="0.3">
      <c r="A919">
        <v>918</v>
      </c>
      <c r="B919" s="1">
        <v>40584</v>
      </c>
      <c r="C919">
        <v>18</v>
      </c>
      <c r="D919" s="2" t="s">
        <v>47</v>
      </c>
      <c r="E919" t="s">
        <v>26</v>
      </c>
      <c r="F919" s="2" t="s">
        <v>35</v>
      </c>
      <c r="G919" t="s">
        <v>28</v>
      </c>
      <c r="H919" s="3">
        <v>0.16</v>
      </c>
      <c r="I919" s="2" t="s">
        <v>44</v>
      </c>
      <c r="J919" s="3">
        <v>0.18179999999999999</v>
      </c>
      <c r="K919" s="3">
        <v>0.28000000000000003</v>
      </c>
      <c r="L919" s="3">
        <v>0.1343</v>
      </c>
      <c r="M919">
        <v>3</v>
      </c>
      <c r="N919">
        <v>157</v>
      </c>
      <c r="O919">
        <v>160</v>
      </c>
    </row>
    <row r="920" spans="1:15" hidden="1" x14ac:dyDescent="0.3">
      <c r="A920">
        <v>919</v>
      </c>
      <c r="B920" s="1">
        <v>40584</v>
      </c>
      <c r="C920">
        <v>19</v>
      </c>
      <c r="D920" s="2" t="s">
        <v>47</v>
      </c>
      <c r="E920" t="s">
        <v>26</v>
      </c>
      <c r="F920" s="2" t="s">
        <v>35</v>
      </c>
      <c r="G920" t="s">
        <v>28</v>
      </c>
      <c r="H920" s="3">
        <v>0.14000000000000001</v>
      </c>
      <c r="I920" s="2" t="s">
        <v>44</v>
      </c>
      <c r="J920" s="3">
        <v>0.16669999999999999</v>
      </c>
      <c r="K920" s="3">
        <v>0.28000000000000003</v>
      </c>
      <c r="L920" s="3">
        <v>0.1045</v>
      </c>
      <c r="M920">
        <v>2</v>
      </c>
      <c r="N920">
        <v>110</v>
      </c>
      <c r="O920">
        <v>112</v>
      </c>
    </row>
    <row r="921" spans="1:15" hidden="1" x14ac:dyDescent="0.3">
      <c r="A921">
        <v>920</v>
      </c>
      <c r="B921" s="1">
        <v>40584</v>
      </c>
      <c r="C921">
        <v>20</v>
      </c>
      <c r="D921" s="2" t="s">
        <v>47</v>
      </c>
      <c r="E921" t="s">
        <v>26</v>
      </c>
      <c r="F921" s="2" t="s">
        <v>35</v>
      </c>
      <c r="G921" t="s">
        <v>28</v>
      </c>
      <c r="H921" s="3">
        <v>0.14000000000000001</v>
      </c>
      <c r="I921" s="2" t="s">
        <v>44</v>
      </c>
      <c r="J921" s="3">
        <v>0.18179999999999999</v>
      </c>
      <c r="K921" s="3">
        <v>0.31</v>
      </c>
      <c r="L921" s="3">
        <v>8.9599999999999999E-2</v>
      </c>
      <c r="M921">
        <v>4</v>
      </c>
      <c r="N921">
        <v>93</v>
      </c>
      <c r="O921">
        <v>97</v>
      </c>
    </row>
    <row r="922" spans="1:15" hidden="1" x14ac:dyDescent="0.3">
      <c r="A922">
        <v>921</v>
      </c>
      <c r="B922" s="1">
        <v>40584</v>
      </c>
      <c r="C922">
        <v>21</v>
      </c>
      <c r="D922" s="2" t="s">
        <v>41</v>
      </c>
      <c r="E922" t="s">
        <v>26</v>
      </c>
      <c r="F922" s="2" t="s">
        <v>35</v>
      </c>
      <c r="G922" t="s">
        <v>28</v>
      </c>
      <c r="H922" s="3">
        <v>0.14000000000000001</v>
      </c>
      <c r="I922" s="2" t="s">
        <v>44</v>
      </c>
      <c r="J922" s="3">
        <v>0.21210000000000001</v>
      </c>
      <c r="K922" s="3">
        <v>0.39</v>
      </c>
      <c r="L922" s="3">
        <v>0</v>
      </c>
      <c r="M922">
        <v>2</v>
      </c>
      <c r="N922">
        <v>70</v>
      </c>
      <c r="O922">
        <v>72</v>
      </c>
    </row>
    <row r="923" spans="1:15" hidden="1" x14ac:dyDescent="0.3">
      <c r="A923">
        <v>922</v>
      </c>
      <c r="B923" s="1">
        <v>40584</v>
      </c>
      <c r="C923">
        <v>22</v>
      </c>
      <c r="D923" s="2" t="s">
        <v>41</v>
      </c>
      <c r="E923" t="s">
        <v>26</v>
      </c>
      <c r="F923" s="2" t="s">
        <v>35</v>
      </c>
      <c r="G923" t="s">
        <v>28</v>
      </c>
      <c r="H923" s="3">
        <v>0.12</v>
      </c>
      <c r="I923" s="2" t="s">
        <v>44</v>
      </c>
      <c r="J923" s="3">
        <v>0.19700000000000001</v>
      </c>
      <c r="K923" s="3">
        <v>0.39</v>
      </c>
      <c r="L923" s="3">
        <v>0</v>
      </c>
      <c r="M923">
        <v>4</v>
      </c>
      <c r="N923">
        <v>47</v>
      </c>
      <c r="O923">
        <v>51</v>
      </c>
    </row>
    <row r="924" spans="1:15" hidden="1" x14ac:dyDescent="0.3">
      <c r="A924">
        <v>923</v>
      </c>
      <c r="B924" s="1">
        <v>40584</v>
      </c>
      <c r="C924">
        <v>23</v>
      </c>
      <c r="D924" s="2" t="s">
        <v>41</v>
      </c>
      <c r="E924" t="s">
        <v>26</v>
      </c>
      <c r="F924" s="2" t="s">
        <v>35</v>
      </c>
      <c r="G924" t="s">
        <v>28</v>
      </c>
      <c r="H924" s="3">
        <v>0.12</v>
      </c>
      <c r="I924" s="2" t="s">
        <v>44</v>
      </c>
      <c r="J924" s="3">
        <v>0.1515</v>
      </c>
      <c r="K924" s="3">
        <v>0.42</v>
      </c>
      <c r="L924" s="3">
        <v>0.1045</v>
      </c>
      <c r="M924">
        <v>1</v>
      </c>
      <c r="N924">
        <v>33</v>
      </c>
      <c r="O924">
        <v>34</v>
      </c>
    </row>
    <row r="925" spans="1:15" hidden="1" x14ac:dyDescent="0.3">
      <c r="A925">
        <v>924</v>
      </c>
      <c r="B925" s="1">
        <v>40585</v>
      </c>
      <c r="C925">
        <v>0</v>
      </c>
      <c r="D925" s="2" t="s">
        <v>41</v>
      </c>
      <c r="E925" t="s">
        <v>26</v>
      </c>
      <c r="F925" s="2" t="s">
        <v>36</v>
      </c>
      <c r="G925" t="s">
        <v>28</v>
      </c>
      <c r="H925" s="3">
        <v>0.1</v>
      </c>
      <c r="I925" s="2" t="s">
        <v>44</v>
      </c>
      <c r="J925" s="3">
        <v>0.13639999999999999</v>
      </c>
      <c r="K925" s="3">
        <v>0.49</v>
      </c>
      <c r="L925" s="3">
        <v>0.1045</v>
      </c>
      <c r="M925">
        <v>2</v>
      </c>
      <c r="N925">
        <v>12</v>
      </c>
      <c r="O925">
        <v>14</v>
      </c>
    </row>
    <row r="926" spans="1:15" hidden="1" x14ac:dyDescent="0.3">
      <c r="A926">
        <v>925</v>
      </c>
      <c r="B926" s="1">
        <v>40585</v>
      </c>
      <c r="C926">
        <v>1</v>
      </c>
      <c r="D926" s="2" t="s">
        <v>41</v>
      </c>
      <c r="E926" t="s">
        <v>26</v>
      </c>
      <c r="F926" s="2" t="s">
        <v>36</v>
      </c>
      <c r="G926" t="s">
        <v>28</v>
      </c>
      <c r="H926" s="3">
        <v>0.1</v>
      </c>
      <c r="I926" s="2" t="s">
        <v>44</v>
      </c>
      <c r="J926" s="3">
        <v>0.13639999999999999</v>
      </c>
      <c r="K926" s="3">
        <v>0.54</v>
      </c>
      <c r="L926" s="3">
        <v>8.9599999999999999E-2</v>
      </c>
      <c r="M926">
        <v>1</v>
      </c>
      <c r="N926">
        <v>6</v>
      </c>
      <c r="O926">
        <v>7</v>
      </c>
    </row>
    <row r="927" spans="1:15" hidden="1" x14ac:dyDescent="0.3">
      <c r="A927">
        <v>926</v>
      </c>
      <c r="B927" s="1">
        <v>40585</v>
      </c>
      <c r="C927">
        <v>2</v>
      </c>
      <c r="D927" s="2" t="s">
        <v>41</v>
      </c>
      <c r="E927" t="s">
        <v>26</v>
      </c>
      <c r="F927" s="2" t="s">
        <v>36</v>
      </c>
      <c r="G927" t="s">
        <v>28</v>
      </c>
      <c r="H927" s="3">
        <v>0.1</v>
      </c>
      <c r="I927" s="2" t="s">
        <v>44</v>
      </c>
      <c r="J927" s="3">
        <v>0.13639999999999999</v>
      </c>
      <c r="K927" s="3">
        <v>0.54</v>
      </c>
      <c r="L927" s="3">
        <v>8.9599999999999999E-2</v>
      </c>
      <c r="M927">
        <v>0</v>
      </c>
      <c r="N927">
        <v>3</v>
      </c>
      <c r="O927">
        <v>3</v>
      </c>
    </row>
    <row r="928" spans="1:15" x14ac:dyDescent="0.3">
      <c r="A928">
        <v>927</v>
      </c>
      <c r="B928" s="1">
        <v>40585</v>
      </c>
      <c r="C928">
        <v>5</v>
      </c>
      <c r="D928" s="2" t="s">
        <v>43</v>
      </c>
      <c r="E928" t="s">
        <v>26</v>
      </c>
      <c r="F928" s="2" t="s">
        <v>36</v>
      </c>
      <c r="G928" t="s">
        <v>28</v>
      </c>
      <c r="H928" s="3">
        <v>0.08</v>
      </c>
      <c r="I928" s="2" t="s">
        <v>44</v>
      </c>
      <c r="J928" s="3">
        <v>0.1212</v>
      </c>
      <c r="K928" s="3">
        <v>0.63</v>
      </c>
      <c r="L928" s="3">
        <v>8.9599999999999999E-2</v>
      </c>
      <c r="M928">
        <v>0</v>
      </c>
      <c r="N928">
        <v>4</v>
      </c>
      <c r="O928">
        <v>4</v>
      </c>
    </row>
    <row r="929" spans="1:15" x14ac:dyDescent="0.3">
      <c r="A929">
        <v>928</v>
      </c>
      <c r="B929" s="1">
        <v>40585</v>
      </c>
      <c r="C929">
        <v>6</v>
      </c>
      <c r="D929" s="2" t="s">
        <v>43</v>
      </c>
      <c r="E929" t="s">
        <v>26</v>
      </c>
      <c r="F929" s="2" t="s">
        <v>36</v>
      </c>
      <c r="G929" t="s">
        <v>28</v>
      </c>
      <c r="H929" s="3">
        <v>0.1</v>
      </c>
      <c r="I929" s="2" t="s">
        <v>44</v>
      </c>
      <c r="J929" s="3">
        <v>0.18179999999999999</v>
      </c>
      <c r="K929" s="3">
        <v>0.68</v>
      </c>
      <c r="L929" s="3">
        <v>0</v>
      </c>
      <c r="M929">
        <v>1</v>
      </c>
      <c r="N929">
        <v>23</v>
      </c>
      <c r="O929">
        <v>24</v>
      </c>
    </row>
    <row r="930" spans="1:15" x14ac:dyDescent="0.3">
      <c r="A930">
        <v>929</v>
      </c>
      <c r="B930" s="1">
        <v>40585</v>
      </c>
      <c r="C930">
        <v>7</v>
      </c>
      <c r="D930" s="2" t="s">
        <v>43</v>
      </c>
      <c r="E930" t="s">
        <v>26</v>
      </c>
      <c r="F930" s="2" t="s">
        <v>36</v>
      </c>
      <c r="G930" t="s">
        <v>28</v>
      </c>
      <c r="H930" s="3">
        <v>0.08</v>
      </c>
      <c r="I930" s="2" t="s">
        <v>44</v>
      </c>
      <c r="J930" s="3">
        <v>0.16669999999999999</v>
      </c>
      <c r="K930" s="3">
        <v>0.73</v>
      </c>
      <c r="L930" s="3">
        <v>0</v>
      </c>
      <c r="M930">
        <v>1</v>
      </c>
      <c r="N930">
        <v>73</v>
      </c>
      <c r="O930">
        <v>74</v>
      </c>
    </row>
    <row r="931" spans="1:15" x14ac:dyDescent="0.3">
      <c r="A931">
        <v>930</v>
      </c>
      <c r="B931" s="1">
        <v>40585</v>
      </c>
      <c r="C931">
        <v>8</v>
      </c>
      <c r="D931" s="2" t="s">
        <v>43</v>
      </c>
      <c r="E931" t="s">
        <v>26</v>
      </c>
      <c r="F931" s="2" t="s">
        <v>36</v>
      </c>
      <c r="G931" t="s">
        <v>28</v>
      </c>
      <c r="H931" s="3">
        <v>0.1</v>
      </c>
      <c r="I931" s="2" t="s">
        <v>44</v>
      </c>
      <c r="J931" s="3">
        <v>0.1212</v>
      </c>
      <c r="K931" s="3">
        <v>0.74</v>
      </c>
      <c r="L931" s="3">
        <v>0.16420000000000001</v>
      </c>
      <c r="M931">
        <v>4</v>
      </c>
      <c r="N931">
        <v>212</v>
      </c>
      <c r="O931">
        <v>216</v>
      </c>
    </row>
    <row r="932" spans="1:15" x14ac:dyDescent="0.3">
      <c r="A932">
        <v>931</v>
      </c>
      <c r="B932" s="1">
        <v>40585</v>
      </c>
      <c r="C932">
        <v>9</v>
      </c>
      <c r="D932" s="2" t="s">
        <v>43</v>
      </c>
      <c r="E932" t="s">
        <v>26</v>
      </c>
      <c r="F932" s="2" t="s">
        <v>36</v>
      </c>
      <c r="G932" t="s">
        <v>28</v>
      </c>
      <c r="H932" s="3">
        <v>0.12</v>
      </c>
      <c r="I932" s="2" t="s">
        <v>44</v>
      </c>
      <c r="J932" s="3">
        <v>0.1212</v>
      </c>
      <c r="K932" s="3">
        <v>0.74</v>
      </c>
      <c r="L932" s="3">
        <v>0.22389999999999999</v>
      </c>
      <c r="M932">
        <v>8</v>
      </c>
      <c r="N932">
        <v>132</v>
      </c>
      <c r="O932">
        <v>140</v>
      </c>
    </row>
    <row r="933" spans="1:15" x14ac:dyDescent="0.3">
      <c r="A933">
        <v>932</v>
      </c>
      <c r="B933" s="1">
        <v>40585</v>
      </c>
      <c r="C933">
        <v>10</v>
      </c>
      <c r="D933" s="2" t="s">
        <v>43</v>
      </c>
      <c r="E933" t="s">
        <v>26</v>
      </c>
      <c r="F933" s="2" t="s">
        <v>36</v>
      </c>
      <c r="G933" t="s">
        <v>28</v>
      </c>
      <c r="H933" s="3">
        <v>0.14000000000000001</v>
      </c>
      <c r="I933" s="2" t="s">
        <v>44</v>
      </c>
      <c r="J933" s="3">
        <v>0.13639999999999999</v>
      </c>
      <c r="K933" s="3">
        <v>0.69</v>
      </c>
      <c r="L933" s="3">
        <v>0.19400000000000001</v>
      </c>
      <c r="M933">
        <v>5</v>
      </c>
      <c r="N933">
        <v>39</v>
      </c>
      <c r="O933">
        <v>44</v>
      </c>
    </row>
    <row r="934" spans="1:15" x14ac:dyDescent="0.3">
      <c r="A934">
        <v>933</v>
      </c>
      <c r="B934" s="1">
        <v>40585</v>
      </c>
      <c r="C934">
        <v>11</v>
      </c>
      <c r="D934" s="2" t="s">
        <v>43</v>
      </c>
      <c r="E934" t="s">
        <v>26</v>
      </c>
      <c r="F934" s="2" t="s">
        <v>36</v>
      </c>
      <c r="G934" t="s">
        <v>28</v>
      </c>
      <c r="H934" s="3">
        <v>0.22</v>
      </c>
      <c r="I934" s="2" t="s">
        <v>42</v>
      </c>
      <c r="J934" s="3">
        <v>0.2273</v>
      </c>
      <c r="K934" s="3">
        <v>0.47</v>
      </c>
      <c r="L934" s="3">
        <v>0.1343</v>
      </c>
      <c r="M934">
        <v>12</v>
      </c>
      <c r="N934">
        <v>52</v>
      </c>
      <c r="O934">
        <v>64</v>
      </c>
    </row>
    <row r="935" spans="1:15" hidden="1" x14ac:dyDescent="0.3">
      <c r="A935">
        <v>934</v>
      </c>
      <c r="B935" s="1">
        <v>40585</v>
      </c>
      <c r="C935">
        <v>12</v>
      </c>
      <c r="D935" s="2" t="s">
        <v>45</v>
      </c>
      <c r="E935" t="s">
        <v>26</v>
      </c>
      <c r="F935" s="2" t="s">
        <v>36</v>
      </c>
      <c r="G935" t="s">
        <v>28</v>
      </c>
      <c r="H935" s="3">
        <v>0.22</v>
      </c>
      <c r="I935" s="2" t="s">
        <v>42</v>
      </c>
      <c r="J935" s="3">
        <v>0.2273</v>
      </c>
      <c r="K935" s="3">
        <v>0.47</v>
      </c>
      <c r="L935" s="3">
        <v>0.1343</v>
      </c>
      <c r="M935">
        <v>7</v>
      </c>
      <c r="N935">
        <v>64</v>
      </c>
      <c r="O935">
        <v>71</v>
      </c>
    </row>
    <row r="936" spans="1:15" hidden="1" x14ac:dyDescent="0.3">
      <c r="A936">
        <v>935</v>
      </c>
      <c r="B936" s="1">
        <v>40585</v>
      </c>
      <c r="C936">
        <v>13</v>
      </c>
      <c r="D936" s="2" t="s">
        <v>45</v>
      </c>
      <c r="E936" t="s">
        <v>26</v>
      </c>
      <c r="F936" s="2" t="s">
        <v>36</v>
      </c>
      <c r="G936" t="s">
        <v>28</v>
      </c>
      <c r="H936" s="3">
        <v>0.24</v>
      </c>
      <c r="I936" s="2" t="s">
        <v>42</v>
      </c>
      <c r="J936" s="3">
        <v>0.2273</v>
      </c>
      <c r="K936" s="3">
        <v>0.35</v>
      </c>
      <c r="L936" s="3">
        <v>0.19400000000000001</v>
      </c>
      <c r="M936">
        <v>21</v>
      </c>
      <c r="N936">
        <v>89</v>
      </c>
      <c r="O936">
        <v>110</v>
      </c>
    </row>
    <row r="937" spans="1:15" hidden="1" x14ac:dyDescent="0.3">
      <c r="A937">
        <v>936</v>
      </c>
      <c r="B937" s="1">
        <v>40585</v>
      </c>
      <c r="C937">
        <v>14</v>
      </c>
      <c r="D937" s="2" t="s">
        <v>45</v>
      </c>
      <c r="E937" t="s">
        <v>26</v>
      </c>
      <c r="F937" s="2" t="s">
        <v>36</v>
      </c>
      <c r="G937" t="s">
        <v>28</v>
      </c>
      <c r="H937" s="3">
        <v>0.3</v>
      </c>
      <c r="I937" s="2" t="s">
        <v>42</v>
      </c>
      <c r="J937" s="3">
        <v>0.28789999999999999</v>
      </c>
      <c r="K937" s="3">
        <v>0.26</v>
      </c>
      <c r="L937" s="3">
        <v>0.25369999999999998</v>
      </c>
      <c r="M937">
        <v>17</v>
      </c>
      <c r="N937">
        <v>67</v>
      </c>
      <c r="O937">
        <v>84</v>
      </c>
    </row>
    <row r="938" spans="1:15" hidden="1" x14ac:dyDescent="0.3">
      <c r="A938">
        <v>937</v>
      </c>
      <c r="B938" s="1">
        <v>40585</v>
      </c>
      <c r="C938">
        <v>15</v>
      </c>
      <c r="D938" s="2" t="s">
        <v>45</v>
      </c>
      <c r="E938" t="s">
        <v>26</v>
      </c>
      <c r="F938" s="2" t="s">
        <v>36</v>
      </c>
      <c r="G938" t="s">
        <v>28</v>
      </c>
      <c r="H938" s="3">
        <v>0.32</v>
      </c>
      <c r="I938" s="2" t="s">
        <v>42</v>
      </c>
      <c r="J938" s="3">
        <v>0.31819999999999998</v>
      </c>
      <c r="K938" s="3">
        <v>0.21</v>
      </c>
      <c r="L938" s="3">
        <v>0.16420000000000001</v>
      </c>
      <c r="M938">
        <v>12</v>
      </c>
      <c r="N938">
        <v>62</v>
      </c>
      <c r="O938">
        <v>74</v>
      </c>
    </row>
    <row r="939" spans="1:15" hidden="1" x14ac:dyDescent="0.3">
      <c r="A939">
        <v>938</v>
      </c>
      <c r="B939" s="1">
        <v>40585</v>
      </c>
      <c r="C939">
        <v>16</v>
      </c>
      <c r="D939" s="2" t="s">
        <v>45</v>
      </c>
      <c r="E939" t="s">
        <v>26</v>
      </c>
      <c r="F939" s="2" t="s">
        <v>36</v>
      </c>
      <c r="G939" t="s">
        <v>28</v>
      </c>
      <c r="H939" s="3">
        <v>0.3</v>
      </c>
      <c r="I939" s="2" t="s">
        <v>42</v>
      </c>
      <c r="J939" s="3">
        <v>0.28789999999999999</v>
      </c>
      <c r="K939" s="3">
        <v>0.28000000000000003</v>
      </c>
      <c r="L939" s="3">
        <v>0.19400000000000001</v>
      </c>
      <c r="M939">
        <v>14</v>
      </c>
      <c r="N939">
        <v>111</v>
      </c>
      <c r="O939">
        <v>125</v>
      </c>
    </row>
    <row r="940" spans="1:15" hidden="1" x14ac:dyDescent="0.3">
      <c r="A940">
        <v>939</v>
      </c>
      <c r="B940" s="1">
        <v>40585</v>
      </c>
      <c r="C940">
        <v>17</v>
      </c>
      <c r="D940" s="2" t="s">
        <v>47</v>
      </c>
      <c r="E940" t="s">
        <v>26</v>
      </c>
      <c r="F940" s="2" t="s">
        <v>36</v>
      </c>
      <c r="G940" t="s">
        <v>28</v>
      </c>
      <c r="H940" s="3">
        <v>0.3</v>
      </c>
      <c r="I940" s="2" t="s">
        <v>42</v>
      </c>
      <c r="J940" s="3">
        <v>0.33329999999999999</v>
      </c>
      <c r="K940" s="3">
        <v>0.24</v>
      </c>
      <c r="L940" s="3">
        <v>0</v>
      </c>
      <c r="M940">
        <v>18</v>
      </c>
      <c r="N940">
        <v>193</v>
      </c>
      <c r="O940">
        <v>211</v>
      </c>
    </row>
    <row r="941" spans="1:15" hidden="1" x14ac:dyDescent="0.3">
      <c r="A941">
        <v>940</v>
      </c>
      <c r="B941" s="1">
        <v>40585</v>
      </c>
      <c r="C941">
        <v>18</v>
      </c>
      <c r="D941" s="2" t="s">
        <v>47</v>
      </c>
      <c r="E941" t="s">
        <v>26</v>
      </c>
      <c r="F941" s="2" t="s">
        <v>36</v>
      </c>
      <c r="G941" t="s">
        <v>28</v>
      </c>
      <c r="H941" s="3">
        <v>0.28000000000000003</v>
      </c>
      <c r="I941" s="2" t="s">
        <v>42</v>
      </c>
      <c r="J941" s="3">
        <v>0.31819999999999998</v>
      </c>
      <c r="K941" s="3">
        <v>0.28000000000000003</v>
      </c>
      <c r="L941" s="3">
        <v>0</v>
      </c>
      <c r="M941">
        <v>9</v>
      </c>
      <c r="N941">
        <v>165</v>
      </c>
      <c r="O941">
        <v>174</v>
      </c>
    </row>
    <row r="942" spans="1:15" hidden="1" x14ac:dyDescent="0.3">
      <c r="A942">
        <v>941</v>
      </c>
      <c r="B942" s="1">
        <v>40585</v>
      </c>
      <c r="C942">
        <v>19</v>
      </c>
      <c r="D942" s="2" t="s">
        <v>47</v>
      </c>
      <c r="E942" t="s">
        <v>26</v>
      </c>
      <c r="F942" s="2" t="s">
        <v>36</v>
      </c>
      <c r="G942" t="s">
        <v>28</v>
      </c>
      <c r="H942" s="3">
        <v>0.26</v>
      </c>
      <c r="I942" s="2" t="s">
        <v>42</v>
      </c>
      <c r="J942" s="3">
        <v>0.30299999999999999</v>
      </c>
      <c r="K942" s="3">
        <v>0.33</v>
      </c>
      <c r="L942" s="3">
        <v>0</v>
      </c>
      <c r="M942">
        <v>7</v>
      </c>
      <c r="N942">
        <v>94</v>
      </c>
      <c r="O942">
        <v>101</v>
      </c>
    </row>
    <row r="943" spans="1:15" hidden="1" x14ac:dyDescent="0.3">
      <c r="A943">
        <v>942</v>
      </c>
      <c r="B943" s="1">
        <v>40585</v>
      </c>
      <c r="C943">
        <v>20</v>
      </c>
      <c r="D943" s="2" t="s">
        <v>47</v>
      </c>
      <c r="E943" t="s">
        <v>26</v>
      </c>
      <c r="F943" s="2" t="s">
        <v>36</v>
      </c>
      <c r="G943" t="s">
        <v>28</v>
      </c>
      <c r="H943" s="3">
        <v>0.22</v>
      </c>
      <c r="I943" s="2" t="s">
        <v>42</v>
      </c>
      <c r="J943" s="3">
        <v>0.2273</v>
      </c>
      <c r="K943" s="3">
        <v>0.55000000000000004</v>
      </c>
      <c r="L943" s="3">
        <v>0.1343</v>
      </c>
      <c r="M943">
        <v>2</v>
      </c>
      <c r="N943">
        <v>61</v>
      </c>
      <c r="O943">
        <v>63</v>
      </c>
    </row>
    <row r="944" spans="1:15" hidden="1" x14ac:dyDescent="0.3">
      <c r="A944">
        <v>943</v>
      </c>
      <c r="B944" s="1">
        <v>40585</v>
      </c>
      <c r="C944">
        <v>21</v>
      </c>
      <c r="D944" s="2" t="s">
        <v>41</v>
      </c>
      <c r="E944" t="s">
        <v>26</v>
      </c>
      <c r="F944" s="2" t="s">
        <v>36</v>
      </c>
      <c r="G944" t="s">
        <v>28</v>
      </c>
      <c r="H944" s="3">
        <v>0.2</v>
      </c>
      <c r="I944" s="2" t="s">
        <v>44</v>
      </c>
      <c r="J944" s="3">
        <v>0.21210000000000001</v>
      </c>
      <c r="K944" s="3">
        <v>0.59</v>
      </c>
      <c r="L944" s="3">
        <v>0.1343</v>
      </c>
      <c r="M944">
        <v>1</v>
      </c>
      <c r="N944">
        <v>46</v>
      </c>
      <c r="O944">
        <v>47</v>
      </c>
    </row>
    <row r="945" spans="1:15" hidden="1" x14ac:dyDescent="0.3">
      <c r="A945">
        <v>944</v>
      </c>
      <c r="B945" s="1">
        <v>40585</v>
      </c>
      <c r="C945">
        <v>22</v>
      </c>
      <c r="D945" s="2" t="s">
        <v>41</v>
      </c>
      <c r="E945" t="s">
        <v>26</v>
      </c>
      <c r="F945" s="2" t="s">
        <v>36</v>
      </c>
      <c r="G945" t="s">
        <v>28</v>
      </c>
      <c r="H945" s="3">
        <v>0.2</v>
      </c>
      <c r="I945" s="2" t="s">
        <v>44</v>
      </c>
      <c r="J945" s="3">
        <v>0.2273</v>
      </c>
      <c r="K945" s="3">
        <v>0.64</v>
      </c>
      <c r="L945" s="3">
        <v>8.9599999999999999E-2</v>
      </c>
      <c r="M945">
        <v>2</v>
      </c>
      <c r="N945">
        <v>41</v>
      </c>
      <c r="O945">
        <v>43</v>
      </c>
    </row>
    <row r="946" spans="1:15" hidden="1" x14ac:dyDescent="0.3">
      <c r="A946">
        <v>945</v>
      </c>
      <c r="B946" s="1">
        <v>40585</v>
      </c>
      <c r="C946">
        <v>23</v>
      </c>
      <c r="D946" s="2" t="s">
        <v>41</v>
      </c>
      <c r="E946" t="s">
        <v>26</v>
      </c>
      <c r="F946" s="2" t="s">
        <v>36</v>
      </c>
      <c r="G946" t="s">
        <v>28</v>
      </c>
      <c r="H946" s="3">
        <v>0.18</v>
      </c>
      <c r="I946" s="2" t="s">
        <v>44</v>
      </c>
      <c r="J946" s="3">
        <v>0.2424</v>
      </c>
      <c r="K946" s="3">
        <v>0.69</v>
      </c>
      <c r="L946" s="3">
        <v>0</v>
      </c>
      <c r="M946">
        <v>5</v>
      </c>
      <c r="N946">
        <v>48</v>
      </c>
      <c r="O946">
        <v>53</v>
      </c>
    </row>
    <row r="947" spans="1:15" hidden="1" x14ac:dyDescent="0.3">
      <c r="A947">
        <v>946</v>
      </c>
      <c r="B947" s="1">
        <v>40586</v>
      </c>
      <c r="C947">
        <v>0</v>
      </c>
      <c r="D947" s="2" t="s">
        <v>41</v>
      </c>
      <c r="E947" t="s">
        <v>26</v>
      </c>
      <c r="F947" s="2" t="s">
        <v>27</v>
      </c>
      <c r="G947" t="s">
        <v>28</v>
      </c>
      <c r="H947" s="3">
        <v>0.16</v>
      </c>
      <c r="I947" s="2" t="s">
        <v>44</v>
      </c>
      <c r="J947" s="3">
        <v>0.19700000000000001</v>
      </c>
      <c r="K947" s="3">
        <v>0.69</v>
      </c>
      <c r="L947" s="3">
        <v>8.9599999999999999E-2</v>
      </c>
      <c r="M947">
        <v>3</v>
      </c>
      <c r="N947">
        <v>27</v>
      </c>
      <c r="O947">
        <v>30</v>
      </c>
    </row>
    <row r="948" spans="1:15" hidden="1" x14ac:dyDescent="0.3">
      <c r="A948">
        <v>947</v>
      </c>
      <c r="B948" s="1">
        <v>40586</v>
      </c>
      <c r="C948">
        <v>1</v>
      </c>
      <c r="D948" s="2" t="s">
        <v>41</v>
      </c>
      <c r="E948" t="s">
        <v>26</v>
      </c>
      <c r="F948" s="2" t="s">
        <v>27</v>
      </c>
      <c r="G948" t="s">
        <v>28</v>
      </c>
      <c r="H948" s="3">
        <v>0.14000000000000001</v>
      </c>
      <c r="I948" s="2" t="s">
        <v>44</v>
      </c>
      <c r="J948" s="3">
        <v>0.21210000000000001</v>
      </c>
      <c r="K948" s="3">
        <v>0.86</v>
      </c>
      <c r="L948" s="3">
        <v>0</v>
      </c>
      <c r="M948">
        <v>2</v>
      </c>
      <c r="N948">
        <v>22</v>
      </c>
      <c r="O948">
        <v>24</v>
      </c>
    </row>
    <row r="949" spans="1:15" hidden="1" x14ac:dyDescent="0.3">
      <c r="A949">
        <v>948</v>
      </c>
      <c r="B949" s="1">
        <v>40586</v>
      </c>
      <c r="C949">
        <v>2</v>
      </c>
      <c r="D949" s="2" t="s">
        <v>41</v>
      </c>
      <c r="E949" t="s">
        <v>26</v>
      </c>
      <c r="F949" s="2" t="s">
        <v>27</v>
      </c>
      <c r="G949" t="s">
        <v>28</v>
      </c>
      <c r="H949" s="3">
        <v>0.14000000000000001</v>
      </c>
      <c r="I949" s="2" t="s">
        <v>44</v>
      </c>
      <c r="J949" s="3">
        <v>0.21210000000000001</v>
      </c>
      <c r="K949" s="3">
        <v>0.8</v>
      </c>
      <c r="L949" s="3">
        <v>0</v>
      </c>
      <c r="M949">
        <v>2</v>
      </c>
      <c r="N949">
        <v>13</v>
      </c>
      <c r="O949">
        <v>15</v>
      </c>
    </row>
    <row r="950" spans="1:15" hidden="1" x14ac:dyDescent="0.3">
      <c r="A950">
        <v>949</v>
      </c>
      <c r="B950" s="1">
        <v>40586</v>
      </c>
      <c r="C950">
        <v>3</v>
      </c>
      <c r="D950" s="2" t="s">
        <v>41</v>
      </c>
      <c r="E950" t="s">
        <v>26</v>
      </c>
      <c r="F950" s="2" t="s">
        <v>27</v>
      </c>
      <c r="G950" t="s">
        <v>28</v>
      </c>
      <c r="H950" s="3">
        <v>0.12</v>
      </c>
      <c r="I950" s="2" t="s">
        <v>44</v>
      </c>
      <c r="J950" s="3">
        <v>0.19700000000000001</v>
      </c>
      <c r="K950" s="3">
        <v>0.8</v>
      </c>
      <c r="L950" s="3">
        <v>0</v>
      </c>
      <c r="M950">
        <v>3</v>
      </c>
      <c r="N950">
        <v>7</v>
      </c>
      <c r="O950">
        <v>10</v>
      </c>
    </row>
    <row r="951" spans="1:15" hidden="1" x14ac:dyDescent="0.3">
      <c r="A951">
        <v>950</v>
      </c>
      <c r="B951" s="1">
        <v>40586</v>
      </c>
      <c r="C951">
        <v>4</v>
      </c>
      <c r="D951" s="2" t="s">
        <v>41</v>
      </c>
      <c r="E951" t="s">
        <v>26</v>
      </c>
      <c r="F951" s="2" t="s">
        <v>27</v>
      </c>
      <c r="G951" t="s">
        <v>28</v>
      </c>
      <c r="H951" s="3">
        <v>0.12</v>
      </c>
      <c r="I951" s="2" t="s">
        <v>44</v>
      </c>
      <c r="J951" s="3">
        <v>0.16669999999999999</v>
      </c>
      <c r="K951" s="3">
        <v>0.74</v>
      </c>
      <c r="L951" s="3">
        <v>8.9599999999999999E-2</v>
      </c>
      <c r="M951">
        <v>0</v>
      </c>
      <c r="N951">
        <v>4</v>
      </c>
      <c r="O951">
        <v>4</v>
      </c>
    </row>
    <row r="952" spans="1:15" x14ac:dyDescent="0.3">
      <c r="A952">
        <v>951</v>
      </c>
      <c r="B952" s="1">
        <v>40586</v>
      </c>
      <c r="C952">
        <v>5</v>
      </c>
      <c r="D952" s="2" t="s">
        <v>43</v>
      </c>
      <c r="E952" t="s">
        <v>26</v>
      </c>
      <c r="F952" s="2" t="s">
        <v>27</v>
      </c>
      <c r="G952" t="s">
        <v>28</v>
      </c>
      <c r="H952" s="3">
        <v>0.12</v>
      </c>
      <c r="I952" s="2" t="s">
        <v>44</v>
      </c>
      <c r="J952" s="3">
        <v>0.16669999999999999</v>
      </c>
      <c r="K952" s="3">
        <v>0.74</v>
      </c>
      <c r="L952" s="3">
        <v>8.9599999999999999E-2</v>
      </c>
      <c r="M952">
        <v>0</v>
      </c>
      <c r="N952">
        <v>1</v>
      </c>
      <c r="O952">
        <v>1</v>
      </c>
    </row>
    <row r="953" spans="1:15" x14ac:dyDescent="0.3">
      <c r="A953">
        <v>952</v>
      </c>
      <c r="B953" s="1">
        <v>40586</v>
      </c>
      <c r="C953">
        <v>6</v>
      </c>
      <c r="D953" s="2" t="s">
        <v>43</v>
      </c>
      <c r="E953" t="s">
        <v>26</v>
      </c>
      <c r="F953" s="2" t="s">
        <v>27</v>
      </c>
      <c r="G953" t="s">
        <v>28</v>
      </c>
      <c r="H953" s="3">
        <v>0.12</v>
      </c>
      <c r="I953" s="2" t="s">
        <v>44</v>
      </c>
      <c r="J953" s="3">
        <v>0.13639999999999999</v>
      </c>
      <c r="K953" s="3">
        <v>0.93</v>
      </c>
      <c r="L953" s="3">
        <v>0.19400000000000001</v>
      </c>
      <c r="M953">
        <v>1</v>
      </c>
      <c r="N953">
        <v>1</v>
      </c>
      <c r="O953">
        <v>2</v>
      </c>
    </row>
    <row r="954" spans="1:15" x14ac:dyDescent="0.3">
      <c r="A954">
        <v>953</v>
      </c>
      <c r="B954" s="1">
        <v>40586</v>
      </c>
      <c r="C954">
        <v>7</v>
      </c>
      <c r="D954" s="2" t="s">
        <v>43</v>
      </c>
      <c r="E954" t="s">
        <v>26</v>
      </c>
      <c r="F954" s="2" t="s">
        <v>27</v>
      </c>
      <c r="G954" t="s">
        <v>28</v>
      </c>
      <c r="H954" s="3">
        <v>0.12</v>
      </c>
      <c r="I954" s="2" t="s">
        <v>44</v>
      </c>
      <c r="J954" s="3">
        <v>0.1515</v>
      </c>
      <c r="K954" s="3">
        <v>0.8</v>
      </c>
      <c r="L954" s="3">
        <v>0.1045</v>
      </c>
      <c r="M954">
        <v>2</v>
      </c>
      <c r="N954">
        <v>9</v>
      </c>
      <c r="O954">
        <v>11</v>
      </c>
    </row>
    <row r="955" spans="1:15" x14ac:dyDescent="0.3">
      <c r="A955">
        <v>954</v>
      </c>
      <c r="B955" s="1">
        <v>40586</v>
      </c>
      <c r="C955">
        <v>8</v>
      </c>
      <c r="D955" s="2" t="s">
        <v>43</v>
      </c>
      <c r="E955" t="s">
        <v>26</v>
      </c>
      <c r="F955" s="2" t="s">
        <v>27</v>
      </c>
      <c r="G955" t="s">
        <v>28</v>
      </c>
      <c r="H955" s="3">
        <v>0.14000000000000001</v>
      </c>
      <c r="I955" s="2" t="s">
        <v>44</v>
      </c>
      <c r="J955" s="3">
        <v>0.1515</v>
      </c>
      <c r="K955" s="3">
        <v>0.86</v>
      </c>
      <c r="L955" s="3">
        <v>0.1343</v>
      </c>
      <c r="M955">
        <v>2</v>
      </c>
      <c r="N955">
        <v>28</v>
      </c>
      <c r="O955">
        <v>30</v>
      </c>
    </row>
    <row r="956" spans="1:15" x14ac:dyDescent="0.3">
      <c r="A956">
        <v>955</v>
      </c>
      <c r="B956" s="1">
        <v>40586</v>
      </c>
      <c r="C956">
        <v>9</v>
      </c>
      <c r="D956" s="2" t="s">
        <v>43</v>
      </c>
      <c r="E956" t="s">
        <v>26</v>
      </c>
      <c r="F956" s="2" t="s">
        <v>27</v>
      </c>
      <c r="G956" t="s">
        <v>28</v>
      </c>
      <c r="H956" s="3">
        <v>0.16</v>
      </c>
      <c r="I956" s="2" t="s">
        <v>44</v>
      </c>
      <c r="J956" s="3">
        <v>0.18179999999999999</v>
      </c>
      <c r="K956" s="3">
        <v>0.64</v>
      </c>
      <c r="L956" s="3">
        <v>0.1343</v>
      </c>
      <c r="M956">
        <v>5</v>
      </c>
      <c r="N956">
        <v>38</v>
      </c>
      <c r="O956">
        <v>43</v>
      </c>
    </row>
    <row r="957" spans="1:15" x14ac:dyDescent="0.3">
      <c r="A957">
        <v>956</v>
      </c>
      <c r="B957" s="1">
        <v>40586</v>
      </c>
      <c r="C957">
        <v>10</v>
      </c>
      <c r="D957" s="2" t="s">
        <v>43</v>
      </c>
      <c r="E957" t="s">
        <v>26</v>
      </c>
      <c r="F957" s="2" t="s">
        <v>27</v>
      </c>
      <c r="G957" t="s">
        <v>28</v>
      </c>
      <c r="H957" s="3">
        <v>0.22</v>
      </c>
      <c r="I957" s="2" t="s">
        <v>42</v>
      </c>
      <c r="J957" s="3">
        <v>0.21210000000000001</v>
      </c>
      <c r="K957" s="3">
        <v>0.41</v>
      </c>
      <c r="L957" s="3">
        <v>0.25369999999999998</v>
      </c>
      <c r="M957">
        <v>13</v>
      </c>
      <c r="N957">
        <v>71</v>
      </c>
      <c r="O957">
        <v>84</v>
      </c>
    </row>
    <row r="958" spans="1:15" x14ac:dyDescent="0.3">
      <c r="A958">
        <v>957</v>
      </c>
      <c r="B958" s="1">
        <v>40586</v>
      </c>
      <c r="C958">
        <v>11</v>
      </c>
      <c r="D958" s="2" t="s">
        <v>43</v>
      </c>
      <c r="E958" t="s">
        <v>26</v>
      </c>
      <c r="F958" s="2" t="s">
        <v>27</v>
      </c>
      <c r="G958" t="s">
        <v>28</v>
      </c>
      <c r="H958" s="3">
        <v>0.3</v>
      </c>
      <c r="I958" s="2" t="s">
        <v>42</v>
      </c>
      <c r="J958" s="3">
        <v>0.2727</v>
      </c>
      <c r="K958" s="3">
        <v>0.28000000000000003</v>
      </c>
      <c r="L958" s="3">
        <v>0.32840000000000003</v>
      </c>
      <c r="M958">
        <v>30</v>
      </c>
      <c r="N958">
        <v>84</v>
      </c>
      <c r="O958">
        <v>114</v>
      </c>
    </row>
    <row r="959" spans="1:15" hidden="1" x14ac:dyDescent="0.3">
      <c r="A959">
        <v>958</v>
      </c>
      <c r="B959" s="1">
        <v>40586</v>
      </c>
      <c r="C959">
        <v>12</v>
      </c>
      <c r="D959" s="2" t="s">
        <v>45</v>
      </c>
      <c r="E959" t="s">
        <v>26</v>
      </c>
      <c r="F959" s="2" t="s">
        <v>27</v>
      </c>
      <c r="G959" t="s">
        <v>28</v>
      </c>
      <c r="H959" s="3">
        <v>0.3</v>
      </c>
      <c r="I959" s="2" t="s">
        <v>42</v>
      </c>
      <c r="J959" s="3">
        <v>0.2727</v>
      </c>
      <c r="K959" s="3">
        <v>0.39</v>
      </c>
      <c r="L959" s="3">
        <v>0.4627</v>
      </c>
      <c r="M959">
        <v>27</v>
      </c>
      <c r="N959">
        <v>93</v>
      </c>
      <c r="O959">
        <v>120</v>
      </c>
    </row>
    <row r="960" spans="1:15" hidden="1" x14ac:dyDescent="0.3">
      <c r="A960">
        <v>959</v>
      </c>
      <c r="B960" s="1">
        <v>40586</v>
      </c>
      <c r="C960">
        <v>13</v>
      </c>
      <c r="D960" s="2" t="s">
        <v>45</v>
      </c>
      <c r="E960" t="s">
        <v>26</v>
      </c>
      <c r="F960" s="2" t="s">
        <v>27</v>
      </c>
      <c r="G960" t="s">
        <v>28</v>
      </c>
      <c r="H960" s="3">
        <v>0.3</v>
      </c>
      <c r="I960" s="2" t="s">
        <v>42</v>
      </c>
      <c r="J960" s="3">
        <v>0.2727</v>
      </c>
      <c r="K960" s="3">
        <v>0.39</v>
      </c>
      <c r="L960" s="3">
        <v>0.41789999999999999</v>
      </c>
      <c r="M960">
        <v>32</v>
      </c>
      <c r="N960">
        <v>103</v>
      </c>
      <c r="O960">
        <v>135</v>
      </c>
    </row>
    <row r="961" spans="1:15" hidden="1" x14ac:dyDescent="0.3">
      <c r="A961">
        <v>960</v>
      </c>
      <c r="B961" s="1">
        <v>40586</v>
      </c>
      <c r="C961">
        <v>14</v>
      </c>
      <c r="D961" s="2" t="s">
        <v>45</v>
      </c>
      <c r="E961" t="s">
        <v>26</v>
      </c>
      <c r="F961" s="2" t="s">
        <v>27</v>
      </c>
      <c r="G961" t="s">
        <v>28</v>
      </c>
      <c r="H961" s="3">
        <v>0.34</v>
      </c>
      <c r="I961" s="2" t="s">
        <v>42</v>
      </c>
      <c r="J961" s="3">
        <v>0.31819999999999998</v>
      </c>
      <c r="K961" s="3">
        <v>0.31</v>
      </c>
      <c r="L961" s="3">
        <v>0.28360000000000002</v>
      </c>
      <c r="M961">
        <v>30</v>
      </c>
      <c r="N961">
        <v>90</v>
      </c>
      <c r="O961">
        <v>120</v>
      </c>
    </row>
    <row r="962" spans="1:15" hidden="1" x14ac:dyDescent="0.3">
      <c r="A962">
        <v>961</v>
      </c>
      <c r="B962" s="1">
        <v>40586</v>
      </c>
      <c r="C962">
        <v>15</v>
      </c>
      <c r="D962" s="2" t="s">
        <v>45</v>
      </c>
      <c r="E962" t="s">
        <v>26</v>
      </c>
      <c r="F962" s="2" t="s">
        <v>27</v>
      </c>
      <c r="G962" t="s">
        <v>28</v>
      </c>
      <c r="H962" s="3">
        <v>0.34</v>
      </c>
      <c r="I962" s="2" t="s">
        <v>42</v>
      </c>
      <c r="J962" s="3">
        <v>0.30299999999999999</v>
      </c>
      <c r="K962" s="3">
        <v>0.28999999999999998</v>
      </c>
      <c r="L962" s="3">
        <v>0.41789999999999999</v>
      </c>
      <c r="M962">
        <v>47</v>
      </c>
      <c r="N962">
        <v>127</v>
      </c>
      <c r="O962">
        <v>174</v>
      </c>
    </row>
    <row r="963" spans="1:15" hidden="1" x14ac:dyDescent="0.3">
      <c r="A963">
        <v>962</v>
      </c>
      <c r="B963" s="1">
        <v>40586</v>
      </c>
      <c r="C963">
        <v>16</v>
      </c>
      <c r="D963" s="2" t="s">
        <v>45</v>
      </c>
      <c r="E963" t="s">
        <v>26</v>
      </c>
      <c r="F963" s="2" t="s">
        <v>27</v>
      </c>
      <c r="G963" t="s">
        <v>28</v>
      </c>
      <c r="H963" s="3">
        <v>0.34</v>
      </c>
      <c r="I963" s="2" t="s">
        <v>42</v>
      </c>
      <c r="J963" s="3">
        <v>0.30299999999999999</v>
      </c>
      <c r="K963" s="3">
        <v>0.28999999999999998</v>
      </c>
      <c r="L963" s="3">
        <v>0.41789999999999999</v>
      </c>
      <c r="M963">
        <v>42</v>
      </c>
      <c r="N963">
        <v>103</v>
      </c>
      <c r="O963">
        <v>145</v>
      </c>
    </row>
    <row r="964" spans="1:15" hidden="1" x14ac:dyDescent="0.3">
      <c r="A964">
        <v>963</v>
      </c>
      <c r="B964" s="1">
        <v>40586</v>
      </c>
      <c r="C964">
        <v>17</v>
      </c>
      <c r="D964" s="2" t="s">
        <v>47</v>
      </c>
      <c r="E964" t="s">
        <v>26</v>
      </c>
      <c r="F964" s="2" t="s">
        <v>27</v>
      </c>
      <c r="G964" t="s">
        <v>28</v>
      </c>
      <c r="H964" s="3">
        <v>0.32</v>
      </c>
      <c r="I964" s="2" t="s">
        <v>42</v>
      </c>
      <c r="J964" s="3">
        <v>0.28789999999999999</v>
      </c>
      <c r="K964" s="3">
        <v>0.31</v>
      </c>
      <c r="L964" s="3">
        <v>0.52239999999999998</v>
      </c>
      <c r="M964">
        <v>24</v>
      </c>
      <c r="N964">
        <v>113</v>
      </c>
      <c r="O964">
        <v>137</v>
      </c>
    </row>
    <row r="965" spans="1:15" hidden="1" x14ac:dyDescent="0.3">
      <c r="A965">
        <v>964</v>
      </c>
      <c r="B965" s="1">
        <v>40586</v>
      </c>
      <c r="C965">
        <v>18</v>
      </c>
      <c r="D965" s="2" t="s">
        <v>47</v>
      </c>
      <c r="E965" t="s">
        <v>26</v>
      </c>
      <c r="F965" s="2" t="s">
        <v>27</v>
      </c>
      <c r="G965" t="s">
        <v>28</v>
      </c>
      <c r="H965" s="3">
        <v>0.28000000000000003</v>
      </c>
      <c r="I965" s="2" t="s">
        <v>42</v>
      </c>
      <c r="J965" s="3">
        <v>0.2576</v>
      </c>
      <c r="K965" s="3">
        <v>0.38</v>
      </c>
      <c r="L965" s="3">
        <v>0.32840000000000003</v>
      </c>
      <c r="M965">
        <v>4</v>
      </c>
      <c r="N965">
        <v>60</v>
      </c>
      <c r="O965">
        <v>64</v>
      </c>
    </row>
    <row r="966" spans="1:15" hidden="1" x14ac:dyDescent="0.3">
      <c r="A966">
        <v>965</v>
      </c>
      <c r="B966" s="1">
        <v>40586</v>
      </c>
      <c r="C966">
        <v>19</v>
      </c>
      <c r="D966" s="2" t="s">
        <v>47</v>
      </c>
      <c r="E966" t="s">
        <v>26</v>
      </c>
      <c r="F966" s="2" t="s">
        <v>27</v>
      </c>
      <c r="G966" t="s">
        <v>28</v>
      </c>
      <c r="H966" s="3">
        <v>0.28000000000000003</v>
      </c>
      <c r="I966" s="2" t="s">
        <v>42</v>
      </c>
      <c r="J966" s="3">
        <v>0.2727</v>
      </c>
      <c r="K966" s="3">
        <v>0.38</v>
      </c>
      <c r="L966" s="3">
        <v>0.16420000000000001</v>
      </c>
      <c r="M966">
        <v>2</v>
      </c>
      <c r="N966">
        <v>39</v>
      </c>
      <c r="O966">
        <v>41</v>
      </c>
    </row>
    <row r="967" spans="1:15" hidden="1" x14ac:dyDescent="0.3">
      <c r="A967">
        <v>966</v>
      </c>
      <c r="B967" s="1">
        <v>40586</v>
      </c>
      <c r="C967">
        <v>20</v>
      </c>
      <c r="D967" s="2" t="s">
        <v>47</v>
      </c>
      <c r="E967" t="s">
        <v>26</v>
      </c>
      <c r="F967" s="2" t="s">
        <v>27</v>
      </c>
      <c r="G967" t="s">
        <v>28</v>
      </c>
      <c r="H967" s="3">
        <v>0.26</v>
      </c>
      <c r="I967" s="2" t="s">
        <v>42</v>
      </c>
      <c r="J967" s="3">
        <v>0.2576</v>
      </c>
      <c r="K967" s="3">
        <v>0.41</v>
      </c>
      <c r="L967" s="3">
        <v>0.22389999999999999</v>
      </c>
      <c r="M967">
        <v>1</v>
      </c>
      <c r="N967">
        <v>39</v>
      </c>
      <c r="O967">
        <v>40</v>
      </c>
    </row>
    <row r="968" spans="1:15" hidden="1" x14ac:dyDescent="0.3">
      <c r="A968">
        <v>967</v>
      </c>
      <c r="B968" s="1">
        <v>40586</v>
      </c>
      <c r="C968">
        <v>21</v>
      </c>
      <c r="D968" s="2" t="s">
        <v>41</v>
      </c>
      <c r="E968" t="s">
        <v>26</v>
      </c>
      <c r="F968" s="2" t="s">
        <v>27</v>
      </c>
      <c r="G968" t="s">
        <v>28</v>
      </c>
      <c r="H968" s="3">
        <v>0.26</v>
      </c>
      <c r="I968" s="2" t="s">
        <v>42</v>
      </c>
      <c r="J968" s="3">
        <v>0.30299999999999999</v>
      </c>
      <c r="K968" s="3">
        <v>0.41</v>
      </c>
      <c r="L968" s="3">
        <v>0</v>
      </c>
      <c r="M968">
        <v>9</v>
      </c>
      <c r="N968">
        <v>42</v>
      </c>
      <c r="O968">
        <v>51</v>
      </c>
    </row>
    <row r="969" spans="1:15" hidden="1" x14ac:dyDescent="0.3">
      <c r="A969">
        <v>968</v>
      </c>
      <c r="B969" s="1">
        <v>40586</v>
      </c>
      <c r="C969">
        <v>22</v>
      </c>
      <c r="D969" s="2" t="s">
        <v>41</v>
      </c>
      <c r="E969" t="s">
        <v>26</v>
      </c>
      <c r="F969" s="2" t="s">
        <v>27</v>
      </c>
      <c r="G969" t="s">
        <v>28</v>
      </c>
      <c r="H969" s="3">
        <v>0.24</v>
      </c>
      <c r="I969" s="2" t="s">
        <v>42</v>
      </c>
      <c r="J969" s="3">
        <v>0.2576</v>
      </c>
      <c r="K969" s="3">
        <v>0.44</v>
      </c>
      <c r="L969" s="3">
        <v>8.9599999999999999E-2</v>
      </c>
      <c r="M969">
        <v>6</v>
      </c>
      <c r="N969">
        <v>39</v>
      </c>
      <c r="O969">
        <v>45</v>
      </c>
    </row>
    <row r="970" spans="1:15" hidden="1" x14ac:dyDescent="0.3">
      <c r="A970">
        <v>969</v>
      </c>
      <c r="B970" s="1">
        <v>40586</v>
      </c>
      <c r="C970">
        <v>23</v>
      </c>
      <c r="D970" s="2" t="s">
        <v>41</v>
      </c>
      <c r="E970" t="s">
        <v>26</v>
      </c>
      <c r="F970" s="2" t="s">
        <v>27</v>
      </c>
      <c r="G970" t="s">
        <v>28</v>
      </c>
      <c r="H970" s="3">
        <v>0.22</v>
      </c>
      <c r="I970" s="2" t="s">
        <v>42</v>
      </c>
      <c r="J970" s="3">
        <v>0.2273</v>
      </c>
      <c r="K970" s="3">
        <v>0.51</v>
      </c>
      <c r="L970" s="3">
        <v>0.1343</v>
      </c>
      <c r="M970">
        <v>1</v>
      </c>
      <c r="N970">
        <v>31</v>
      </c>
      <c r="O970">
        <v>32</v>
      </c>
    </row>
    <row r="971" spans="1:15" hidden="1" x14ac:dyDescent="0.3">
      <c r="A971">
        <v>970</v>
      </c>
      <c r="B971" s="1">
        <v>40587</v>
      </c>
      <c r="C971">
        <v>0</v>
      </c>
      <c r="D971" s="2" t="s">
        <v>41</v>
      </c>
      <c r="E971" t="s">
        <v>26</v>
      </c>
      <c r="F971" s="2" t="s">
        <v>31</v>
      </c>
      <c r="G971" t="s">
        <v>28</v>
      </c>
      <c r="H971" s="3">
        <v>0.2</v>
      </c>
      <c r="I971" s="2" t="s">
        <v>44</v>
      </c>
      <c r="J971" s="3">
        <v>0.2273</v>
      </c>
      <c r="K971" s="3">
        <v>0.64</v>
      </c>
      <c r="L971" s="3">
        <v>0.1045</v>
      </c>
      <c r="M971">
        <v>5</v>
      </c>
      <c r="N971">
        <v>34</v>
      </c>
      <c r="O971">
        <v>39</v>
      </c>
    </row>
    <row r="972" spans="1:15" hidden="1" x14ac:dyDescent="0.3">
      <c r="A972">
        <v>971</v>
      </c>
      <c r="B972" s="1">
        <v>40587</v>
      </c>
      <c r="C972">
        <v>1</v>
      </c>
      <c r="D972" s="2" t="s">
        <v>41</v>
      </c>
      <c r="E972" t="s">
        <v>26</v>
      </c>
      <c r="F972" s="2" t="s">
        <v>31</v>
      </c>
      <c r="G972" t="s">
        <v>28</v>
      </c>
      <c r="H972" s="3">
        <v>0.2</v>
      </c>
      <c r="I972" s="2" t="s">
        <v>44</v>
      </c>
      <c r="J972" s="3">
        <v>0.2273</v>
      </c>
      <c r="K972" s="3">
        <v>0.59</v>
      </c>
      <c r="L972" s="3">
        <v>8.9599999999999999E-2</v>
      </c>
      <c r="M972">
        <v>1</v>
      </c>
      <c r="N972">
        <v>23</v>
      </c>
      <c r="O972">
        <v>24</v>
      </c>
    </row>
    <row r="973" spans="1:15" hidden="1" x14ac:dyDescent="0.3">
      <c r="A973">
        <v>972</v>
      </c>
      <c r="B973" s="1">
        <v>40587</v>
      </c>
      <c r="C973">
        <v>2</v>
      </c>
      <c r="D973" s="2" t="s">
        <v>41</v>
      </c>
      <c r="E973" t="s">
        <v>26</v>
      </c>
      <c r="F973" s="2" t="s">
        <v>31</v>
      </c>
      <c r="G973" t="s">
        <v>29</v>
      </c>
      <c r="H973" s="3">
        <v>0.2</v>
      </c>
      <c r="I973" s="2" t="s">
        <v>44</v>
      </c>
      <c r="J973" s="3">
        <v>0.2273</v>
      </c>
      <c r="K973" s="3">
        <v>0.75</v>
      </c>
      <c r="L973" s="3">
        <v>8.9599999999999999E-2</v>
      </c>
      <c r="M973">
        <v>1</v>
      </c>
      <c r="N973">
        <v>19</v>
      </c>
      <c r="O973">
        <v>20</v>
      </c>
    </row>
    <row r="974" spans="1:15" hidden="1" x14ac:dyDescent="0.3">
      <c r="A974">
        <v>973</v>
      </c>
      <c r="B974" s="1">
        <v>40587</v>
      </c>
      <c r="C974">
        <v>3</v>
      </c>
      <c r="D974" s="2" t="s">
        <v>41</v>
      </c>
      <c r="E974" t="s">
        <v>26</v>
      </c>
      <c r="F974" s="2" t="s">
        <v>31</v>
      </c>
      <c r="G974" t="s">
        <v>29</v>
      </c>
      <c r="H974" s="3">
        <v>0.2</v>
      </c>
      <c r="I974" s="2" t="s">
        <v>44</v>
      </c>
      <c r="J974" s="3">
        <v>0.2273</v>
      </c>
      <c r="K974" s="3">
        <v>0.69</v>
      </c>
      <c r="L974" s="3">
        <v>0.1045</v>
      </c>
      <c r="M974">
        <v>4</v>
      </c>
      <c r="N974">
        <v>8</v>
      </c>
      <c r="O974">
        <v>12</v>
      </c>
    </row>
    <row r="975" spans="1:15" hidden="1" x14ac:dyDescent="0.3">
      <c r="A975">
        <v>974</v>
      </c>
      <c r="B975" s="1">
        <v>40587</v>
      </c>
      <c r="C975">
        <v>4</v>
      </c>
      <c r="D975" s="2" t="s">
        <v>41</v>
      </c>
      <c r="E975" t="s">
        <v>26</v>
      </c>
      <c r="F975" s="2" t="s">
        <v>31</v>
      </c>
      <c r="G975" t="s">
        <v>29</v>
      </c>
      <c r="H975" s="3">
        <v>0.2</v>
      </c>
      <c r="I975" s="2" t="s">
        <v>44</v>
      </c>
      <c r="J975" s="3">
        <v>0.21210000000000001</v>
      </c>
      <c r="K975" s="3">
        <v>0.69</v>
      </c>
      <c r="L975" s="3">
        <v>0.16420000000000001</v>
      </c>
      <c r="M975">
        <v>0</v>
      </c>
      <c r="N975">
        <v>2</v>
      </c>
      <c r="O975">
        <v>2</v>
      </c>
    </row>
    <row r="976" spans="1:15" x14ac:dyDescent="0.3">
      <c r="A976">
        <v>975</v>
      </c>
      <c r="B976" s="1">
        <v>40587</v>
      </c>
      <c r="C976">
        <v>6</v>
      </c>
      <c r="D976" s="2" t="s">
        <v>43</v>
      </c>
      <c r="E976" t="s">
        <v>26</v>
      </c>
      <c r="F976" s="2" t="s">
        <v>31</v>
      </c>
      <c r="G976" t="s">
        <v>29</v>
      </c>
      <c r="H976" s="3">
        <v>0.2</v>
      </c>
      <c r="I976" s="2" t="s">
        <v>44</v>
      </c>
      <c r="J976" s="3">
        <v>0.21210000000000001</v>
      </c>
      <c r="K976" s="3">
        <v>0.69</v>
      </c>
      <c r="L976" s="3">
        <v>0.1343</v>
      </c>
      <c r="M976">
        <v>2</v>
      </c>
      <c r="N976">
        <v>3</v>
      </c>
      <c r="O976">
        <v>5</v>
      </c>
    </row>
    <row r="977" spans="1:15" x14ac:dyDescent="0.3">
      <c r="A977">
        <v>976</v>
      </c>
      <c r="B977" s="1">
        <v>40587</v>
      </c>
      <c r="C977">
        <v>7</v>
      </c>
      <c r="D977" s="2" t="s">
        <v>43</v>
      </c>
      <c r="E977" t="s">
        <v>26</v>
      </c>
      <c r="F977" s="2" t="s">
        <v>31</v>
      </c>
      <c r="G977" t="s">
        <v>29</v>
      </c>
      <c r="H977" s="3">
        <v>0.22</v>
      </c>
      <c r="I977" s="2" t="s">
        <v>42</v>
      </c>
      <c r="J977" s="3">
        <v>0.2727</v>
      </c>
      <c r="K977" s="3">
        <v>0.55000000000000004</v>
      </c>
      <c r="L977" s="3">
        <v>0</v>
      </c>
      <c r="M977">
        <v>0</v>
      </c>
      <c r="N977">
        <v>3</v>
      </c>
      <c r="O977">
        <v>3</v>
      </c>
    </row>
    <row r="978" spans="1:15" x14ac:dyDescent="0.3">
      <c r="A978">
        <v>977</v>
      </c>
      <c r="B978" s="1">
        <v>40587</v>
      </c>
      <c r="C978">
        <v>8</v>
      </c>
      <c r="D978" s="2" t="s">
        <v>43</v>
      </c>
      <c r="E978" t="s">
        <v>26</v>
      </c>
      <c r="F978" s="2" t="s">
        <v>31</v>
      </c>
      <c r="G978" t="s">
        <v>29</v>
      </c>
      <c r="H978" s="3">
        <v>0.22</v>
      </c>
      <c r="I978" s="2" t="s">
        <v>42</v>
      </c>
      <c r="J978" s="3">
        <v>0.2273</v>
      </c>
      <c r="K978" s="3">
        <v>0.64</v>
      </c>
      <c r="L978" s="3">
        <v>0.19400000000000001</v>
      </c>
      <c r="M978">
        <v>1</v>
      </c>
      <c r="N978">
        <v>11</v>
      </c>
      <c r="O978">
        <v>12</v>
      </c>
    </row>
    <row r="979" spans="1:15" x14ac:dyDescent="0.3">
      <c r="A979">
        <v>978</v>
      </c>
      <c r="B979" s="1">
        <v>40587</v>
      </c>
      <c r="C979">
        <v>9</v>
      </c>
      <c r="D979" s="2" t="s">
        <v>43</v>
      </c>
      <c r="E979" t="s">
        <v>26</v>
      </c>
      <c r="F979" s="2" t="s">
        <v>31</v>
      </c>
      <c r="G979" t="s">
        <v>29</v>
      </c>
      <c r="H979" s="3">
        <v>0.24</v>
      </c>
      <c r="I979" s="2" t="s">
        <v>42</v>
      </c>
      <c r="J979" s="3">
        <v>0.2273</v>
      </c>
      <c r="K979" s="3">
        <v>0.6</v>
      </c>
      <c r="L979" s="3">
        <v>0.22389999999999999</v>
      </c>
      <c r="M979">
        <v>12</v>
      </c>
      <c r="N979">
        <v>35</v>
      </c>
      <c r="O979">
        <v>47</v>
      </c>
    </row>
    <row r="980" spans="1:15" x14ac:dyDescent="0.3">
      <c r="A980">
        <v>979</v>
      </c>
      <c r="B980" s="1">
        <v>40587</v>
      </c>
      <c r="C980">
        <v>10</v>
      </c>
      <c r="D980" s="2" t="s">
        <v>43</v>
      </c>
      <c r="E980" t="s">
        <v>26</v>
      </c>
      <c r="F980" s="2" t="s">
        <v>31</v>
      </c>
      <c r="G980" t="s">
        <v>28</v>
      </c>
      <c r="H980" s="3">
        <v>0.3</v>
      </c>
      <c r="I980" s="2" t="s">
        <v>42</v>
      </c>
      <c r="J980" s="3">
        <v>0.2727</v>
      </c>
      <c r="K980" s="3">
        <v>0.45</v>
      </c>
      <c r="L980" s="3">
        <v>0.32840000000000003</v>
      </c>
      <c r="M980">
        <v>19</v>
      </c>
      <c r="N980">
        <v>86</v>
      </c>
      <c r="O980">
        <v>105</v>
      </c>
    </row>
    <row r="981" spans="1:15" x14ac:dyDescent="0.3">
      <c r="A981">
        <v>980</v>
      </c>
      <c r="B981" s="1">
        <v>40587</v>
      </c>
      <c r="C981">
        <v>11</v>
      </c>
      <c r="D981" s="2" t="s">
        <v>43</v>
      </c>
      <c r="E981" t="s">
        <v>26</v>
      </c>
      <c r="F981" s="2" t="s">
        <v>31</v>
      </c>
      <c r="G981" t="s">
        <v>28</v>
      </c>
      <c r="H981" s="3">
        <v>0.32</v>
      </c>
      <c r="I981" s="2" t="s">
        <v>42</v>
      </c>
      <c r="J981" s="3">
        <v>0.28789999999999999</v>
      </c>
      <c r="K981" s="3">
        <v>0.39</v>
      </c>
      <c r="L981" s="3">
        <v>0.44779999999999998</v>
      </c>
      <c r="M981">
        <v>26</v>
      </c>
      <c r="N981">
        <v>86</v>
      </c>
      <c r="O981">
        <v>112</v>
      </c>
    </row>
    <row r="982" spans="1:15" hidden="1" x14ac:dyDescent="0.3">
      <c r="A982">
        <v>981</v>
      </c>
      <c r="B982" s="1">
        <v>40587</v>
      </c>
      <c r="C982">
        <v>12</v>
      </c>
      <c r="D982" s="2" t="s">
        <v>45</v>
      </c>
      <c r="E982" t="s">
        <v>26</v>
      </c>
      <c r="F982" s="2" t="s">
        <v>31</v>
      </c>
      <c r="G982" t="s">
        <v>28</v>
      </c>
      <c r="H982" s="3">
        <v>0.36</v>
      </c>
      <c r="I982" s="2" t="s">
        <v>42</v>
      </c>
      <c r="J982" s="3">
        <v>0.31819999999999998</v>
      </c>
      <c r="K982" s="3">
        <v>0.32</v>
      </c>
      <c r="L982" s="3">
        <v>0.4627</v>
      </c>
      <c r="M982">
        <v>58</v>
      </c>
      <c r="N982">
        <v>94</v>
      </c>
      <c r="O982">
        <v>152</v>
      </c>
    </row>
    <row r="983" spans="1:15" hidden="1" x14ac:dyDescent="0.3">
      <c r="A983">
        <v>982</v>
      </c>
      <c r="B983" s="1">
        <v>40587</v>
      </c>
      <c r="C983">
        <v>13</v>
      </c>
      <c r="D983" s="2" t="s">
        <v>45</v>
      </c>
      <c r="E983" t="s">
        <v>26</v>
      </c>
      <c r="F983" s="2" t="s">
        <v>31</v>
      </c>
      <c r="G983" t="s">
        <v>28</v>
      </c>
      <c r="H983" s="3">
        <v>0.38</v>
      </c>
      <c r="I983" s="2" t="s">
        <v>42</v>
      </c>
      <c r="J983" s="3">
        <v>0.39389999999999997</v>
      </c>
      <c r="K983" s="3">
        <v>0.28999999999999998</v>
      </c>
      <c r="L983" s="3">
        <v>0.35820000000000002</v>
      </c>
      <c r="M983">
        <v>62</v>
      </c>
      <c r="N983">
        <v>92</v>
      </c>
      <c r="O983">
        <v>154</v>
      </c>
    </row>
    <row r="984" spans="1:15" hidden="1" x14ac:dyDescent="0.3">
      <c r="A984">
        <v>983</v>
      </c>
      <c r="B984" s="1">
        <v>40587</v>
      </c>
      <c r="C984">
        <v>14</v>
      </c>
      <c r="D984" s="2" t="s">
        <v>45</v>
      </c>
      <c r="E984" t="s">
        <v>26</v>
      </c>
      <c r="F984" s="2" t="s">
        <v>31</v>
      </c>
      <c r="G984" t="s">
        <v>29</v>
      </c>
      <c r="H984" s="3">
        <v>0.4</v>
      </c>
      <c r="I984" s="2" t="s">
        <v>42</v>
      </c>
      <c r="J984" s="3">
        <v>0.40910000000000002</v>
      </c>
      <c r="K984" s="3">
        <v>0.3</v>
      </c>
      <c r="L984" s="3">
        <v>0.41789999999999999</v>
      </c>
      <c r="M984">
        <v>51</v>
      </c>
      <c r="N984">
        <v>110</v>
      </c>
      <c r="O984">
        <v>161</v>
      </c>
    </row>
    <row r="985" spans="1:15" hidden="1" x14ac:dyDescent="0.3">
      <c r="A985">
        <v>984</v>
      </c>
      <c r="B985" s="1">
        <v>40587</v>
      </c>
      <c r="C985">
        <v>15</v>
      </c>
      <c r="D985" s="2" t="s">
        <v>45</v>
      </c>
      <c r="E985" t="s">
        <v>26</v>
      </c>
      <c r="F985" s="2" t="s">
        <v>31</v>
      </c>
      <c r="G985" t="s">
        <v>29</v>
      </c>
      <c r="H985" s="3">
        <v>0.4</v>
      </c>
      <c r="I985" s="2" t="s">
        <v>42</v>
      </c>
      <c r="J985" s="3">
        <v>0.40910000000000002</v>
      </c>
      <c r="K985" s="3">
        <v>0.3</v>
      </c>
      <c r="L985" s="3">
        <v>0.29849999999999999</v>
      </c>
      <c r="M985">
        <v>40</v>
      </c>
      <c r="N985">
        <v>122</v>
      </c>
      <c r="O985">
        <v>162</v>
      </c>
    </row>
    <row r="986" spans="1:15" hidden="1" x14ac:dyDescent="0.3">
      <c r="A986">
        <v>985</v>
      </c>
      <c r="B986" s="1">
        <v>40587</v>
      </c>
      <c r="C986">
        <v>16</v>
      </c>
      <c r="D986" s="2" t="s">
        <v>45</v>
      </c>
      <c r="E986" t="s">
        <v>26</v>
      </c>
      <c r="F986" s="2" t="s">
        <v>31</v>
      </c>
      <c r="G986" t="s">
        <v>29</v>
      </c>
      <c r="H986" s="3">
        <v>0.42</v>
      </c>
      <c r="I986" s="2" t="s">
        <v>46</v>
      </c>
      <c r="J986" s="3">
        <v>0.42420000000000002</v>
      </c>
      <c r="K986" s="3">
        <v>0.28000000000000003</v>
      </c>
      <c r="L986" s="3">
        <v>0.32840000000000003</v>
      </c>
      <c r="M986">
        <v>28</v>
      </c>
      <c r="N986">
        <v>106</v>
      </c>
      <c r="O986">
        <v>134</v>
      </c>
    </row>
    <row r="987" spans="1:15" hidden="1" x14ac:dyDescent="0.3">
      <c r="A987">
        <v>986</v>
      </c>
      <c r="B987" s="1">
        <v>40587</v>
      </c>
      <c r="C987">
        <v>17</v>
      </c>
      <c r="D987" s="2" t="s">
        <v>47</v>
      </c>
      <c r="E987" t="s">
        <v>26</v>
      </c>
      <c r="F987" s="2" t="s">
        <v>31</v>
      </c>
      <c r="G987" t="s">
        <v>28</v>
      </c>
      <c r="H987" s="3">
        <v>0.42</v>
      </c>
      <c r="I987" s="2" t="s">
        <v>46</v>
      </c>
      <c r="J987" s="3">
        <v>0.42420000000000002</v>
      </c>
      <c r="K987" s="3">
        <v>0.28000000000000003</v>
      </c>
      <c r="L987" s="3">
        <v>0.32840000000000003</v>
      </c>
      <c r="M987">
        <v>30</v>
      </c>
      <c r="N987">
        <v>95</v>
      </c>
      <c r="O987">
        <v>125</v>
      </c>
    </row>
    <row r="988" spans="1:15" hidden="1" x14ac:dyDescent="0.3">
      <c r="A988">
        <v>987</v>
      </c>
      <c r="B988" s="1">
        <v>40587</v>
      </c>
      <c r="C988">
        <v>18</v>
      </c>
      <c r="D988" s="2" t="s">
        <v>47</v>
      </c>
      <c r="E988" t="s">
        <v>26</v>
      </c>
      <c r="F988" s="2" t="s">
        <v>31</v>
      </c>
      <c r="G988" t="s">
        <v>28</v>
      </c>
      <c r="H988" s="3">
        <v>0.4</v>
      </c>
      <c r="I988" s="2" t="s">
        <v>42</v>
      </c>
      <c r="J988" s="3">
        <v>0.40910000000000002</v>
      </c>
      <c r="K988" s="3">
        <v>0.32</v>
      </c>
      <c r="L988" s="3">
        <v>0.29849999999999999</v>
      </c>
      <c r="M988">
        <v>17</v>
      </c>
      <c r="N988">
        <v>78</v>
      </c>
      <c r="O988">
        <v>95</v>
      </c>
    </row>
    <row r="989" spans="1:15" hidden="1" x14ac:dyDescent="0.3">
      <c r="A989">
        <v>988</v>
      </c>
      <c r="B989" s="1">
        <v>40587</v>
      </c>
      <c r="C989">
        <v>19</v>
      </c>
      <c r="D989" s="2" t="s">
        <v>47</v>
      </c>
      <c r="E989" t="s">
        <v>26</v>
      </c>
      <c r="F989" s="2" t="s">
        <v>31</v>
      </c>
      <c r="G989" t="s">
        <v>28</v>
      </c>
      <c r="H989" s="3">
        <v>0.4</v>
      </c>
      <c r="I989" s="2" t="s">
        <v>42</v>
      </c>
      <c r="J989" s="3">
        <v>0.40910000000000002</v>
      </c>
      <c r="K989" s="3">
        <v>0.35</v>
      </c>
      <c r="L989" s="3">
        <v>0.28360000000000002</v>
      </c>
      <c r="M989">
        <v>11</v>
      </c>
      <c r="N989">
        <v>50</v>
      </c>
      <c r="O989">
        <v>61</v>
      </c>
    </row>
    <row r="990" spans="1:15" hidden="1" x14ac:dyDescent="0.3">
      <c r="A990">
        <v>989</v>
      </c>
      <c r="B990" s="1">
        <v>40587</v>
      </c>
      <c r="C990">
        <v>20</v>
      </c>
      <c r="D990" s="2" t="s">
        <v>47</v>
      </c>
      <c r="E990" t="s">
        <v>26</v>
      </c>
      <c r="F990" s="2" t="s">
        <v>31</v>
      </c>
      <c r="G990" t="s">
        <v>28</v>
      </c>
      <c r="H990" s="3">
        <v>0.4</v>
      </c>
      <c r="I990" s="2" t="s">
        <v>42</v>
      </c>
      <c r="J990" s="3">
        <v>0.40910000000000002</v>
      </c>
      <c r="K990" s="3">
        <v>0.35</v>
      </c>
      <c r="L990" s="3">
        <v>0.32840000000000003</v>
      </c>
      <c r="M990">
        <v>15</v>
      </c>
      <c r="N990">
        <v>32</v>
      </c>
      <c r="O990">
        <v>47</v>
      </c>
    </row>
    <row r="991" spans="1:15" hidden="1" x14ac:dyDescent="0.3">
      <c r="A991">
        <v>990</v>
      </c>
      <c r="B991" s="1">
        <v>40587</v>
      </c>
      <c r="C991">
        <v>21</v>
      </c>
      <c r="D991" s="2" t="s">
        <v>41</v>
      </c>
      <c r="E991" t="s">
        <v>26</v>
      </c>
      <c r="F991" s="2" t="s">
        <v>31</v>
      </c>
      <c r="G991" t="s">
        <v>28</v>
      </c>
      <c r="H991" s="3">
        <v>0.4</v>
      </c>
      <c r="I991" s="2" t="s">
        <v>42</v>
      </c>
      <c r="J991" s="3">
        <v>0.40910000000000002</v>
      </c>
      <c r="K991" s="3">
        <v>0.35</v>
      </c>
      <c r="L991" s="3">
        <v>0.35820000000000002</v>
      </c>
      <c r="M991">
        <v>6</v>
      </c>
      <c r="N991">
        <v>45</v>
      </c>
      <c r="O991">
        <v>51</v>
      </c>
    </row>
    <row r="992" spans="1:15" hidden="1" x14ac:dyDescent="0.3">
      <c r="A992">
        <v>991</v>
      </c>
      <c r="B992" s="1">
        <v>40587</v>
      </c>
      <c r="C992">
        <v>22</v>
      </c>
      <c r="D992" s="2" t="s">
        <v>41</v>
      </c>
      <c r="E992" t="s">
        <v>26</v>
      </c>
      <c r="F992" s="2" t="s">
        <v>31</v>
      </c>
      <c r="G992" t="s">
        <v>28</v>
      </c>
      <c r="H992" s="3">
        <v>0.4</v>
      </c>
      <c r="I992" s="2" t="s">
        <v>42</v>
      </c>
      <c r="J992" s="3">
        <v>0.40910000000000002</v>
      </c>
      <c r="K992" s="3">
        <v>0.35</v>
      </c>
      <c r="L992" s="3">
        <v>0.29849999999999999</v>
      </c>
      <c r="M992">
        <v>5</v>
      </c>
      <c r="N992">
        <v>31</v>
      </c>
      <c r="O992">
        <v>36</v>
      </c>
    </row>
    <row r="993" spans="1:15" hidden="1" x14ac:dyDescent="0.3">
      <c r="A993">
        <v>992</v>
      </c>
      <c r="B993" s="1">
        <v>40587</v>
      </c>
      <c r="C993">
        <v>23</v>
      </c>
      <c r="D993" s="2" t="s">
        <v>41</v>
      </c>
      <c r="E993" t="s">
        <v>26</v>
      </c>
      <c r="F993" s="2" t="s">
        <v>31</v>
      </c>
      <c r="G993" t="s">
        <v>28</v>
      </c>
      <c r="H993" s="3">
        <v>0.4</v>
      </c>
      <c r="I993" s="2" t="s">
        <v>42</v>
      </c>
      <c r="J993" s="3">
        <v>0.40910000000000002</v>
      </c>
      <c r="K993" s="3">
        <v>0.35</v>
      </c>
      <c r="L993" s="3">
        <v>0.35820000000000002</v>
      </c>
      <c r="M993">
        <v>3</v>
      </c>
      <c r="N993">
        <v>27</v>
      </c>
      <c r="O993">
        <v>30</v>
      </c>
    </row>
    <row r="994" spans="1:15" hidden="1" x14ac:dyDescent="0.3">
      <c r="A994">
        <v>993</v>
      </c>
      <c r="B994" s="1">
        <v>40588</v>
      </c>
      <c r="C994">
        <v>0</v>
      </c>
      <c r="D994" s="2" t="s">
        <v>41</v>
      </c>
      <c r="E994" t="s">
        <v>26</v>
      </c>
      <c r="F994" s="2" t="s">
        <v>32</v>
      </c>
      <c r="G994" t="s">
        <v>28</v>
      </c>
      <c r="H994" s="3">
        <v>0.38</v>
      </c>
      <c r="I994" s="2" t="s">
        <v>42</v>
      </c>
      <c r="J994" s="3">
        <v>0.39389999999999997</v>
      </c>
      <c r="K994" s="3">
        <v>0.37</v>
      </c>
      <c r="L994" s="3">
        <v>0.35820000000000002</v>
      </c>
      <c r="M994">
        <v>3</v>
      </c>
      <c r="N994">
        <v>8</v>
      </c>
      <c r="O994">
        <v>11</v>
      </c>
    </row>
    <row r="995" spans="1:15" hidden="1" x14ac:dyDescent="0.3">
      <c r="A995">
        <v>994</v>
      </c>
      <c r="B995" s="1">
        <v>40588</v>
      </c>
      <c r="C995">
        <v>1</v>
      </c>
      <c r="D995" s="2" t="s">
        <v>41</v>
      </c>
      <c r="E995" t="s">
        <v>26</v>
      </c>
      <c r="F995" s="2" t="s">
        <v>32</v>
      </c>
      <c r="G995" t="s">
        <v>28</v>
      </c>
      <c r="H995" s="3">
        <v>0.38</v>
      </c>
      <c r="I995" s="2" t="s">
        <v>42</v>
      </c>
      <c r="J995" s="3">
        <v>0.39389999999999997</v>
      </c>
      <c r="K995" s="3">
        <v>0.37</v>
      </c>
      <c r="L995" s="3">
        <v>0.35820000000000002</v>
      </c>
      <c r="M995">
        <v>1</v>
      </c>
      <c r="N995">
        <v>6</v>
      </c>
      <c r="O995">
        <v>7</v>
      </c>
    </row>
    <row r="996" spans="1:15" hidden="1" x14ac:dyDescent="0.3">
      <c r="A996">
        <v>995</v>
      </c>
      <c r="B996" s="1">
        <v>40588</v>
      </c>
      <c r="C996">
        <v>2</v>
      </c>
      <c r="D996" s="2" t="s">
        <v>41</v>
      </c>
      <c r="E996" t="s">
        <v>26</v>
      </c>
      <c r="F996" s="2" t="s">
        <v>32</v>
      </c>
      <c r="G996" t="s">
        <v>28</v>
      </c>
      <c r="H996" s="3">
        <v>0.36</v>
      </c>
      <c r="I996" s="2" t="s">
        <v>42</v>
      </c>
      <c r="J996" s="3">
        <v>0.33329999999999999</v>
      </c>
      <c r="K996" s="3">
        <v>0.4</v>
      </c>
      <c r="L996" s="3">
        <v>0.29849999999999999</v>
      </c>
      <c r="M996">
        <v>0</v>
      </c>
      <c r="N996">
        <v>2</v>
      </c>
      <c r="O996">
        <v>2</v>
      </c>
    </row>
    <row r="997" spans="1:15" hidden="1" x14ac:dyDescent="0.3">
      <c r="A997">
        <v>996</v>
      </c>
      <c r="B997" s="1">
        <v>40588</v>
      </c>
      <c r="C997">
        <v>3</v>
      </c>
      <c r="D997" s="2" t="s">
        <v>41</v>
      </c>
      <c r="E997" t="s">
        <v>26</v>
      </c>
      <c r="F997" s="2" t="s">
        <v>32</v>
      </c>
      <c r="G997" t="s">
        <v>28</v>
      </c>
      <c r="H997" s="3">
        <v>0.34</v>
      </c>
      <c r="I997" s="2" t="s">
        <v>42</v>
      </c>
      <c r="J997" s="3">
        <v>0.31819999999999998</v>
      </c>
      <c r="K997" s="3">
        <v>0.46</v>
      </c>
      <c r="L997" s="3">
        <v>0.22389999999999999</v>
      </c>
      <c r="M997">
        <v>1</v>
      </c>
      <c r="N997">
        <v>1</v>
      </c>
      <c r="O997">
        <v>2</v>
      </c>
    </row>
    <row r="998" spans="1:15" hidden="1" x14ac:dyDescent="0.3">
      <c r="A998">
        <v>997</v>
      </c>
      <c r="B998" s="1">
        <v>40588</v>
      </c>
      <c r="C998">
        <v>4</v>
      </c>
      <c r="D998" s="2" t="s">
        <v>41</v>
      </c>
      <c r="E998" t="s">
        <v>26</v>
      </c>
      <c r="F998" s="2" t="s">
        <v>32</v>
      </c>
      <c r="G998" t="s">
        <v>28</v>
      </c>
      <c r="H998" s="3">
        <v>0.32</v>
      </c>
      <c r="I998" s="2" t="s">
        <v>42</v>
      </c>
      <c r="J998" s="3">
        <v>0.30299999999999999</v>
      </c>
      <c r="K998" s="3">
        <v>0.53</v>
      </c>
      <c r="L998" s="3">
        <v>0.28360000000000002</v>
      </c>
      <c r="M998">
        <v>0</v>
      </c>
      <c r="N998">
        <v>2</v>
      </c>
      <c r="O998">
        <v>2</v>
      </c>
    </row>
    <row r="999" spans="1:15" x14ac:dyDescent="0.3">
      <c r="A999">
        <v>998</v>
      </c>
      <c r="B999" s="1">
        <v>40588</v>
      </c>
      <c r="C999">
        <v>5</v>
      </c>
      <c r="D999" s="2" t="s">
        <v>43</v>
      </c>
      <c r="E999" t="s">
        <v>26</v>
      </c>
      <c r="F999" s="2" t="s">
        <v>32</v>
      </c>
      <c r="G999" t="s">
        <v>28</v>
      </c>
      <c r="H999" s="3">
        <v>0.32</v>
      </c>
      <c r="I999" s="2" t="s">
        <v>42</v>
      </c>
      <c r="J999" s="3">
        <v>0.30299999999999999</v>
      </c>
      <c r="K999" s="3">
        <v>0.53</v>
      </c>
      <c r="L999" s="3">
        <v>0.28360000000000002</v>
      </c>
      <c r="M999">
        <v>0</v>
      </c>
      <c r="N999">
        <v>3</v>
      </c>
      <c r="O999">
        <v>3</v>
      </c>
    </row>
    <row r="1000" spans="1:15" x14ac:dyDescent="0.3">
      <c r="A1000">
        <v>999</v>
      </c>
      <c r="B1000" s="1">
        <v>40588</v>
      </c>
      <c r="C1000">
        <v>6</v>
      </c>
      <c r="D1000" s="2" t="s">
        <v>43</v>
      </c>
      <c r="E1000" t="s">
        <v>26</v>
      </c>
      <c r="F1000" s="2" t="s">
        <v>32</v>
      </c>
      <c r="G1000" t="s">
        <v>28</v>
      </c>
      <c r="H1000" s="3">
        <v>0.34</v>
      </c>
      <c r="I1000" s="2" t="s">
        <v>42</v>
      </c>
      <c r="J1000" s="3">
        <v>0.30299999999999999</v>
      </c>
      <c r="K1000" s="3">
        <v>0.46</v>
      </c>
      <c r="L1000" s="3">
        <v>0.29849999999999999</v>
      </c>
      <c r="M1000">
        <v>1</v>
      </c>
      <c r="N1000">
        <v>25</v>
      </c>
      <c r="O1000">
        <v>26</v>
      </c>
    </row>
    <row r="1001" spans="1:15" x14ac:dyDescent="0.3">
      <c r="A1001">
        <v>1000</v>
      </c>
      <c r="B1001" s="1">
        <v>40588</v>
      </c>
      <c r="C1001">
        <v>7</v>
      </c>
      <c r="D1001" s="2" t="s">
        <v>43</v>
      </c>
      <c r="E1001" t="s">
        <v>26</v>
      </c>
      <c r="F1001" s="2" t="s">
        <v>32</v>
      </c>
      <c r="G1001" t="s">
        <v>28</v>
      </c>
      <c r="H1001" s="3">
        <v>0.34</v>
      </c>
      <c r="I1001" s="2" t="s">
        <v>42</v>
      </c>
      <c r="J1001" s="3">
        <v>0.30299999999999999</v>
      </c>
      <c r="K1001" s="3">
        <v>0.46</v>
      </c>
      <c r="L1001" s="3">
        <v>0.29849999999999999</v>
      </c>
      <c r="M1001">
        <v>2</v>
      </c>
      <c r="N1001">
        <v>96</v>
      </c>
      <c r="O1001">
        <v>98</v>
      </c>
    </row>
  </sheetData>
  <phoneticPr fontId="1"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DE-EEBA-41DF-BBC6-A5F75ABDB4C8}">
  <sheetPr codeName="Sheet15"/>
  <dimension ref="A1:N391"/>
  <sheetViews>
    <sheetView workbookViewId="0"/>
  </sheetViews>
  <sheetFormatPr defaultRowHeight="14.4" x14ac:dyDescent="0.3"/>
  <cols>
    <col min="1" max="1" width="9" bestFit="1" customWidth="1"/>
    <col min="2" max="2" width="10.33203125" bestFit="1" customWidth="1"/>
    <col min="3" max="3" width="7.77734375" bestFit="1" customWidth="1"/>
    <col min="4" max="4" width="5" bestFit="1" customWidth="1"/>
    <col min="5" max="5" width="9.44140625" bestFit="1" customWidth="1"/>
    <col min="6" max="6" width="10.77734375" bestFit="1" customWidth="1"/>
    <col min="7" max="7" width="12" bestFit="1" customWidth="1"/>
    <col min="8" max="8" width="7.6640625" bestFit="1" customWidth="1"/>
    <col min="9" max="9" width="8.6640625" bestFit="1" customWidth="1"/>
    <col min="10" max="10" width="7.109375" bestFit="1" customWidth="1"/>
    <col min="11" max="11" width="12.33203125" bestFit="1" customWidth="1"/>
    <col min="12" max="12" width="8.44140625" bestFit="1" customWidth="1"/>
    <col min="13" max="13" width="11.5546875" bestFit="1" customWidth="1"/>
    <col min="14" max="14" width="5.88671875" bestFit="1" customWidth="1"/>
  </cols>
  <sheetData>
    <row r="1" spans="1:14" x14ac:dyDescent="0.3">
      <c r="A1" t="s">
        <v>0</v>
      </c>
      <c r="B1" t="s">
        <v>1</v>
      </c>
      <c r="C1" t="s">
        <v>2</v>
      </c>
      <c r="D1" t="s">
        <v>3</v>
      </c>
      <c r="E1" t="s">
        <v>4</v>
      </c>
      <c r="F1" t="s">
        <v>5</v>
      </c>
      <c r="G1" t="s">
        <v>6</v>
      </c>
      <c r="H1" t="s">
        <v>7</v>
      </c>
      <c r="I1" t="s">
        <v>8</v>
      </c>
      <c r="J1" t="s">
        <v>9</v>
      </c>
      <c r="K1" t="s">
        <v>10</v>
      </c>
      <c r="L1" t="s">
        <v>11</v>
      </c>
      <c r="M1" t="s">
        <v>12</v>
      </c>
      <c r="N1" t="s">
        <v>13</v>
      </c>
    </row>
    <row r="2" spans="1:14" x14ac:dyDescent="0.3">
      <c r="A2">
        <v>620</v>
      </c>
      <c r="B2" s="1">
        <v>40572</v>
      </c>
      <c r="C2">
        <v>1</v>
      </c>
      <c r="D2">
        <v>1</v>
      </c>
      <c r="E2" t="b">
        <v>0</v>
      </c>
      <c r="F2">
        <v>6</v>
      </c>
      <c r="G2">
        <v>1</v>
      </c>
      <c r="H2">
        <v>0.22</v>
      </c>
      <c r="I2">
        <v>0.2273</v>
      </c>
      <c r="J2">
        <v>0.64</v>
      </c>
      <c r="K2">
        <v>0.19400000000000001</v>
      </c>
      <c r="L2">
        <v>0</v>
      </c>
      <c r="M2">
        <v>20</v>
      </c>
      <c r="N2">
        <v>20</v>
      </c>
    </row>
    <row r="3" spans="1:14" x14ac:dyDescent="0.3">
      <c r="A3">
        <v>621</v>
      </c>
      <c r="B3" s="1">
        <v>40572</v>
      </c>
      <c r="C3">
        <v>1</v>
      </c>
      <c r="D3">
        <v>2</v>
      </c>
      <c r="E3" t="b">
        <v>0</v>
      </c>
      <c r="F3">
        <v>6</v>
      </c>
      <c r="G3">
        <v>1</v>
      </c>
      <c r="H3">
        <v>0.22</v>
      </c>
      <c r="I3">
        <v>0.2273</v>
      </c>
      <c r="J3">
        <v>0.64</v>
      </c>
      <c r="K3">
        <v>0.16420000000000001</v>
      </c>
      <c r="L3">
        <v>0</v>
      </c>
      <c r="M3">
        <v>15</v>
      </c>
      <c r="N3">
        <v>15</v>
      </c>
    </row>
    <row r="4" spans="1:14" x14ac:dyDescent="0.3">
      <c r="A4">
        <v>622</v>
      </c>
      <c r="B4" s="1">
        <v>40572</v>
      </c>
      <c r="C4">
        <v>1</v>
      </c>
      <c r="D4">
        <v>3</v>
      </c>
      <c r="E4" t="b">
        <v>0</v>
      </c>
      <c r="F4">
        <v>6</v>
      </c>
      <c r="G4">
        <v>1</v>
      </c>
      <c r="H4">
        <v>0.2</v>
      </c>
      <c r="I4">
        <v>0.21210000000000001</v>
      </c>
      <c r="J4">
        <v>0.64</v>
      </c>
      <c r="K4">
        <v>0.1343</v>
      </c>
      <c r="L4">
        <v>3</v>
      </c>
      <c r="M4">
        <v>5</v>
      </c>
      <c r="N4">
        <v>8</v>
      </c>
    </row>
    <row r="5" spans="1:14" x14ac:dyDescent="0.3">
      <c r="A5">
        <v>623</v>
      </c>
      <c r="B5" s="1">
        <v>40572</v>
      </c>
      <c r="C5">
        <v>1</v>
      </c>
      <c r="D5">
        <v>4</v>
      </c>
      <c r="E5" t="b">
        <v>0</v>
      </c>
      <c r="F5">
        <v>6</v>
      </c>
      <c r="G5">
        <v>1</v>
      </c>
      <c r="H5">
        <v>0.16</v>
      </c>
      <c r="I5">
        <v>0.18179999999999999</v>
      </c>
      <c r="J5">
        <v>0.69</v>
      </c>
      <c r="K5">
        <v>0.1045</v>
      </c>
      <c r="L5">
        <v>1</v>
      </c>
      <c r="M5">
        <v>2</v>
      </c>
      <c r="N5">
        <v>3</v>
      </c>
    </row>
    <row r="6" spans="1:14" x14ac:dyDescent="0.3">
      <c r="A6">
        <v>624</v>
      </c>
      <c r="B6" s="1">
        <v>40572</v>
      </c>
      <c r="C6">
        <v>1</v>
      </c>
      <c r="D6">
        <v>6</v>
      </c>
      <c r="E6" t="b">
        <v>0</v>
      </c>
      <c r="F6">
        <v>6</v>
      </c>
      <c r="G6">
        <v>1</v>
      </c>
      <c r="H6">
        <v>0.16</v>
      </c>
      <c r="I6">
        <v>0.18179999999999999</v>
      </c>
      <c r="J6">
        <v>0.64</v>
      </c>
      <c r="K6">
        <v>0.1343</v>
      </c>
      <c r="L6">
        <v>0</v>
      </c>
      <c r="M6">
        <v>2</v>
      </c>
      <c r="N6">
        <v>2</v>
      </c>
    </row>
    <row r="7" spans="1:14" x14ac:dyDescent="0.3">
      <c r="A7">
        <v>625</v>
      </c>
      <c r="B7" s="1">
        <v>40572</v>
      </c>
      <c r="C7">
        <v>1</v>
      </c>
      <c r="D7">
        <v>7</v>
      </c>
      <c r="E7" t="b">
        <v>0</v>
      </c>
      <c r="F7">
        <v>6</v>
      </c>
      <c r="G7">
        <v>1</v>
      </c>
      <c r="H7">
        <v>0.16</v>
      </c>
      <c r="I7">
        <v>0.18179999999999999</v>
      </c>
      <c r="J7">
        <v>0.59</v>
      </c>
      <c r="K7">
        <v>0.1045</v>
      </c>
      <c r="L7">
        <v>1</v>
      </c>
      <c r="M7">
        <v>4</v>
      </c>
      <c r="N7">
        <v>5</v>
      </c>
    </row>
    <row r="8" spans="1:14" x14ac:dyDescent="0.3">
      <c r="A8">
        <v>626</v>
      </c>
      <c r="B8" s="1">
        <v>40572</v>
      </c>
      <c r="C8">
        <v>1</v>
      </c>
      <c r="D8">
        <v>8</v>
      </c>
      <c r="E8" t="b">
        <v>0</v>
      </c>
      <c r="F8">
        <v>6</v>
      </c>
      <c r="G8">
        <v>1</v>
      </c>
      <c r="H8">
        <v>0.18</v>
      </c>
      <c r="I8">
        <v>0.19700000000000001</v>
      </c>
      <c r="J8">
        <v>0.55000000000000004</v>
      </c>
      <c r="K8">
        <v>0.16420000000000001</v>
      </c>
      <c r="L8">
        <v>3</v>
      </c>
      <c r="M8">
        <v>31</v>
      </c>
      <c r="N8">
        <v>34</v>
      </c>
    </row>
    <row r="9" spans="1:14" x14ac:dyDescent="0.3">
      <c r="A9">
        <v>627</v>
      </c>
      <c r="B9" s="1">
        <v>40572</v>
      </c>
      <c r="C9">
        <v>1</v>
      </c>
      <c r="D9">
        <v>9</v>
      </c>
      <c r="E9" t="b">
        <v>0</v>
      </c>
      <c r="F9">
        <v>6</v>
      </c>
      <c r="G9">
        <v>1</v>
      </c>
      <c r="H9">
        <v>0.18</v>
      </c>
      <c r="I9">
        <v>0.21210000000000001</v>
      </c>
      <c r="J9">
        <v>0.59</v>
      </c>
      <c r="K9">
        <v>8.9599999999999999E-2</v>
      </c>
      <c r="L9">
        <v>0</v>
      </c>
      <c r="M9">
        <v>34</v>
      </c>
      <c r="N9">
        <v>34</v>
      </c>
    </row>
    <row r="10" spans="1:14" x14ac:dyDescent="0.3">
      <c r="A10">
        <v>628</v>
      </c>
      <c r="B10" s="1">
        <v>40572</v>
      </c>
      <c r="C10">
        <v>1</v>
      </c>
      <c r="D10">
        <v>10</v>
      </c>
      <c r="E10" t="b">
        <v>0</v>
      </c>
      <c r="F10">
        <v>6</v>
      </c>
      <c r="G10">
        <v>2</v>
      </c>
      <c r="H10">
        <v>0.18</v>
      </c>
      <c r="I10">
        <v>0.21210000000000001</v>
      </c>
      <c r="J10">
        <v>0.64</v>
      </c>
      <c r="K10">
        <v>0.1045</v>
      </c>
      <c r="L10">
        <v>4</v>
      </c>
      <c r="M10">
        <v>51</v>
      </c>
      <c r="N10">
        <v>55</v>
      </c>
    </row>
    <row r="11" spans="1:14" x14ac:dyDescent="0.3">
      <c r="A11">
        <v>629</v>
      </c>
      <c r="B11" s="1">
        <v>40572</v>
      </c>
      <c r="C11">
        <v>1</v>
      </c>
      <c r="D11">
        <v>11</v>
      </c>
      <c r="E11" t="b">
        <v>0</v>
      </c>
      <c r="F11">
        <v>6</v>
      </c>
      <c r="G11">
        <v>2</v>
      </c>
      <c r="H11">
        <v>0.18</v>
      </c>
      <c r="I11">
        <v>0.19700000000000001</v>
      </c>
      <c r="J11">
        <v>0.64</v>
      </c>
      <c r="K11">
        <v>0.1343</v>
      </c>
      <c r="L11">
        <v>4</v>
      </c>
      <c r="M11">
        <v>60</v>
      </c>
      <c r="N11">
        <v>64</v>
      </c>
    </row>
    <row r="12" spans="1:14" x14ac:dyDescent="0.3">
      <c r="A12">
        <v>630</v>
      </c>
      <c r="B12" s="1">
        <v>40572</v>
      </c>
      <c r="C12">
        <v>1</v>
      </c>
      <c r="D12">
        <v>12</v>
      </c>
      <c r="E12" t="b">
        <v>0</v>
      </c>
      <c r="F12">
        <v>6</v>
      </c>
      <c r="G12">
        <v>2</v>
      </c>
      <c r="H12">
        <v>0.2</v>
      </c>
      <c r="I12">
        <v>0.19700000000000001</v>
      </c>
      <c r="J12">
        <v>0.59</v>
      </c>
      <c r="K12">
        <v>0.19400000000000001</v>
      </c>
      <c r="L12">
        <v>12</v>
      </c>
      <c r="M12">
        <v>66</v>
      </c>
      <c r="N12">
        <v>78</v>
      </c>
    </row>
    <row r="13" spans="1:14" x14ac:dyDescent="0.3">
      <c r="A13">
        <v>631</v>
      </c>
      <c r="B13" s="1">
        <v>40572</v>
      </c>
      <c r="C13">
        <v>1</v>
      </c>
      <c r="D13">
        <v>13</v>
      </c>
      <c r="E13" t="b">
        <v>0</v>
      </c>
      <c r="F13">
        <v>6</v>
      </c>
      <c r="G13">
        <v>2</v>
      </c>
      <c r="H13">
        <v>0.22</v>
      </c>
      <c r="I13">
        <v>0.2273</v>
      </c>
      <c r="J13">
        <v>0.55000000000000004</v>
      </c>
      <c r="K13">
        <v>0.16420000000000001</v>
      </c>
      <c r="L13">
        <v>9</v>
      </c>
      <c r="M13">
        <v>56</v>
      </c>
      <c r="N13">
        <v>65</v>
      </c>
    </row>
    <row r="14" spans="1:14" x14ac:dyDescent="0.3">
      <c r="A14">
        <v>632</v>
      </c>
      <c r="B14" s="1">
        <v>40572</v>
      </c>
      <c r="C14">
        <v>1</v>
      </c>
      <c r="D14">
        <v>14</v>
      </c>
      <c r="E14" t="b">
        <v>0</v>
      </c>
      <c r="F14">
        <v>6</v>
      </c>
      <c r="G14">
        <v>2</v>
      </c>
      <c r="H14">
        <v>0.22</v>
      </c>
      <c r="I14">
        <v>0.2273</v>
      </c>
      <c r="J14">
        <v>0.6</v>
      </c>
      <c r="K14">
        <v>0.1343</v>
      </c>
      <c r="L14">
        <v>10</v>
      </c>
      <c r="M14">
        <v>89</v>
      </c>
      <c r="N14">
        <v>99</v>
      </c>
    </row>
    <row r="15" spans="1:14" x14ac:dyDescent="0.3">
      <c r="A15">
        <v>633</v>
      </c>
      <c r="B15" s="1">
        <v>40572</v>
      </c>
      <c r="C15">
        <v>1</v>
      </c>
      <c r="D15">
        <v>15</v>
      </c>
      <c r="E15" t="b">
        <v>0</v>
      </c>
      <c r="F15">
        <v>6</v>
      </c>
      <c r="G15">
        <v>1</v>
      </c>
      <c r="H15">
        <v>0.22</v>
      </c>
      <c r="I15">
        <v>0.21210000000000001</v>
      </c>
      <c r="J15">
        <v>0.69</v>
      </c>
      <c r="K15">
        <v>0.25369999999999998</v>
      </c>
      <c r="L15">
        <v>22</v>
      </c>
      <c r="M15">
        <v>98</v>
      </c>
      <c r="N15">
        <v>120</v>
      </c>
    </row>
    <row r="16" spans="1:14" x14ac:dyDescent="0.3">
      <c r="A16">
        <v>634</v>
      </c>
      <c r="B16" s="1">
        <v>40572</v>
      </c>
      <c r="C16">
        <v>1</v>
      </c>
      <c r="D16">
        <v>16</v>
      </c>
      <c r="E16" t="b">
        <v>0</v>
      </c>
      <c r="F16">
        <v>6</v>
      </c>
      <c r="G16">
        <v>1</v>
      </c>
      <c r="H16">
        <v>0.24</v>
      </c>
      <c r="I16">
        <v>0.2424</v>
      </c>
      <c r="J16">
        <v>0.6</v>
      </c>
      <c r="K16">
        <v>0.16420000000000001</v>
      </c>
      <c r="L16">
        <v>19</v>
      </c>
      <c r="M16">
        <v>88</v>
      </c>
      <c r="N16">
        <v>107</v>
      </c>
    </row>
    <row r="17" spans="1:14" x14ac:dyDescent="0.3">
      <c r="A17">
        <v>635</v>
      </c>
      <c r="B17" s="1">
        <v>40572</v>
      </c>
      <c r="C17">
        <v>1</v>
      </c>
      <c r="D17">
        <v>17</v>
      </c>
      <c r="E17" t="b">
        <v>0</v>
      </c>
      <c r="F17">
        <v>6</v>
      </c>
      <c r="G17">
        <v>1</v>
      </c>
      <c r="H17">
        <v>0.24</v>
      </c>
      <c r="I17">
        <v>0.28789999999999999</v>
      </c>
      <c r="J17">
        <v>0.6</v>
      </c>
      <c r="K17">
        <v>0</v>
      </c>
      <c r="L17">
        <v>9</v>
      </c>
      <c r="M17">
        <v>82</v>
      </c>
      <c r="N17">
        <v>91</v>
      </c>
    </row>
    <row r="18" spans="1:14" x14ac:dyDescent="0.3">
      <c r="A18">
        <v>636</v>
      </c>
      <c r="B18" s="1">
        <v>40572</v>
      </c>
      <c r="C18">
        <v>1</v>
      </c>
      <c r="D18">
        <v>18</v>
      </c>
      <c r="E18" t="b">
        <v>0</v>
      </c>
      <c r="F18">
        <v>6</v>
      </c>
      <c r="G18">
        <v>1</v>
      </c>
      <c r="H18">
        <v>0.22</v>
      </c>
      <c r="I18">
        <v>0.2273</v>
      </c>
      <c r="J18">
        <v>0.69</v>
      </c>
      <c r="K18">
        <v>0.1343</v>
      </c>
      <c r="L18">
        <v>9</v>
      </c>
      <c r="M18">
        <v>59</v>
      </c>
      <c r="N18">
        <v>68</v>
      </c>
    </row>
    <row r="19" spans="1:14" x14ac:dyDescent="0.3">
      <c r="A19">
        <v>637</v>
      </c>
      <c r="B19" s="1">
        <v>40572</v>
      </c>
      <c r="C19">
        <v>1</v>
      </c>
      <c r="D19">
        <v>19</v>
      </c>
      <c r="E19" t="b">
        <v>0</v>
      </c>
      <c r="F19">
        <v>6</v>
      </c>
      <c r="G19">
        <v>2</v>
      </c>
      <c r="H19">
        <v>0.22</v>
      </c>
      <c r="I19">
        <v>0.21210000000000001</v>
      </c>
      <c r="J19">
        <v>0.69</v>
      </c>
      <c r="K19">
        <v>0.25369999999999998</v>
      </c>
      <c r="L19">
        <v>6</v>
      </c>
      <c r="M19">
        <v>52</v>
      </c>
      <c r="N19">
        <v>58</v>
      </c>
    </row>
    <row r="20" spans="1:14" x14ac:dyDescent="0.3">
      <c r="A20">
        <v>638</v>
      </c>
      <c r="B20" s="1">
        <v>40572</v>
      </c>
      <c r="C20">
        <v>1</v>
      </c>
      <c r="D20">
        <v>20</v>
      </c>
      <c r="E20" t="b">
        <v>0</v>
      </c>
      <c r="F20">
        <v>6</v>
      </c>
      <c r="G20">
        <v>1</v>
      </c>
      <c r="H20">
        <v>0.18</v>
      </c>
      <c r="I20">
        <v>0.21210000000000001</v>
      </c>
      <c r="J20">
        <v>0.74</v>
      </c>
      <c r="K20">
        <v>8.9599999999999999E-2</v>
      </c>
      <c r="L20">
        <v>1</v>
      </c>
      <c r="M20">
        <v>42</v>
      </c>
      <c r="N20">
        <v>43</v>
      </c>
    </row>
    <row r="21" spans="1:14" x14ac:dyDescent="0.3">
      <c r="A21">
        <v>639</v>
      </c>
      <c r="B21" s="1">
        <v>40572</v>
      </c>
      <c r="C21">
        <v>1</v>
      </c>
      <c r="D21">
        <v>21</v>
      </c>
      <c r="E21" t="b">
        <v>0</v>
      </c>
      <c r="F21">
        <v>6</v>
      </c>
      <c r="G21">
        <v>1</v>
      </c>
      <c r="H21">
        <v>0.18</v>
      </c>
      <c r="I21">
        <v>0.21210000000000001</v>
      </c>
      <c r="J21">
        <v>0.74</v>
      </c>
      <c r="K21">
        <v>8.9599999999999999E-2</v>
      </c>
      <c r="L21">
        <v>1</v>
      </c>
      <c r="M21">
        <v>35</v>
      </c>
      <c r="N21">
        <v>36</v>
      </c>
    </row>
    <row r="22" spans="1:14" x14ac:dyDescent="0.3">
      <c r="A22">
        <v>640</v>
      </c>
      <c r="B22" s="1">
        <v>40572</v>
      </c>
      <c r="C22">
        <v>1</v>
      </c>
      <c r="D22">
        <v>22</v>
      </c>
      <c r="E22" t="b">
        <v>0</v>
      </c>
      <c r="F22">
        <v>6</v>
      </c>
      <c r="G22">
        <v>1</v>
      </c>
      <c r="H22">
        <v>0.16</v>
      </c>
      <c r="I22">
        <v>0.19700000000000001</v>
      </c>
      <c r="J22">
        <v>0.8</v>
      </c>
      <c r="K22">
        <v>8.9599999999999999E-2</v>
      </c>
      <c r="L22">
        <v>4</v>
      </c>
      <c r="M22">
        <v>28</v>
      </c>
      <c r="N22">
        <v>32</v>
      </c>
    </row>
    <row r="23" spans="1:14" x14ac:dyDescent="0.3">
      <c r="A23">
        <v>641</v>
      </c>
      <c r="B23" s="1">
        <v>40572</v>
      </c>
      <c r="C23">
        <v>1</v>
      </c>
      <c r="D23">
        <v>23</v>
      </c>
      <c r="E23" t="b">
        <v>0</v>
      </c>
      <c r="F23">
        <v>6</v>
      </c>
      <c r="G23">
        <v>1</v>
      </c>
      <c r="H23">
        <v>0.16</v>
      </c>
      <c r="I23">
        <v>0.19700000000000001</v>
      </c>
      <c r="J23">
        <v>0.8</v>
      </c>
      <c r="K23">
        <v>8.9599999999999999E-2</v>
      </c>
      <c r="L23">
        <v>3</v>
      </c>
      <c r="M23">
        <v>30</v>
      </c>
      <c r="N23">
        <v>33</v>
      </c>
    </row>
    <row r="24" spans="1:14" x14ac:dyDescent="0.3">
      <c r="A24">
        <v>642</v>
      </c>
      <c r="B24" s="1">
        <v>40573</v>
      </c>
      <c r="C24">
        <v>1</v>
      </c>
      <c r="D24">
        <v>0</v>
      </c>
      <c r="E24" t="b">
        <v>0</v>
      </c>
      <c r="F24">
        <v>0</v>
      </c>
      <c r="G24">
        <v>1</v>
      </c>
      <c r="H24">
        <v>0.16</v>
      </c>
      <c r="I24">
        <v>0.18179999999999999</v>
      </c>
      <c r="J24">
        <v>0.8</v>
      </c>
      <c r="K24">
        <v>0.1045</v>
      </c>
      <c r="L24">
        <v>0</v>
      </c>
      <c r="M24">
        <v>33</v>
      </c>
      <c r="N24">
        <v>33</v>
      </c>
    </row>
    <row r="25" spans="1:14" x14ac:dyDescent="0.3">
      <c r="A25">
        <v>643</v>
      </c>
      <c r="B25" s="1">
        <v>40573</v>
      </c>
      <c r="C25">
        <v>1</v>
      </c>
      <c r="D25">
        <v>1</v>
      </c>
      <c r="E25" t="b">
        <v>0</v>
      </c>
      <c r="F25">
        <v>0</v>
      </c>
      <c r="G25">
        <v>1</v>
      </c>
      <c r="H25">
        <v>0.14000000000000001</v>
      </c>
      <c r="I25">
        <v>0.21210000000000001</v>
      </c>
      <c r="J25">
        <v>0.8</v>
      </c>
      <c r="K25">
        <v>0</v>
      </c>
      <c r="L25">
        <v>7</v>
      </c>
      <c r="M25">
        <v>22</v>
      </c>
      <c r="N25">
        <v>29</v>
      </c>
    </row>
    <row r="26" spans="1:14" x14ac:dyDescent="0.3">
      <c r="A26">
        <v>644</v>
      </c>
      <c r="B26" s="1">
        <v>40573</v>
      </c>
      <c r="C26">
        <v>1</v>
      </c>
      <c r="D26">
        <v>2</v>
      </c>
      <c r="E26" t="b">
        <v>0</v>
      </c>
      <c r="F26">
        <v>0</v>
      </c>
      <c r="G26">
        <v>1</v>
      </c>
      <c r="H26">
        <v>0.16</v>
      </c>
      <c r="I26">
        <v>0.2273</v>
      </c>
      <c r="J26">
        <v>0.8</v>
      </c>
      <c r="K26">
        <v>0</v>
      </c>
      <c r="L26">
        <v>1</v>
      </c>
      <c r="M26">
        <v>10</v>
      </c>
      <c r="N26">
        <v>11</v>
      </c>
    </row>
    <row r="27" spans="1:14" x14ac:dyDescent="0.3">
      <c r="A27">
        <v>645</v>
      </c>
      <c r="B27" s="1">
        <v>40573</v>
      </c>
      <c r="C27">
        <v>1</v>
      </c>
      <c r="D27">
        <v>3</v>
      </c>
      <c r="E27" t="b">
        <v>0</v>
      </c>
      <c r="F27">
        <v>0</v>
      </c>
      <c r="G27">
        <v>1</v>
      </c>
      <c r="H27">
        <v>0.14000000000000001</v>
      </c>
      <c r="I27">
        <v>0.21210000000000001</v>
      </c>
      <c r="J27">
        <v>0.93</v>
      </c>
      <c r="K27">
        <v>0</v>
      </c>
      <c r="L27">
        <v>1</v>
      </c>
      <c r="M27">
        <v>7</v>
      </c>
      <c r="N27">
        <v>8</v>
      </c>
    </row>
    <row r="28" spans="1:14" x14ac:dyDescent="0.3">
      <c r="A28">
        <v>646</v>
      </c>
      <c r="B28" s="1">
        <v>40573</v>
      </c>
      <c r="C28">
        <v>1</v>
      </c>
      <c r="D28">
        <v>4</v>
      </c>
      <c r="E28" t="b">
        <v>0</v>
      </c>
      <c r="F28">
        <v>0</v>
      </c>
      <c r="G28">
        <v>1</v>
      </c>
      <c r="H28">
        <v>0.14000000000000001</v>
      </c>
      <c r="I28">
        <v>0.21210000000000001</v>
      </c>
      <c r="J28">
        <v>0.93</v>
      </c>
      <c r="K28">
        <v>0</v>
      </c>
      <c r="L28">
        <v>0</v>
      </c>
      <c r="M28">
        <v>1</v>
      </c>
      <c r="N28">
        <v>1</v>
      </c>
    </row>
    <row r="29" spans="1:14" x14ac:dyDescent="0.3">
      <c r="A29">
        <v>647</v>
      </c>
      <c r="B29" s="1">
        <v>40573</v>
      </c>
      <c r="C29">
        <v>1</v>
      </c>
      <c r="D29">
        <v>5</v>
      </c>
      <c r="E29" t="b">
        <v>0</v>
      </c>
      <c r="F29">
        <v>0</v>
      </c>
      <c r="G29">
        <v>1</v>
      </c>
      <c r="H29">
        <v>0.14000000000000001</v>
      </c>
      <c r="I29">
        <v>0.21210000000000001</v>
      </c>
      <c r="J29">
        <v>0.86</v>
      </c>
      <c r="K29">
        <v>0</v>
      </c>
      <c r="L29">
        <v>0</v>
      </c>
      <c r="M29">
        <v>3</v>
      </c>
      <c r="N29">
        <v>3</v>
      </c>
    </row>
    <row r="30" spans="1:14" x14ac:dyDescent="0.3">
      <c r="A30">
        <v>648</v>
      </c>
      <c r="B30" s="1">
        <v>40573</v>
      </c>
      <c r="C30">
        <v>1</v>
      </c>
      <c r="D30">
        <v>7</v>
      </c>
      <c r="E30" t="b">
        <v>0</v>
      </c>
      <c r="F30">
        <v>0</v>
      </c>
      <c r="G30">
        <v>1</v>
      </c>
      <c r="H30">
        <v>0.14000000000000001</v>
      </c>
      <c r="I30">
        <v>0.21210000000000001</v>
      </c>
      <c r="J30">
        <v>0.86</v>
      </c>
      <c r="K30">
        <v>0</v>
      </c>
      <c r="L30">
        <v>0</v>
      </c>
      <c r="M30">
        <v>3</v>
      </c>
      <c r="N30">
        <v>3</v>
      </c>
    </row>
    <row r="31" spans="1:14" x14ac:dyDescent="0.3">
      <c r="A31">
        <v>649</v>
      </c>
      <c r="B31" s="1">
        <v>40573</v>
      </c>
      <c r="C31">
        <v>1</v>
      </c>
      <c r="D31">
        <v>8</v>
      </c>
      <c r="E31" t="b">
        <v>0</v>
      </c>
      <c r="F31">
        <v>0</v>
      </c>
      <c r="G31">
        <v>2</v>
      </c>
      <c r="H31">
        <v>0.14000000000000001</v>
      </c>
      <c r="I31">
        <v>0.21210000000000001</v>
      </c>
      <c r="J31">
        <v>0.86</v>
      </c>
      <c r="K31">
        <v>0</v>
      </c>
      <c r="L31">
        <v>1</v>
      </c>
      <c r="M31">
        <v>11</v>
      </c>
      <c r="N31">
        <v>12</v>
      </c>
    </row>
    <row r="32" spans="1:14" x14ac:dyDescent="0.3">
      <c r="A32">
        <v>650</v>
      </c>
      <c r="B32" s="1">
        <v>40573</v>
      </c>
      <c r="C32">
        <v>1</v>
      </c>
      <c r="D32">
        <v>9</v>
      </c>
      <c r="E32" t="b">
        <v>0</v>
      </c>
      <c r="F32">
        <v>0</v>
      </c>
      <c r="G32">
        <v>2</v>
      </c>
      <c r="H32">
        <v>0.16</v>
      </c>
      <c r="I32">
        <v>0.2273</v>
      </c>
      <c r="J32">
        <v>0.8</v>
      </c>
      <c r="K32">
        <v>0</v>
      </c>
      <c r="L32">
        <v>4</v>
      </c>
      <c r="M32">
        <v>34</v>
      </c>
      <c r="N32">
        <v>38</v>
      </c>
    </row>
    <row r="33" spans="1:14" x14ac:dyDescent="0.3">
      <c r="A33">
        <v>651</v>
      </c>
      <c r="B33" s="1">
        <v>40573</v>
      </c>
      <c r="C33">
        <v>1</v>
      </c>
      <c r="D33">
        <v>10</v>
      </c>
      <c r="E33" t="b">
        <v>0</v>
      </c>
      <c r="F33">
        <v>0</v>
      </c>
      <c r="G33">
        <v>2</v>
      </c>
      <c r="H33">
        <v>0.18</v>
      </c>
      <c r="I33">
        <v>0.2424</v>
      </c>
      <c r="J33">
        <v>0.8</v>
      </c>
      <c r="K33">
        <v>0</v>
      </c>
      <c r="L33">
        <v>7</v>
      </c>
      <c r="M33">
        <v>57</v>
      </c>
      <c r="N33">
        <v>64</v>
      </c>
    </row>
    <row r="34" spans="1:14" x14ac:dyDescent="0.3">
      <c r="A34">
        <v>652</v>
      </c>
      <c r="B34" s="1">
        <v>40573</v>
      </c>
      <c r="C34">
        <v>1</v>
      </c>
      <c r="D34">
        <v>11</v>
      </c>
      <c r="E34" t="b">
        <v>0</v>
      </c>
      <c r="F34">
        <v>0</v>
      </c>
      <c r="G34">
        <v>1</v>
      </c>
      <c r="H34">
        <v>0.22</v>
      </c>
      <c r="I34">
        <v>0.2727</v>
      </c>
      <c r="J34">
        <v>0.75</v>
      </c>
      <c r="K34">
        <v>0</v>
      </c>
      <c r="L34">
        <v>9</v>
      </c>
      <c r="M34">
        <v>50</v>
      </c>
      <c r="N34">
        <v>59</v>
      </c>
    </row>
    <row r="35" spans="1:14" x14ac:dyDescent="0.3">
      <c r="A35">
        <v>653</v>
      </c>
      <c r="B35" s="1">
        <v>40573</v>
      </c>
      <c r="C35">
        <v>1</v>
      </c>
      <c r="D35">
        <v>12</v>
      </c>
      <c r="E35" t="b">
        <v>0</v>
      </c>
      <c r="F35">
        <v>0</v>
      </c>
      <c r="G35">
        <v>1</v>
      </c>
      <c r="H35">
        <v>0.3</v>
      </c>
      <c r="I35">
        <v>0.31819999999999998</v>
      </c>
      <c r="J35">
        <v>0.52</v>
      </c>
      <c r="K35">
        <v>0.1045</v>
      </c>
      <c r="L35">
        <v>10</v>
      </c>
      <c r="M35">
        <v>87</v>
      </c>
      <c r="N35">
        <v>97</v>
      </c>
    </row>
    <row r="36" spans="1:14" x14ac:dyDescent="0.3">
      <c r="A36">
        <v>654</v>
      </c>
      <c r="B36" s="1">
        <v>40573</v>
      </c>
      <c r="C36">
        <v>1</v>
      </c>
      <c r="D36">
        <v>13</v>
      </c>
      <c r="E36" t="b">
        <v>0</v>
      </c>
      <c r="F36">
        <v>0</v>
      </c>
      <c r="G36">
        <v>1</v>
      </c>
      <c r="H36">
        <v>0.28000000000000003</v>
      </c>
      <c r="I36">
        <v>0.28789999999999999</v>
      </c>
      <c r="J36">
        <v>0.61</v>
      </c>
      <c r="K36">
        <v>0.1045</v>
      </c>
      <c r="L36">
        <v>13</v>
      </c>
      <c r="M36">
        <v>71</v>
      </c>
      <c r="N36">
        <v>84</v>
      </c>
    </row>
    <row r="37" spans="1:14" x14ac:dyDescent="0.3">
      <c r="A37">
        <v>655</v>
      </c>
      <c r="B37" s="1">
        <v>40573</v>
      </c>
      <c r="C37">
        <v>1</v>
      </c>
      <c r="D37">
        <v>14</v>
      </c>
      <c r="E37" t="b">
        <v>0</v>
      </c>
      <c r="F37">
        <v>0</v>
      </c>
      <c r="G37">
        <v>1</v>
      </c>
      <c r="H37">
        <v>0.28000000000000003</v>
      </c>
      <c r="I37">
        <v>0.30299999999999999</v>
      </c>
      <c r="J37">
        <v>0.61</v>
      </c>
      <c r="K37">
        <v>8.9599999999999999E-2</v>
      </c>
      <c r="L37">
        <v>18</v>
      </c>
      <c r="M37">
        <v>104</v>
      </c>
      <c r="N37">
        <v>122</v>
      </c>
    </row>
    <row r="38" spans="1:14" x14ac:dyDescent="0.3">
      <c r="A38">
        <v>656</v>
      </c>
      <c r="B38" s="1">
        <v>40573</v>
      </c>
      <c r="C38">
        <v>1</v>
      </c>
      <c r="D38">
        <v>15</v>
      </c>
      <c r="E38" t="b">
        <v>0</v>
      </c>
      <c r="F38">
        <v>0</v>
      </c>
      <c r="G38">
        <v>1</v>
      </c>
      <c r="H38">
        <v>0.3</v>
      </c>
      <c r="I38">
        <v>0.33329999999999999</v>
      </c>
      <c r="J38">
        <v>0.56000000000000005</v>
      </c>
      <c r="K38">
        <v>0</v>
      </c>
      <c r="L38">
        <v>14</v>
      </c>
      <c r="M38">
        <v>95</v>
      </c>
      <c r="N38">
        <v>109</v>
      </c>
    </row>
    <row r="39" spans="1:14" x14ac:dyDescent="0.3">
      <c r="A39">
        <v>657</v>
      </c>
      <c r="B39" s="1">
        <v>40573</v>
      </c>
      <c r="C39">
        <v>1</v>
      </c>
      <c r="D39">
        <v>16</v>
      </c>
      <c r="E39" t="b">
        <v>0</v>
      </c>
      <c r="F39">
        <v>0</v>
      </c>
      <c r="G39">
        <v>1</v>
      </c>
      <c r="H39">
        <v>0.3</v>
      </c>
      <c r="I39">
        <v>0.33329999999999999</v>
      </c>
      <c r="J39">
        <v>0.56000000000000005</v>
      </c>
      <c r="K39">
        <v>0</v>
      </c>
      <c r="L39">
        <v>19</v>
      </c>
      <c r="M39">
        <v>104</v>
      </c>
      <c r="N39">
        <v>123</v>
      </c>
    </row>
    <row r="40" spans="1:14" x14ac:dyDescent="0.3">
      <c r="A40">
        <v>658</v>
      </c>
      <c r="B40" s="1">
        <v>40573</v>
      </c>
      <c r="C40">
        <v>1</v>
      </c>
      <c r="D40">
        <v>17</v>
      </c>
      <c r="E40" t="b">
        <v>0</v>
      </c>
      <c r="F40">
        <v>0</v>
      </c>
      <c r="G40">
        <v>1</v>
      </c>
      <c r="H40">
        <v>0.3</v>
      </c>
      <c r="I40">
        <v>0.28789999999999999</v>
      </c>
      <c r="J40">
        <v>0.56000000000000005</v>
      </c>
      <c r="K40">
        <v>0.19400000000000001</v>
      </c>
      <c r="L40">
        <v>6</v>
      </c>
      <c r="M40">
        <v>71</v>
      </c>
      <c r="N40">
        <v>77</v>
      </c>
    </row>
    <row r="41" spans="1:14" x14ac:dyDescent="0.3">
      <c r="A41">
        <v>659</v>
      </c>
      <c r="B41" s="1">
        <v>40573</v>
      </c>
      <c r="C41">
        <v>1</v>
      </c>
      <c r="D41">
        <v>18</v>
      </c>
      <c r="E41" t="b">
        <v>0</v>
      </c>
      <c r="F41">
        <v>0</v>
      </c>
      <c r="G41">
        <v>1</v>
      </c>
      <c r="H41">
        <v>0.26</v>
      </c>
      <c r="I41">
        <v>0.2576</v>
      </c>
      <c r="J41">
        <v>0.65</v>
      </c>
      <c r="K41">
        <v>0.16420000000000001</v>
      </c>
      <c r="L41">
        <v>8</v>
      </c>
      <c r="M41">
        <v>57</v>
      </c>
      <c r="N41">
        <v>65</v>
      </c>
    </row>
    <row r="42" spans="1:14" x14ac:dyDescent="0.3">
      <c r="A42">
        <v>660</v>
      </c>
      <c r="B42" s="1">
        <v>40573</v>
      </c>
      <c r="C42">
        <v>1</v>
      </c>
      <c r="D42">
        <v>19</v>
      </c>
      <c r="E42" t="b">
        <v>0</v>
      </c>
      <c r="F42">
        <v>0</v>
      </c>
      <c r="G42">
        <v>1</v>
      </c>
      <c r="H42">
        <v>0.26</v>
      </c>
      <c r="I42">
        <v>0.2576</v>
      </c>
      <c r="J42">
        <v>0.65</v>
      </c>
      <c r="K42">
        <v>0.19400000000000001</v>
      </c>
      <c r="L42">
        <v>9</v>
      </c>
      <c r="M42">
        <v>46</v>
      </c>
      <c r="N42">
        <v>55</v>
      </c>
    </row>
    <row r="43" spans="1:14" x14ac:dyDescent="0.3">
      <c r="A43">
        <v>661</v>
      </c>
      <c r="B43" s="1">
        <v>40573</v>
      </c>
      <c r="C43">
        <v>1</v>
      </c>
      <c r="D43">
        <v>20</v>
      </c>
      <c r="E43" t="b">
        <v>0</v>
      </c>
      <c r="F43">
        <v>0</v>
      </c>
      <c r="G43">
        <v>2</v>
      </c>
      <c r="H43">
        <v>0.26</v>
      </c>
      <c r="I43">
        <v>0.2727</v>
      </c>
      <c r="J43">
        <v>0.65</v>
      </c>
      <c r="K43">
        <v>0.1045</v>
      </c>
      <c r="L43">
        <v>3</v>
      </c>
      <c r="M43">
        <v>30</v>
      </c>
      <c r="N43">
        <v>33</v>
      </c>
    </row>
    <row r="44" spans="1:14" x14ac:dyDescent="0.3">
      <c r="A44">
        <v>662</v>
      </c>
      <c r="B44" s="1">
        <v>40573</v>
      </c>
      <c r="C44">
        <v>1</v>
      </c>
      <c r="D44">
        <v>21</v>
      </c>
      <c r="E44" t="b">
        <v>0</v>
      </c>
      <c r="F44">
        <v>0</v>
      </c>
      <c r="G44">
        <v>2</v>
      </c>
      <c r="H44">
        <v>0.24</v>
      </c>
      <c r="I44">
        <v>0.2424</v>
      </c>
      <c r="J44">
        <v>0.7</v>
      </c>
      <c r="K44">
        <v>0.16420000000000001</v>
      </c>
      <c r="L44">
        <v>3</v>
      </c>
      <c r="M44">
        <v>25</v>
      </c>
      <c r="N44">
        <v>28</v>
      </c>
    </row>
    <row r="45" spans="1:14" x14ac:dyDescent="0.3">
      <c r="A45">
        <v>663</v>
      </c>
      <c r="B45" s="1">
        <v>40573</v>
      </c>
      <c r="C45">
        <v>1</v>
      </c>
      <c r="D45">
        <v>22</v>
      </c>
      <c r="E45" t="b">
        <v>0</v>
      </c>
      <c r="F45">
        <v>0</v>
      </c>
      <c r="G45">
        <v>2</v>
      </c>
      <c r="H45">
        <v>0.24</v>
      </c>
      <c r="I45">
        <v>0.2273</v>
      </c>
      <c r="J45">
        <v>0.7</v>
      </c>
      <c r="K45">
        <v>0.19400000000000001</v>
      </c>
      <c r="L45">
        <v>2</v>
      </c>
      <c r="M45">
        <v>19</v>
      </c>
      <c r="N45">
        <v>21</v>
      </c>
    </row>
    <row r="46" spans="1:14" x14ac:dyDescent="0.3">
      <c r="A46">
        <v>664</v>
      </c>
      <c r="B46" s="1">
        <v>40573</v>
      </c>
      <c r="C46">
        <v>1</v>
      </c>
      <c r="D46">
        <v>23</v>
      </c>
      <c r="E46" t="b">
        <v>0</v>
      </c>
      <c r="F46">
        <v>0</v>
      </c>
      <c r="G46">
        <v>2</v>
      </c>
      <c r="H46">
        <v>0.24</v>
      </c>
      <c r="I46">
        <v>0.21210000000000001</v>
      </c>
      <c r="J46">
        <v>0.65</v>
      </c>
      <c r="K46">
        <v>0.28360000000000002</v>
      </c>
      <c r="L46">
        <v>5</v>
      </c>
      <c r="M46">
        <v>16</v>
      </c>
      <c r="N46">
        <v>21</v>
      </c>
    </row>
    <row r="47" spans="1:14" x14ac:dyDescent="0.3">
      <c r="A47">
        <v>665</v>
      </c>
      <c r="B47" s="1">
        <v>40574</v>
      </c>
      <c r="C47">
        <v>1</v>
      </c>
      <c r="D47">
        <v>0</v>
      </c>
      <c r="E47" t="b">
        <v>0</v>
      </c>
      <c r="F47">
        <v>1</v>
      </c>
      <c r="G47">
        <v>2</v>
      </c>
      <c r="H47">
        <v>0.24</v>
      </c>
      <c r="I47">
        <v>0.2273</v>
      </c>
      <c r="J47">
        <v>0.65</v>
      </c>
      <c r="K47">
        <v>0.22389999999999999</v>
      </c>
      <c r="L47">
        <v>1</v>
      </c>
      <c r="M47">
        <v>6</v>
      </c>
      <c r="N47">
        <v>7</v>
      </c>
    </row>
    <row r="48" spans="1:14" x14ac:dyDescent="0.3">
      <c r="A48">
        <v>666</v>
      </c>
      <c r="B48" s="1">
        <v>40574</v>
      </c>
      <c r="C48">
        <v>1</v>
      </c>
      <c r="D48">
        <v>1</v>
      </c>
      <c r="E48" t="b">
        <v>0</v>
      </c>
      <c r="F48">
        <v>1</v>
      </c>
      <c r="G48">
        <v>1</v>
      </c>
      <c r="H48">
        <v>0.22</v>
      </c>
      <c r="I48">
        <v>0.21210000000000001</v>
      </c>
      <c r="J48">
        <v>0.64</v>
      </c>
      <c r="K48">
        <v>0.25369999999999998</v>
      </c>
      <c r="L48">
        <v>2</v>
      </c>
      <c r="M48">
        <v>5</v>
      </c>
      <c r="N48">
        <v>7</v>
      </c>
    </row>
    <row r="49" spans="1:14" x14ac:dyDescent="0.3">
      <c r="A49">
        <v>667</v>
      </c>
      <c r="B49" s="1">
        <v>40574</v>
      </c>
      <c r="C49">
        <v>1</v>
      </c>
      <c r="D49">
        <v>2</v>
      </c>
      <c r="E49" t="b">
        <v>0</v>
      </c>
      <c r="F49">
        <v>1</v>
      </c>
      <c r="G49">
        <v>1</v>
      </c>
      <c r="H49">
        <v>0.22</v>
      </c>
      <c r="I49">
        <v>0.2273</v>
      </c>
      <c r="J49">
        <v>0.64</v>
      </c>
      <c r="K49">
        <v>0.19400000000000001</v>
      </c>
      <c r="L49">
        <v>0</v>
      </c>
      <c r="M49">
        <v>1</v>
      </c>
      <c r="N49">
        <v>1</v>
      </c>
    </row>
    <row r="50" spans="1:14" x14ac:dyDescent="0.3">
      <c r="A50">
        <v>668</v>
      </c>
      <c r="B50" s="1">
        <v>40574</v>
      </c>
      <c r="C50">
        <v>1</v>
      </c>
      <c r="D50">
        <v>3</v>
      </c>
      <c r="E50" t="b">
        <v>0</v>
      </c>
      <c r="F50">
        <v>1</v>
      </c>
      <c r="G50">
        <v>1</v>
      </c>
      <c r="H50">
        <v>0.22</v>
      </c>
      <c r="I50">
        <v>0.2273</v>
      </c>
      <c r="J50">
        <v>0.64</v>
      </c>
      <c r="K50">
        <v>0.19400000000000001</v>
      </c>
      <c r="L50">
        <v>0</v>
      </c>
      <c r="M50">
        <v>2</v>
      </c>
      <c r="N50">
        <v>2</v>
      </c>
    </row>
    <row r="51" spans="1:14" x14ac:dyDescent="0.3">
      <c r="A51">
        <v>669</v>
      </c>
      <c r="B51" s="1">
        <v>40574</v>
      </c>
      <c r="C51">
        <v>1</v>
      </c>
      <c r="D51">
        <v>4</v>
      </c>
      <c r="E51" t="b">
        <v>0</v>
      </c>
      <c r="F51">
        <v>1</v>
      </c>
      <c r="G51">
        <v>1</v>
      </c>
      <c r="H51">
        <v>0.2</v>
      </c>
      <c r="I51">
        <v>0.19700000000000001</v>
      </c>
      <c r="J51">
        <v>0.59</v>
      </c>
      <c r="K51">
        <v>0.22389999999999999</v>
      </c>
      <c r="L51">
        <v>0</v>
      </c>
      <c r="M51">
        <v>2</v>
      </c>
      <c r="N51">
        <v>2</v>
      </c>
    </row>
    <row r="52" spans="1:14" x14ac:dyDescent="0.3">
      <c r="A52">
        <v>670</v>
      </c>
      <c r="B52" s="1">
        <v>40574</v>
      </c>
      <c r="C52">
        <v>1</v>
      </c>
      <c r="D52">
        <v>5</v>
      </c>
      <c r="E52" t="b">
        <v>0</v>
      </c>
      <c r="F52">
        <v>1</v>
      </c>
      <c r="G52">
        <v>1</v>
      </c>
      <c r="H52">
        <v>0.18</v>
      </c>
      <c r="I52">
        <v>0.16669999999999999</v>
      </c>
      <c r="J52">
        <v>0.64</v>
      </c>
      <c r="K52">
        <v>0.28360000000000002</v>
      </c>
      <c r="L52">
        <v>0</v>
      </c>
      <c r="M52">
        <v>8</v>
      </c>
      <c r="N52">
        <v>8</v>
      </c>
    </row>
    <row r="53" spans="1:14" x14ac:dyDescent="0.3">
      <c r="A53">
        <v>671</v>
      </c>
      <c r="B53" s="1">
        <v>40574</v>
      </c>
      <c r="C53">
        <v>1</v>
      </c>
      <c r="D53">
        <v>6</v>
      </c>
      <c r="E53" t="b">
        <v>0</v>
      </c>
      <c r="F53">
        <v>1</v>
      </c>
      <c r="G53">
        <v>1</v>
      </c>
      <c r="H53">
        <v>0.16</v>
      </c>
      <c r="I53">
        <v>0.13639999999999999</v>
      </c>
      <c r="J53">
        <v>0.69</v>
      </c>
      <c r="K53">
        <v>0.32840000000000003</v>
      </c>
      <c r="L53">
        <v>0</v>
      </c>
      <c r="M53">
        <v>37</v>
      </c>
      <c r="N53">
        <v>37</v>
      </c>
    </row>
    <row r="54" spans="1:14" x14ac:dyDescent="0.3">
      <c r="A54">
        <v>672</v>
      </c>
      <c r="B54" s="1">
        <v>40574</v>
      </c>
      <c r="C54">
        <v>1</v>
      </c>
      <c r="D54">
        <v>7</v>
      </c>
      <c r="E54" t="b">
        <v>0</v>
      </c>
      <c r="F54">
        <v>1</v>
      </c>
      <c r="G54">
        <v>2</v>
      </c>
      <c r="H54">
        <v>0.16</v>
      </c>
      <c r="I54">
        <v>0.13639999999999999</v>
      </c>
      <c r="J54">
        <v>0.64</v>
      </c>
      <c r="K54">
        <v>0.28360000000000002</v>
      </c>
      <c r="L54">
        <v>1</v>
      </c>
      <c r="M54">
        <v>71</v>
      </c>
      <c r="N54">
        <v>72</v>
      </c>
    </row>
    <row r="55" spans="1:14" x14ac:dyDescent="0.3">
      <c r="A55">
        <v>673</v>
      </c>
      <c r="B55" s="1">
        <v>40574</v>
      </c>
      <c r="C55">
        <v>1</v>
      </c>
      <c r="D55">
        <v>8</v>
      </c>
      <c r="E55" t="b">
        <v>0</v>
      </c>
      <c r="F55">
        <v>1</v>
      </c>
      <c r="G55">
        <v>2</v>
      </c>
      <c r="H55">
        <v>0.16</v>
      </c>
      <c r="I55">
        <v>0.13639999999999999</v>
      </c>
      <c r="J55">
        <v>0.59</v>
      </c>
      <c r="K55">
        <v>0.28360000000000002</v>
      </c>
      <c r="L55">
        <v>3</v>
      </c>
      <c r="M55">
        <v>182</v>
      </c>
      <c r="N55">
        <v>185</v>
      </c>
    </row>
    <row r="56" spans="1:14" x14ac:dyDescent="0.3">
      <c r="A56">
        <v>674</v>
      </c>
      <c r="B56" s="1">
        <v>40574</v>
      </c>
      <c r="C56">
        <v>1</v>
      </c>
      <c r="D56">
        <v>9</v>
      </c>
      <c r="E56" t="b">
        <v>0</v>
      </c>
      <c r="F56">
        <v>1</v>
      </c>
      <c r="G56">
        <v>2</v>
      </c>
      <c r="H56">
        <v>0.16</v>
      </c>
      <c r="I56">
        <v>0.13639999999999999</v>
      </c>
      <c r="J56">
        <v>0.59</v>
      </c>
      <c r="K56">
        <v>0.29849999999999999</v>
      </c>
      <c r="L56">
        <v>0</v>
      </c>
      <c r="M56">
        <v>112</v>
      </c>
      <c r="N56">
        <v>112</v>
      </c>
    </row>
    <row r="57" spans="1:14" x14ac:dyDescent="0.3">
      <c r="A57">
        <v>675</v>
      </c>
      <c r="B57" s="1">
        <v>40574</v>
      </c>
      <c r="C57">
        <v>1</v>
      </c>
      <c r="D57">
        <v>10</v>
      </c>
      <c r="E57" t="b">
        <v>0</v>
      </c>
      <c r="F57">
        <v>1</v>
      </c>
      <c r="G57">
        <v>2</v>
      </c>
      <c r="H57">
        <v>0.16</v>
      </c>
      <c r="I57">
        <v>0.1515</v>
      </c>
      <c r="J57">
        <v>0.59</v>
      </c>
      <c r="K57">
        <v>0.19400000000000001</v>
      </c>
      <c r="L57">
        <v>1</v>
      </c>
      <c r="M57">
        <v>68</v>
      </c>
      <c r="N57">
        <v>69</v>
      </c>
    </row>
    <row r="58" spans="1:14" x14ac:dyDescent="0.3">
      <c r="A58">
        <v>676</v>
      </c>
      <c r="B58" s="1">
        <v>40574</v>
      </c>
      <c r="C58">
        <v>1</v>
      </c>
      <c r="D58">
        <v>11</v>
      </c>
      <c r="E58" t="b">
        <v>0</v>
      </c>
      <c r="F58">
        <v>1</v>
      </c>
      <c r="G58">
        <v>2</v>
      </c>
      <c r="H58">
        <v>0.16</v>
      </c>
      <c r="I58">
        <v>0.1515</v>
      </c>
      <c r="J58">
        <v>0.59</v>
      </c>
      <c r="K58">
        <v>0.19400000000000001</v>
      </c>
      <c r="L58">
        <v>2</v>
      </c>
      <c r="M58">
        <v>46</v>
      </c>
      <c r="N58">
        <v>48</v>
      </c>
    </row>
    <row r="59" spans="1:14" x14ac:dyDescent="0.3">
      <c r="A59">
        <v>677</v>
      </c>
      <c r="B59" s="1">
        <v>40574</v>
      </c>
      <c r="C59">
        <v>1</v>
      </c>
      <c r="D59">
        <v>12</v>
      </c>
      <c r="E59" t="b">
        <v>0</v>
      </c>
      <c r="F59">
        <v>1</v>
      </c>
      <c r="G59">
        <v>2</v>
      </c>
      <c r="H59">
        <v>0.18</v>
      </c>
      <c r="I59">
        <v>0.21210000000000001</v>
      </c>
      <c r="J59">
        <v>0.55000000000000004</v>
      </c>
      <c r="K59">
        <v>0.1045</v>
      </c>
      <c r="L59">
        <v>6</v>
      </c>
      <c r="M59">
        <v>62</v>
      </c>
      <c r="N59">
        <v>68</v>
      </c>
    </row>
    <row r="60" spans="1:14" x14ac:dyDescent="0.3">
      <c r="A60">
        <v>678</v>
      </c>
      <c r="B60" s="1">
        <v>40574</v>
      </c>
      <c r="C60">
        <v>1</v>
      </c>
      <c r="D60">
        <v>13</v>
      </c>
      <c r="E60" t="b">
        <v>0</v>
      </c>
      <c r="F60">
        <v>1</v>
      </c>
      <c r="G60">
        <v>2</v>
      </c>
      <c r="H60">
        <v>0.16</v>
      </c>
      <c r="I60">
        <v>0.2273</v>
      </c>
      <c r="J60">
        <v>0.59</v>
      </c>
      <c r="K60">
        <v>0</v>
      </c>
      <c r="L60">
        <v>2</v>
      </c>
      <c r="M60">
        <v>52</v>
      </c>
      <c r="N60">
        <v>54</v>
      </c>
    </row>
    <row r="61" spans="1:14" x14ac:dyDescent="0.3">
      <c r="A61">
        <v>679</v>
      </c>
      <c r="B61" s="1">
        <v>40574</v>
      </c>
      <c r="C61">
        <v>1</v>
      </c>
      <c r="D61">
        <v>14</v>
      </c>
      <c r="E61" t="b">
        <v>0</v>
      </c>
      <c r="F61">
        <v>1</v>
      </c>
      <c r="G61">
        <v>2</v>
      </c>
      <c r="H61">
        <v>0.18</v>
      </c>
      <c r="I61">
        <v>0.19700000000000001</v>
      </c>
      <c r="J61">
        <v>0.55000000000000004</v>
      </c>
      <c r="K61">
        <v>0.1343</v>
      </c>
      <c r="L61">
        <v>1</v>
      </c>
      <c r="M61">
        <v>85</v>
      </c>
      <c r="N61">
        <v>86</v>
      </c>
    </row>
    <row r="62" spans="1:14" x14ac:dyDescent="0.3">
      <c r="A62">
        <v>680</v>
      </c>
      <c r="B62" s="1">
        <v>40574</v>
      </c>
      <c r="C62">
        <v>1</v>
      </c>
      <c r="D62">
        <v>15</v>
      </c>
      <c r="E62" t="b">
        <v>0</v>
      </c>
      <c r="F62">
        <v>1</v>
      </c>
      <c r="G62">
        <v>2</v>
      </c>
      <c r="H62">
        <v>0.16</v>
      </c>
      <c r="I62">
        <v>0.18179999999999999</v>
      </c>
      <c r="J62">
        <v>0.59</v>
      </c>
      <c r="K62">
        <v>0.1343</v>
      </c>
      <c r="L62">
        <v>3</v>
      </c>
      <c r="M62">
        <v>41</v>
      </c>
      <c r="N62">
        <v>44</v>
      </c>
    </row>
    <row r="63" spans="1:14" x14ac:dyDescent="0.3">
      <c r="A63">
        <v>681</v>
      </c>
      <c r="B63" s="1">
        <v>40574</v>
      </c>
      <c r="C63">
        <v>1</v>
      </c>
      <c r="D63">
        <v>16</v>
      </c>
      <c r="E63" t="b">
        <v>0</v>
      </c>
      <c r="F63">
        <v>1</v>
      </c>
      <c r="G63">
        <v>2</v>
      </c>
      <c r="H63">
        <v>0.16</v>
      </c>
      <c r="I63">
        <v>0.18179999999999999</v>
      </c>
      <c r="J63">
        <v>0.56000000000000005</v>
      </c>
      <c r="K63">
        <v>0.19400000000000001</v>
      </c>
      <c r="L63">
        <v>3</v>
      </c>
      <c r="M63">
        <v>83</v>
      </c>
      <c r="N63">
        <v>86</v>
      </c>
    </row>
    <row r="64" spans="1:14" x14ac:dyDescent="0.3">
      <c r="A64">
        <v>682</v>
      </c>
      <c r="B64" s="1">
        <v>40574</v>
      </c>
      <c r="C64">
        <v>1</v>
      </c>
      <c r="D64">
        <v>17</v>
      </c>
      <c r="E64" t="b">
        <v>0</v>
      </c>
      <c r="F64">
        <v>1</v>
      </c>
      <c r="G64">
        <v>2</v>
      </c>
      <c r="H64">
        <v>0.16</v>
      </c>
      <c r="I64">
        <v>0.1515</v>
      </c>
      <c r="J64">
        <v>0.59</v>
      </c>
      <c r="K64">
        <v>0.19400000000000001</v>
      </c>
      <c r="L64">
        <v>6</v>
      </c>
      <c r="M64">
        <v>155</v>
      </c>
      <c r="N64">
        <v>161</v>
      </c>
    </row>
    <row r="65" spans="1:14" x14ac:dyDescent="0.3">
      <c r="A65">
        <v>683</v>
      </c>
      <c r="B65" s="1">
        <v>40574</v>
      </c>
      <c r="C65">
        <v>1</v>
      </c>
      <c r="D65">
        <v>18</v>
      </c>
      <c r="E65" t="b">
        <v>0</v>
      </c>
      <c r="F65">
        <v>1</v>
      </c>
      <c r="G65">
        <v>2</v>
      </c>
      <c r="H65">
        <v>0.16</v>
      </c>
      <c r="I65">
        <v>0.1515</v>
      </c>
      <c r="J65">
        <v>0.55000000000000004</v>
      </c>
      <c r="K65">
        <v>0.22389999999999999</v>
      </c>
      <c r="L65">
        <v>3</v>
      </c>
      <c r="M65">
        <v>153</v>
      </c>
      <c r="N65">
        <v>156</v>
      </c>
    </row>
    <row r="66" spans="1:14" x14ac:dyDescent="0.3">
      <c r="A66">
        <v>684</v>
      </c>
      <c r="B66" s="1">
        <v>40574</v>
      </c>
      <c r="C66">
        <v>1</v>
      </c>
      <c r="D66">
        <v>19</v>
      </c>
      <c r="E66" t="b">
        <v>0</v>
      </c>
      <c r="F66">
        <v>1</v>
      </c>
      <c r="G66">
        <v>1</v>
      </c>
      <c r="H66">
        <v>0.3</v>
      </c>
      <c r="I66">
        <v>0.31819999999999998</v>
      </c>
      <c r="J66">
        <v>0.61</v>
      </c>
      <c r="K66">
        <v>0.1045</v>
      </c>
      <c r="L66">
        <v>3</v>
      </c>
      <c r="M66">
        <v>108</v>
      </c>
      <c r="N66">
        <v>111</v>
      </c>
    </row>
    <row r="67" spans="1:14" x14ac:dyDescent="0.3">
      <c r="A67">
        <v>685</v>
      </c>
      <c r="B67" s="1">
        <v>40574</v>
      </c>
      <c r="C67">
        <v>1</v>
      </c>
      <c r="D67">
        <v>20</v>
      </c>
      <c r="E67" t="b">
        <v>0</v>
      </c>
      <c r="F67">
        <v>1</v>
      </c>
      <c r="G67">
        <v>3</v>
      </c>
      <c r="H67">
        <v>0.16</v>
      </c>
      <c r="I67">
        <v>0.16669999999999999</v>
      </c>
      <c r="J67">
        <v>0.59</v>
      </c>
      <c r="K67">
        <v>0.16420000000000001</v>
      </c>
      <c r="L67">
        <v>0</v>
      </c>
      <c r="M67">
        <v>78</v>
      </c>
      <c r="N67">
        <v>78</v>
      </c>
    </row>
    <row r="68" spans="1:14" x14ac:dyDescent="0.3">
      <c r="A68">
        <v>686</v>
      </c>
      <c r="B68" s="1">
        <v>40574</v>
      </c>
      <c r="C68">
        <v>1</v>
      </c>
      <c r="D68">
        <v>21</v>
      </c>
      <c r="E68" t="b">
        <v>0</v>
      </c>
      <c r="F68">
        <v>1</v>
      </c>
      <c r="G68">
        <v>3</v>
      </c>
      <c r="H68">
        <v>0.16</v>
      </c>
      <c r="I68">
        <v>0.19700000000000001</v>
      </c>
      <c r="J68">
        <v>0.59</v>
      </c>
      <c r="K68">
        <v>8.9599999999999999E-2</v>
      </c>
      <c r="L68">
        <v>3</v>
      </c>
      <c r="M68">
        <v>53</v>
      </c>
      <c r="N68">
        <v>56</v>
      </c>
    </row>
    <row r="69" spans="1:14" x14ac:dyDescent="0.3">
      <c r="A69">
        <v>687</v>
      </c>
      <c r="B69" s="1">
        <v>40574</v>
      </c>
      <c r="C69">
        <v>1</v>
      </c>
      <c r="D69">
        <v>22</v>
      </c>
      <c r="E69" t="b">
        <v>0</v>
      </c>
      <c r="F69">
        <v>1</v>
      </c>
      <c r="G69">
        <v>2</v>
      </c>
      <c r="H69">
        <v>0.16</v>
      </c>
      <c r="I69">
        <v>0.18179999999999999</v>
      </c>
      <c r="J69">
        <v>0.59</v>
      </c>
      <c r="K69">
        <v>0.1045</v>
      </c>
      <c r="L69">
        <v>0</v>
      </c>
      <c r="M69">
        <v>34</v>
      </c>
      <c r="N69">
        <v>34</v>
      </c>
    </row>
    <row r="70" spans="1:14" x14ac:dyDescent="0.3">
      <c r="A70">
        <v>688</v>
      </c>
      <c r="B70" s="1">
        <v>40574</v>
      </c>
      <c r="C70">
        <v>1</v>
      </c>
      <c r="D70">
        <v>23</v>
      </c>
      <c r="E70" t="b">
        <v>0</v>
      </c>
      <c r="F70">
        <v>1</v>
      </c>
      <c r="G70">
        <v>2</v>
      </c>
      <c r="H70">
        <v>0.16</v>
      </c>
      <c r="I70">
        <v>0.19700000000000001</v>
      </c>
      <c r="J70">
        <v>0.64</v>
      </c>
      <c r="K70">
        <v>8.9599999999999999E-2</v>
      </c>
      <c r="L70">
        <v>2</v>
      </c>
      <c r="M70">
        <v>15</v>
      </c>
      <c r="N70">
        <v>17</v>
      </c>
    </row>
    <row r="71" spans="1:14" x14ac:dyDescent="0.3">
      <c r="A71">
        <v>689</v>
      </c>
      <c r="B71" s="1">
        <v>40575</v>
      </c>
      <c r="C71">
        <v>2</v>
      </c>
      <c r="D71">
        <v>0</v>
      </c>
      <c r="E71" t="b">
        <v>0</v>
      </c>
      <c r="F71">
        <v>2</v>
      </c>
      <c r="G71">
        <v>2</v>
      </c>
      <c r="H71">
        <v>0.16</v>
      </c>
      <c r="I71">
        <v>0.18179999999999999</v>
      </c>
      <c r="J71">
        <v>0.64</v>
      </c>
      <c r="K71">
        <v>0.1045</v>
      </c>
      <c r="L71">
        <v>2</v>
      </c>
      <c r="M71">
        <v>6</v>
      </c>
      <c r="N71">
        <v>8</v>
      </c>
    </row>
    <row r="72" spans="1:14" x14ac:dyDescent="0.3">
      <c r="A72">
        <v>690</v>
      </c>
      <c r="B72" s="1">
        <v>40575</v>
      </c>
      <c r="C72">
        <v>2</v>
      </c>
      <c r="D72">
        <v>1</v>
      </c>
      <c r="E72" t="b">
        <v>0</v>
      </c>
      <c r="F72">
        <v>2</v>
      </c>
      <c r="G72">
        <v>2</v>
      </c>
      <c r="H72">
        <v>0.16</v>
      </c>
      <c r="I72">
        <v>0.18179999999999999</v>
      </c>
      <c r="J72">
        <v>0.69</v>
      </c>
      <c r="K72">
        <v>0.1045</v>
      </c>
      <c r="L72">
        <v>0</v>
      </c>
      <c r="M72">
        <v>3</v>
      </c>
      <c r="N72">
        <v>3</v>
      </c>
    </row>
    <row r="73" spans="1:14" x14ac:dyDescent="0.3">
      <c r="A73">
        <v>691</v>
      </c>
      <c r="B73" s="1">
        <v>40575</v>
      </c>
      <c r="C73">
        <v>2</v>
      </c>
      <c r="D73">
        <v>2</v>
      </c>
      <c r="E73" t="b">
        <v>0</v>
      </c>
      <c r="F73">
        <v>2</v>
      </c>
      <c r="G73">
        <v>2</v>
      </c>
      <c r="H73">
        <v>0.16</v>
      </c>
      <c r="I73">
        <v>0.2273</v>
      </c>
      <c r="J73">
        <v>0.69</v>
      </c>
      <c r="K73">
        <v>0</v>
      </c>
      <c r="L73">
        <v>0</v>
      </c>
      <c r="M73">
        <v>2</v>
      </c>
      <c r="N73">
        <v>2</v>
      </c>
    </row>
    <row r="74" spans="1:14" x14ac:dyDescent="0.3">
      <c r="A74">
        <v>692</v>
      </c>
      <c r="B74" s="1">
        <v>40575</v>
      </c>
      <c r="C74">
        <v>2</v>
      </c>
      <c r="D74">
        <v>3</v>
      </c>
      <c r="E74" t="b">
        <v>0</v>
      </c>
      <c r="F74">
        <v>2</v>
      </c>
      <c r="G74">
        <v>2</v>
      </c>
      <c r="H74">
        <v>0.16</v>
      </c>
      <c r="I74">
        <v>0.2273</v>
      </c>
      <c r="J74">
        <v>0.69</v>
      </c>
      <c r="K74">
        <v>0</v>
      </c>
      <c r="L74">
        <v>0</v>
      </c>
      <c r="M74">
        <v>2</v>
      </c>
      <c r="N74">
        <v>2</v>
      </c>
    </row>
    <row r="75" spans="1:14" x14ac:dyDescent="0.3">
      <c r="A75">
        <v>693</v>
      </c>
      <c r="B75" s="1">
        <v>40575</v>
      </c>
      <c r="C75">
        <v>2</v>
      </c>
      <c r="D75">
        <v>5</v>
      </c>
      <c r="E75" t="b">
        <v>0</v>
      </c>
      <c r="F75">
        <v>2</v>
      </c>
      <c r="G75">
        <v>3</v>
      </c>
      <c r="H75">
        <v>0.14000000000000001</v>
      </c>
      <c r="I75">
        <v>0.21210000000000001</v>
      </c>
      <c r="J75">
        <v>0.93</v>
      </c>
      <c r="K75">
        <v>0</v>
      </c>
      <c r="L75">
        <v>0</v>
      </c>
      <c r="M75">
        <v>3</v>
      </c>
      <c r="N75">
        <v>3</v>
      </c>
    </row>
    <row r="76" spans="1:14" x14ac:dyDescent="0.3">
      <c r="A76">
        <v>694</v>
      </c>
      <c r="B76" s="1">
        <v>40575</v>
      </c>
      <c r="C76">
        <v>2</v>
      </c>
      <c r="D76">
        <v>6</v>
      </c>
      <c r="E76" t="b">
        <v>0</v>
      </c>
      <c r="F76">
        <v>2</v>
      </c>
      <c r="G76">
        <v>3</v>
      </c>
      <c r="H76">
        <v>0.14000000000000001</v>
      </c>
      <c r="I76">
        <v>0.21210000000000001</v>
      </c>
      <c r="J76">
        <v>0.93</v>
      </c>
      <c r="K76">
        <v>0</v>
      </c>
      <c r="L76">
        <v>0</v>
      </c>
      <c r="M76">
        <v>22</v>
      </c>
      <c r="N76">
        <v>22</v>
      </c>
    </row>
    <row r="77" spans="1:14" x14ac:dyDescent="0.3">
      <c r="A77">
        <v>695</v>
      </c>
      <c r="B77" s="1">
        <v>40575</v>
      </c>
      <c r="C77">
        <v>2</v>
      </c>
      <c r="D77">
        <v>7</v>
      </c>
      <c r="E77" t="b">
        <v>0</v>
      </c>
      <c r="F77">
        <v>2</v>
      </c>
      <c r="G77">
        <v>3</v>
      </c>
      <c r="H77">
        <v>0.16</v>
      </c>
      <c r="I77">
        <v>0.2273</v>
      </c>
      <c r="J77">
        <v>0.93</v>
      </c>
      <c r="K77">
        <v>0</v>
      </c>
      <c r="L77">
        <v>0</v>
      </c>
      <c r="M77">
        <v>52</v>
      </c>
      <c r="N77">
        <v>52</v>
      </c>
    </row>
    <row r="78" spans="1:14" x14ac:dyDescent="0.3">
      <c r="A78">
        <v>696</v>
      </c>
      <c r="B78" s="1">
        <v>40575</v>
      </c>
      <c r="C78">
        <v>2</v>
      </c>
      <c r="D78">
        <v>8</v>
      </c>
      <c r="E78" t="b">
        <v>0</v>
      </c>
      <c r="F78">
        <v>2</v>
      </c>
      <c r="G78">
        <v>3</v>
      </c>
      <c r="H78">
        <v>0.16</v>
      </c>
      <c r="I78">
        <v>0.2273</v>
      </c>
      <c r="J78">
        <v>0.93</v>
      </c>
      <c r="K78">
        <v>0</v>
      </c>
      <c r="L78">
        <v>3</v>
      </c>
      <c r="M78">
        <v>132</v>
      </c>
      <c r="N78">
        <v>135</v>
      </c>
    </row>
    <row r="79" spans="1:14" x14ac:dyDescent="0.3">
      <c r="A79">
        <v>697</v>
      </c>
      <c r="B79" s="1">
        <v>40575</v>
      </c>
      <c r="C79">
        <v>2</v>
      </c>
      <c r="D79">
        <v>9</v>
      </c>
      <c r="E79" t="b">
        <v>0</v>
      </c>
      <c r="F79">
        <v>2</v>
      </c>
      <c r="G79">
        <v>2</v>
      </c>
      <c r="H79">
        <v>0.16</v>
      </c>
      <c r="I79">
        <v>0.2273</v>
      </c>
      <c r="J79">
        <v>0.93</v>
      </c>
      <c r="K79">
        <v>0</v>
      </c>
      <c r="L79">
        <v>2</v>
      </c>
      <c r="M79">
        <v>114</v>
      </c>
      <c r="N79">
        <v>116</v>
      </c>
    </row>
    <row r="80" spans="1:14" x14ac:dyDescent="0.3">
      <c r="A80">
        <v>698</v>
      </c>
      <c r="B80" s="1">
        <v>40575</v>
      </c>
      <c r="C80">
        <v>2</v>
      </c>
      <c r="D80">
        <v>10</v>
      </c>
      <c r="E80" t="b">
        <v>0</v>
      </c>
      <c r="F80">
        <v>2</v>
      </c>
      <c r="G80">
        <v>2</v>
      </c>
      <c r="H80">
        <v>0.16</v>
      </c>
      <c r="I80">
        <v>0.2273</v>
      </c>
      <c r="J80">
        <v>0.93</v>
      </c>
      <c r="K80">
        <v>0</v>
      </c>
      <c r="L80">
        <v>0</v>
      </c>
      <c r="M80">
        <v>47</v>
      </c>
      <c r="N80">
        <v>47</v>
      </c>
    </row>
    <row r="81" spans="1:14" x14ac:dyDescent="0.3">
      <c r="A81">
        <v>699</v>
      </c>
      <c r="B81" s="1">
        <v>40575</v>
      </c>
      <c r="C81">
        <v>2</v>
      </c>
      <c r="D81">
        <v>11</v>
      </c>
      <c r="E81" t="b">
        <v>0</v>
      </c>
      <c r="F81">
        <v>2</v>
      </c>
      <c r="G81">
        <v>2</v>
      </c>
      <c r="H81">
        <v>0.18</v>
      </c>
      <c r="I81">
        <v>0.2424</v>
      </c>
      <c r="J81">
        <v>0.86</v>
      </c>
      <c r="K81">
        <v>0</v>
      </c>
      <c r="L81">
        <v>2</v>
      </c>
      <c r="M81">
        <v>49</v>
      </c>
      <c r="N81">
        <v>51</v>
      </c>
    </row>
    <row r="82" spans="1:14" x14ac:dyDescent="0.3">
      <c r="A82">
        <v>700</v>
      </c>
      <c r="B82" s="1">
        <v>40575</v>
      </c>
      <c r="C82">
        <v>2</v>
      </c>
      <c r="D82">
        <v>12</v>
      </c>
      <c r="E82" t="b">
        <v>0</v>
      </c>
      <c r="F82">
        <v>2</v>
      </c>
      <c r="G82">
        <v>2</v>
      </c>
      <c r="H82">
        <v>0.2</v>
      </c>
      <c r="I82">
        <v>0.2576</v>
      </c>
      <c r="J82">
        <v>0.86</v>
      </c>
      <c r="K82">
        <v>0</v>
      </c>
      <c r="L82">
        <v>2</v>
      </c>
      <c r="M82">
        <v>53</v>
      </c>
      <c r="N82">
        <v>55</v>
      </c>
    </row>
    <row r="83" spans="1:14" x14ac:dyDescent="0.3">
      <c r="A83">
        <v>701</v>
      </c>
      <c r="B83" s="1">
        <v>40575</v>
      </c>
      <c r="C83">
        <v>2</v>
      </c>
      <c r="D83">
        <v>13</v>
      </c>
      <c r="E83" t="b">
        <v>0</v>
      </c>
      <c r="F83">
        <v>2</v>
      </c>
      <c r="G83">
        <v>2</v>
      </c>
      <c r="H83">
        <v>0.2</v>
      </c>
      <c r="I83">
        <v>0.2576</v>
      </c>
      <c r="J83">
        <v>0.86</v>
      </c>
      <c r="K83">
        <v>0</v>
      </c>
      <c r="L83">
        <v>3</v>
      </c>
      <c r="M83">
        <v>49</v>
      </c>
      <c r="N83">
        <v>52</v>
      </c>
    </row>
    <row r="84" spans="1:14" x14ac:dyDescent="0.3">
      <c r="A84">
        <v>702</v>
      </c>
      <c r="B84" s="1">
        <v>40575</v>
      </c>
      <c r="C84">
        <v>2</v>
      </c>
      <c r="D84">
        <v>14</v>
      </c>
      <c r="E84" t="b">
        <v>0</v>
      </c>
      <c r="F84">
        <v>2</v>
      </c>
      <c r="G84">
        <v>2</v>
      </c>
      <c r="H84">
        <v>0.22</v>
      </c>
      <c r="I84">
        <v>0.2576</v>
      </c>
      <c r="J84">
        <v>0.8</v>
      </c>
      <c r="K84">
        <v>8.9599999999999999E-2</v>
      </c>
      <c r="L84">
        <v>5</v>
      </c>
      <c r="M84">
        <v>49</v>
      </c>
      <c r="N84">
        <v>54</v>
      </c>
    </row>
    <row r="85" spans="1:14" x14ac:dyDescent="0.3">
      <c r="A85">
        <v>703</v>
      </c>
      <c r="B85" s="1">
        <v>40575</v>
      </c>
      <c r="C85">
        <v>2</v>
      </c>
      <c r="D85">
        <v>15</v>
      </c>
      <c r="E85" t="b">
        <v>0</v>
      </c>
      <c r="F85">
        <v>2</v>
      </c>
      <c r="G85">
        <v>2</v>
      </c>
      <c r="H85">
        <v>0.24</v>
      </c>
      <c r="I85">
        <v>0.28789999999999999</v>
      </c>
      <c r="J85">
        <v>0.75</v>
      </c>
      <c r="K85">
        <v>0</v>
      </c>
      <c r="L85">
        <v>7</v>
      </c>
      <c r="M85">
        <v>45</v>
      </c>
      <c r="N85">
        <v>52</v>
      </c>
    </row>
    <row r="86" spans="1:14" x14ac:dyDescent="0.3">
      <c r="A86">
        <v>704</v>
      </c>
      <c r="B86" s="1">
        <v>40575</v>
      </c>
      <c r="C86">
        <v>2</v>
      </c>
      <c r="D86">
        <v>16</v>
      </c>
      <c r="E86" t="b">
        <v>0</v>
      </c>
      <c r="F86">
        <v>2</v>
      </c>
      <c r="G86">
        <v>2</v>
      </c>
      <c r="H86">
        <v>0.24</v>
      </c>
      <c r="I86">
        <v>0.2424</v>
      </c>
      <c r="J86">
        <v>0.75</v>
      </c>
      <c r="K86">
        <v>0.1343</v>
      </c>
      <c r="L86">
        <v>3</v>
      </c>
      <c r="M86">
        <v>61</v>
      </c>
      <c r="N86">
        <v>64</v>
      </c>
    </row>
    <row r="87" spans="1:14" x14ac:dyDescent="0.3">
      <c r="A87">
        <v>705</v>
      </c>
      <c r="B87" s="1">
        <v>40575</v>
      </c>
      <c r="C87">
        <v>2</v>
      </c>
      <c r="D87">
        <v>17</v>
      </c>
      <c r="E87" t="b">
        <v>0</v>
      </c>
      <c r="F87">
        <v>2</v>
      </c>
      <c r="G87">
        <v>2</v>
      </c>
      <c r="H87">
        <v>0.24</v>
      </c>
      <c r="I87">
        <v>0.28789999999999999</v>
      </c>
      <c r="J87">
        <v>0.75</v>
      </c>
      <c r="K87">
        <v>0</v>
      </c>
      <c r="L87">
        <v>4</v>
      </c>
      <c r="M87">
        <v>172</v>
      </c>
      <c r="N87">
        <v>176</v>
      </c>
    </row>
    <row r="88" spans="1:14" x14ac:dyDescent="0.3">
      <c r="A88">
        <v>706</v>
      </c>
      <c r="B88" s="1">
        <v>40575</v>
      </c>
      <c r="C88">
        <v>2</v>
      </c>
      <c r="D88">
        <v>18</v>
      </c>
      <c r="E88" t="b">
        <v>0</v>
      </c>
      <c r="F88">
        <v>2</v>
      </c>
      <c r="G88">
        <v>2</v>
      </c>
      <c r="H88">
        <v>0.24</v>
      </c>
      <c r="I88">
        <v>0.2576</v>
      </c>
      <c r="J88">
        <v>0.81</v>
      </c>
      <c r="K88">
        <v>0.1045</v>
      </c>
      <c r="L88">
        <v>3</v>
      </c>
      <c r="M88">
        <v>165</v>
      </c>
      <c r="N88">
        <v>168</v>
      </c>
    </row>
    <row r="89" spans="1:14" x14ac:dyDescent="0.3">
      <c r="A89">
        <v>707</v>
      </c>
      <c r="B89" s="1">
        <v>40575</v>
      </c>
      <c r="C89">
        <v>2</v>
      </c>
      <c r="D89">
        <v>19</v>
      </c>
      <c r="E89" t="b">
        <v>0</v>
      </c>
      <c r="F89">
        <v>2</v>
      </c>
      <c r="G89">
        <v>2</v>
      </c>
      <c r="H89">
        <v>0.24</v>
      </c>
      <c r="I89">
        <v>0.2424</v>
      </c>
      <c r="J89">
        <v>0.81</v>
      </c>
      <c r="K89">
        <v>0.1343</v>
      </c>
      <c r="L89">
        <v>3</v>
      </c>
      <c r="M89">
        <v>105</v>
      </c>
      <c r="N89">
        <v>108</v>
      </c>
    </row>
    <row r="90" spans="1:14" x14ac:dyDescent="0.3">
      <c r="A90">
        <v>708</v>
      </c>
      <c r="B90" s="1">
        <v>40575</v>
      </c>
      <c r="C90">
        <v>2</v>
      </c>
      <c r="D90">
        <v>20</v>
      </c>
      <c r="E90" t="b">
        <v>0</v>
      </c>
      <c r="F90">
        <v>2</v>
      </c>
      <c r="G90">
        <v>2</v>
      </c>
      <c r="H90">
        <v>0.22</v>
      </c>
      <c r="I90">
        <v>0.2273</v>
      </c>
      <c r="J90">
        <v>0.87</v>
      </c>
      <c r="K90">
        <v>0.1343</v>
      </c>
      <c r="L90">
        <v>5</v>
      </c>
      <c r="M90">
        <v>69</v>
      </c>
      <c r="N90">
        <v>74</v>
      </c>
    </row>
    <row r="91" spans="1:14" x14ac:dyDescent="0.3">
      <c r="A91">
        <v>709</v>
      </c>
      <c r="B91" s="1">
        <v>40575</v>
      </c>
      <c r="C91">
        <v>2</v>
      </c>
      <c r="D91">
        <v>21</v>
      </c>
      <c r="E91" t="b">
        <v>0</v>
      </c>
      <c r="F91">
        <v>2</v>
      </c>
      <c r="G91">
        <v>2</v>
      </c>
      <c r="H91">
        <v>0.22</v>
      </c>
      <c r="I91">
        <v>0.2273</v>
      </c>
      <c r="J91">
        <v>0.87</v>
      </c>
      <c r="K91">
        <v>0.1343</v>
      </c>
      <c r="L91">
        <v>0</v>
      </c>
      <c r="M91">
        <v>64</v>
      </c>
      <c r="N91">
        <v>64</v>
      </c>
    </row>
    <row r="92" spans="1:14" x14ac:dyDescent="0.3">
      <c r="A92">
        <v>710</v>
      </c>
      <c r="B92" s="1">
        <v>40575</v>
      </c>
      <c r="C92">
        <v>2</v>
      </c>
      <c r="D92">
        <v>22</v>
      </c>
      <c r="E92" t="b">
        <v>0</v>
      </c>
      <c r="F92">
        <v>2</v>
      </c>
      <c r="G92">
        <v>2</v>
      </c>
      <c r="H92">
        <v>0.22</v>
      </c>
      <c r="I92">
        <v>0.2576</v>
      </c>
      <c r="J92">
        <v>0.87</v>
      </c>
      <c r="K92">
        <v>8.9599999999999999E-2</v>
      </c>
      <c r="L92">
        <v>2</v>
      </c>
      <c r="M92">
        <v>34</v>
      </c>
      <c r="N92">
        <v>36</v>
      </c>
    </row>
    <row r="93" spans="1:14" x14ac:dyDescent="0.3">
      <c r="A93">
        <v>711</v>
      </c>
      <c r="B93" s="1">
        <v>40575</v>
      </c>
      <c r="C93">
        <v>2</v>
      </c>
      <c r="D93">
        <v>23</v>
      </c>
      <c r="E93" t="b">
        <v>0</v>
      </c>
      <c r="F93">
        <v>2</v>
      </c>
      <c r="G93">
        <v>3</v>
      </c>
      <c r="H93">
        <v>0.2</v>
      </c>
      <c r="I93">
        <v>0.19700000000000001</v>
      </c>
      <c r="J93">
        <v>0.93</v>
      </c>
      <c r="K93">
        <v>0.19400000000000001</v>
      </c>
      <c r="L93">
        <v>1</v>
      </c>
      <c r="M93">
        <v>15</v>
      </c>
      <c r="N93">
        <v>16</v>
      </c>
    </row>
    <row r="94" spans="1:14" x14ac:dyDescent="0.3">
      <c r="A94">
        <v>712</v>
      </c>
      <c r="B94" s="1">
        <v>40576</v>
      </c>
      <c r="C94">
        <v>2</v>
      </c>
      <c r="D94">
        <v>0</v>
      </c>
      <c r="E94" t="b">
        <v>0</v>
      </c>
      <c r="F94">
        <v>3</v>
      </c>
      <c r="G94">
        <v>3</v>
      </c>
      <c r="H94">
        <v>0.22</v>
      </c>
      <c r="I94">
        <v>0.2424</v>
      </c>
      <c r="J94">
        <v>0.93</v>
      </c>
      <c r="K94">
        <v>0.1045</v>
      </c>
      <c r="L94">
        <v>0</v>
      </c>
      <c r="M94">
        <v>2</v>
      </c>
      <c r="N94">
        <v>2</v>
      </c>
    </row>
    <row r="95" spans="1:14" x14ac:dyDescent="0.3">
      <c r="A95">
        <v>713</v>
      </c>
      <c r="B95" s="1">
        <v>40576</v>
      </c>
      <c r="C95">
        <v>2</v>
      </c>
      <c r="D95">
        <v>1</v>
      </c>
      <c r="E95" t="b">
        <v>0</v>
      </c>
      <c r="F95">
        <v>3</v>
      </c>
      <c r="G95">
        <v>3</v>
      </c>
      <c r="H95">
        <v>0.22</v>
      </c>
      <c r="I95">
        <v>0.2273</v>
      </c>
      <c r="J95">
        <v>0.93</v>
      </c>
      <c r="K95">
        <v>0.19400000000000001</v>
      </c>
      <c r="L95">
        <v>0</v>
      </c>
      <c r="M95">
        <v>3</v>
      </c>
      <c r="N95">
        <v>3</v>
      </c>
    </row>
    <row r="96" spans="1:14" x14ac:dyDescent="0.3">
      <c r="A96">
        <v>714</v>
      </c>
      <c r="B96" s="1">
        <v>40576</v>
      </c>
      <c r="C96">
        <v>2</v>
      </c>
      <c r="D96">
        <v>2</v>
      </c>
      <c r="E96" t="b">
        <v>0</v>
      </c>
      <c r="F96">
        <v>3</v>
      </c>
      <c r="G96">
        <v>3</v>
      </c>
      <c r="H96">
        <v>0.22</v>
      </c>
      <c r="I96">
        <v>0.2273</v>
      </c>
      <c r="J96">
        <v>0.93</v>
      </c>
      <c r="K96">
        <v>0.1343</v>
      </c>
      <c r="L96">
        <v>4</v>
      </c>
      <c r="M96">
        <v>0</v>
      </c>
      <c r="N96">
        <v>4</v>
      </c>
    </row>
    <row r="97" spans="1:14" x14ac:dyDescent="0.3">
      <c r="A97">
        <v>715</v>
      </c>
      <c r="B97" s="1">
        <v>40576</v>
      </c>
      <c r="C97">
        <v>2</v>
      </c>
      <c r="D97">
        <v>3</v>
      </c>
      <c r="E97" t="b">
        <v>0</v>
      </c>
      <c r="F97">
        <v>3</v>
      </c>
      <c r="G97">
        <v>3</v>
      </c>
      <c r="H97">
        <v>0.22</v>
      </c>
      <c r="I97">
        <v>0.2273</v>
      </c>
      <c r="J97">
        <v>0.93</v>
      </c>
      <c r="K97">
        <v>0.1343</v>
      </c>
      <c r="L97">
        <v>0</v>
      </c>
      <c r="M97">
        <v>1</v>
      </c>
      <c r="N97">
        <v>1</v>
      </c>
    </row>
    <row r="98" spans="1:14" x14ac:dyDescent="0.3">
      <c r="A98">
        <v>716</v>
      </c>
      <c r="B98" s="1">
        <v>40576</v>
      </c>
      <c r="C98">
        <v>2</v>
      </c>
      <c r="D98">
        <v>4</v>
      </c>
      <c r="E98" t="b">
        <v>0</v>
      </c>
      <c r="F98">
        <v>3</v>
      </c>
      <c r="G98">
        <v>3</v>
      </c>
      <c r="H98">
        <v>0.22</v>
      </c>
      <c r="I98">
        <v>0.21210000000000001</v>
      </c>
      <c r="J98">
        <v>0.93</v>
      </c>
      <c r="K98">
        <v>0.28360000000000002</v>
      </c>
      <c r="L98">
        <v>0</v>
      </c>
      <c r="M98">
        <v>1</v>
      </c>
      <c r="N98">
        <v>1</v>
      </c>
    </row>
    <row r="99" spans="1:14" x14ac:dyDescent="0.3">
      <c r="A99">
        <v>717</v>
      </c>
      <c r="B99" s="1">
        <v>40576</v>
      </c>
      <c r="C99">
        <v>2</v>
      </c>
      <c r="D99">
        <v>5</v>
      </c>
      <c r="E99" t="b">
        <v>0</v>
      </c>
      <c r="F99">
        <v>3</v>
      </c>
      <c r="G99">
        <v>3</v>
      </c>
      <c r="H99">
        <v>0.22</v>
      </c>
      <c r="I99">
        <v>0.2424</v>
      </c>
      <c r="J99">
        <v>0.93</v>
      </c>
      <c r="K99">
        <v>0.1045</v>
      </c>
      <c r="L99">
        <v>0</v>
      </c>
      <c r="M99">
        <v>3</v>
      </c>
      <c r="N99">
        <v>3</v>
      </c>
    </row>
    <row r="100" spans="1:14" x14ac:dyDescent="0.3">
      <c r="A100">
        <v>718</v>
      </c>
      <c r="B100" s="1">
        <v>40576</v>
      </c>
      <c r="C100">
        <v>2</v>
      </c>
      <c r="D100">
        <v>6</v>
      </c>
      <c r="E100" t="b">
        <v>0</v>
      </c>
      <c r="F100">
        <v>3</v>
      </c>
      <c r="G100">
        <v>3</v>
      </c>
      <c r="H100">
        <v>0.22</v>
      </c>
      <c r="I100">
        <v>0.2424</v>
      </c>
      <c r="J100">
        <v>0.93</v>
      </c>
      <c r="K100">
        <v>0.1045</v>
      </c>
      <c r="L100">
        <v>1</v>
      </c>
      <c r="M100">
        <v>17</v>
      </c>
      <c r="N100">
        <v>18</v>
      </c>
    </row>
    <row r="101" spans="1:14" x14ac:dyDescent="0.3">
      <c r="A101">
        <v>719</v>
      </c>
      <c r="B101" s="1">
        <v>40576</v>
      </c>
      <c r="C101">
        <v>2</v>
      </c>
      <c r="D101">
        <v>7</v>
      </c>
      <c r="E101" t="b">
        <v>0</v>
      </c>
      <c r="F101">
        <v>3</v>
      </c>
      <c r="G101">
        <v>3</v>
      </c>
      <c r="H101">
        <v>0.22</v>
      </c>
      <c r="I101">
        <v>0.21210000000000001</v>
      </c>
      <c r="J101">
        <v>0.93</v>
      </c>
      <c r="K101">
        <v>0.22389999999999999</v>
      </c>
      <c r="L101">
        <v>1</v>
      </c>
      <c r="M101">
        <v>48</v>
      </c>
      <c r="N101">
        <v>49</v>
      </c>
    </row>
    <row r="102" spans="1:14" x14ac:dyDescent="0.3">
      <c r="A102">
        <v>720</v>
      </c>
      <c r="B102" s="1">
        <v>40576</v>
      </c>
      <c r="C102">
        <v>2</v>
      </c>
      <c r="D102">
        <v>8</v>
      </c>
      <c r="E102" t="b">
        <v>0</v>
      </c>
      <c r="F102">
        <v>3</v>
      </c>
      <c r="G102">
        <v>3</v>
      </c>
      <c r="H102">
        <v>0.22</v>
      </c>
      <c r="I102">
        <v>0.21210000000000001</v>
      </c>
      <c r="J102">
        <v>0.93</v>
      </c>
      <c r="K102">
        <v>0.22389999999999999</v>
      </c>
      <c r="L102">
        <v>1</v>
      </c>
      <c r="M102">
        <v>154</v>
      </c>
      <c r="N102">
        <v>155</v>
      </c>
    </row>
    <row r="103" spans="1:14" x14ac:dyDescent="0.3">
      <c r="A103">
        <v>721</v>
      </c>
      <c r="B103" s="1">
        <v>40576</v>
      </c>
      <c r="C103">
        <v>2</v>
      </c>
      <c r="D103">
        <v>9</v>
      </c>
      <c r="E103" t="b">
        <v>0</v>
      </c>
      <c r="F103">
        <v>3</v>
      </c>
      <c r="G103">
        <v>2</v>
      </c>
      <c r="H103">
        <v>0.24</v>
      </c>
      <c r="I103">
        <v>0.2576</v>
      </c>
      <c r="J103">
        <v>0.93</v>
      </c>
      <c r="K103">
        <v>8.9599999999999999E-2</v>
      </c>
      <c r="L103">
        <v>4</v>
      </c>
      <c r="M103">
        <v>119</v>
      </c>
      <c r="N103">
        <v>123</v>
      </c>
    </row>
    <row r="104" spans="1:14" x14ac:dyDescent="0.3">
      <c r="A104">
        <v>722</v>
      </c>
      <c r="B104" s="1">
        <v>40576</v>
      </c>
      <c r="C104">
        <v>2</v>
      </c>
      <c r="D104">
        <v>10</v>
      </c>
      <c r="E104" t="b">
        <v>0</v>
      </c>
      <c r="F104">
        <v>3</v>
      </c>
      <c r="G104">
        <v>2</v>
      </c>
      <c r="H104">
        <v>0.22</v>
      </c>
      <c r="I104">
        <v>0.2727</v>
      </c>
      <c r="J104">
        <v>1</v>
      </c>
      <c r="K104">
        <v>0</v>
      </c>
      <c r="L104">
        <v>2</v>
      </c>
      <c r="M104">
        <v>59</v>
      </c>
      <c r="N104">
        <v>61</v>
      </c>
    </row>
    <row r="105" spans="1:14" x14ac:dyDescent="0.3">
      <c r="A105">
        <v>723</v>
      </c>
      <c r="B105" s="1">
        <v>40576</v>
      </c>
      <c r="C105">
        <v>2</v>
      </c>
      <c r="D105">
        <v>11</v>
      </c>
      <c r="E105" t="b">
        <v>0</v>
      </c>
      <c r="F105">
        <v>3</v>
      </c>
      <c r="G105">
        <v>2</v>
      </c>
      <c r="H105">
        <v>0.24</v>
      </c>
      <c r="I105">
        <v>0.2273</v>
      </c>
      <c r="J105">
        <v>0.93</v>
      </c>
      <c r="K105">
        <v>0.19400000000000001</v>
      </c>
      <c r="L105">
        <v>5</v>
      </c>
      <c r="M105">
        <v>47</v>
      </c>
      <c r="N105">
        <v>52</v>
      </c>
    </row>
    <row r="106" spans="1:14" x14ac:dyDescent="0.3">
      <c r="A106">
        <v>724</v>
      </c>
      <c r="B106" s="1">
        <v>40576</v>
      </c>
      <c r="C106">
        <v>2</v>
      </c>
      <c r="D106">
        <v>12</v>
      </c>
      <c r="E106" t="b">
        <v>0</v>
      </c>
      <c r="F106">
        <v>3</v>
      </c>
      <c r="G106">
        <v>2</v>
      </c>
      <c r="H106">
        <v>0.24</v>
      </c>
      <c r="I106">
        <v>0.2273</v>
      </c>
      <c r="J106">
        <v>0.93</v>
      </c>
      <c r="K106">
        <v>0.22389999999999999</v>
      </c>
      <c r="L106">
        <v>3</v>
      </c>
      <c r="M106">
        <v>61</v>
      </c>
      <c r="N106">
        <v>64</v>
      </c>
    </row>
    <row r="107" spans="1:14" x14ac:dyDescent="0.3">
      <c r="A107">
        <v>725</v>
      </c>
      <c r="B107" s="1">
        <v>40576</v>
      </c>
      <c r="C107">
        <v>2</v>
      </c>
      <c r="D107">
        <v>13</v>
      </c>
      <c r="E107" t="b">
        <v>0</v>
      </c>
      <c r="F107">
        <v>3</v>
      </c>
      <c r="G107">
        <v>1</v>
      </c>
      <c r="H107">
        <v>0.34</v>
      </c>
      <c r="I107">
        <v>0.33329999999999999</v>
      </c>
      <c r="J107">
        <v>0.93</v>
      </c>
      <c r="K107">
        <v>0.16420000000000001</v>
      </c>
      <c r="L107">
        <v>1</v>
      </c>
      <c r="M107">
        <v>74</v>
      </c>
      <c r="N107">
        <v>75</v>
      </c>
    </row>
    <row r="108" spans="1:14" x14ac:dyDescent="0.3">
      <c r="A108">
        <v>726</v>
      </c>
      <c r="B108" s="1">
        <v>40576</v>
      </c>
      <c r="C108">
        <v>2</v>
      </c>
      <c r="D108">
        <v>14</v>
      </c>
      <c r="E108" t="b">
        <v>0</v>
      </c>
      <c r="F108">
        <v>3</v>
      </c>
      <c r="G108">
        <v>1</v>
      </c>
      <c r="H108">
        <v>0.38</v>
      </c>
      <c r="I108">
        <v>0.39389999999999997</v>
      </c>
      <c r="J108">
        <v>0.82</v>
      </c>
      <c r="K108">
        <v>0.3881</v>
      </c>
      <c r="L108">
        <v>2</v>
      </c>
      <c r="M108">
        <v>61</v>
      </c>
      <c r="N108">
        <v>63</v>
      </c>
    </row>
    <row r="109" spans="1:14" x14ac:dyDescent="0.3">
      <c r="A109">
        <v>727</v>
      </c>
      <c r="B109" s="1">
        <v>40576</v>
      </c>
      <c r="C109">
        <v>2</v>
      </c>
      <c r="D109">
        <v>15</v>
      </c>
      <c r="E109" t="b">
        <v>0</v>
      </c>
      <c r="F109">
        <v>3</v>
      </c>
      <c r="G109">
        <v>1</v>
      </c>
      <c r="H109">
        <v>0.38</v>
      </c>
      <c r="I109">
        <v>0.39389999999999997</v>
      </c>
      <c r="J109">
        <v>0.76</v>
      </c>
      <c r="K109">
        <v>0.32840000000000003</v>
      </c>
      <c r="L109">
        <v>10</v>
      </c>
      <c r="M109">
        <v>66</v>
      </c>
      <c r="N109">
        <v>76</v>
      </c>
    </row>
    <row r="110" spans="1:14" x14ac:dyDescent="0.3">
      <c r="A110">
        <v>728</v>
      </c>
      <c r="B110" s="1">
        <v>40576</v>
      </c>
      <c r="C110">
        <v>2</v>
      </c>
      <c r="D110">
        <v>16</v>
      </c>
      <c r="E110" t="b">
        <v>0</v>
      </c>
      <c r="F110">
        <v>3</v>
      </c>
      <c r="G110">
        <v>1</v>
      </c>
      <c r="H110">
        <v>0.36</v>
      </c>
      <c r="I110">
        <v>0.33329999999999999</v>
      </c>
      <c r="J110">
        <v>0.71</v>
      </c>
      <c r="K110">
        <v>0.29849999999999999</v>
      </c>
      <c r="L110">
        <v>8</v>
      </c>
      <c r="M110">
        <v>95</v>
      </c>
      <c r="N110">
        <v>103</v>
      </c>
    </row>
    <row r="111" spans="1:14" x14ac:dyDescent="0.3">
      <c r="A111">
        <v>729</v>
      </c>
      <c r="B111" s="1">
        <v>40576</v>
      </c>
      <c r="C111">
        <v>2</v>
      </c>
      <c r="D111">
        <v>17</v>
      </c>
      <c r="E111" t="b">
        <v>0</v>
      </c>
      <c r="F111">
        <v>3</v>
      </c>
      <c r="G111">
        <v>1</v>
      </c>
      <c r="H111">
        <v>0.36</v>
      </c>
      <c r="I111">
        <v>0.31819999999999998</v>
      </c>
      <c r="J111">
        <v>0.53</v>
      </c>
      <c r="K111">
        <v>0.52239999999999998</v>
      </c>
      <c r="L111">
        <v>7</v>
      </c>
      <c r="M111">
        <v>183</v>
      </c>
      <c r="N111">
        <v>190</v>
      </c>
    </row>
    <row r="112" spans="1:14" x14ac:dyDescent="0.3">
      <c r="A112">
        <v>730</v>
      </c>
      <c r="B112" s="1">
        <v>40576</v>
      </c>
      <c r="C112">
        <v>2</v>
      </c>
      <c r="D112">
        <v>18</v>
      </c>
      <c r="E112" t="b">
        <v>0</v>
      </c>
      <c r="F112">
        <v>3</v>
      </c>
      <c r="G112">
        <v>1</v>
      </c>
      <c r="H112">
        <v>0.34</v>
      </c>
      <c r="I112">
        <v>0.28789999999999999</v>
      </c>
      <c r="J112">
        <v>0.42</v>
      </c>
      <c r="K112">
        <v>0.55220000000000002</v>
      </c>
      <c r="L112">
        <v>7</v>
      </c>
      <c r="M112">
        <v>175</v>
      </c>
      <c r="N112">
        <v>182</v>
      </c>
    </row>
    <row r="113" spans="1:14" x14ac:dyDescent="0.3">
      <c r="A113">
        <v>731</v>
      </c>
      <c r="B113" s="1">
        <v>40576</v>
      </c>
      <c r="C113">
        <v>2</v>
      </c>
      <c r="D113">
        <v>19</v>
      </c>
      <c r="E113" t="b">
        <v>0</v>
      </c>
      <c r="F113">
        <v>3</v>
      </c>
      <c r="G113">
        <v>1</v>
      </c>
      <c r="H113">
        <v>0.28000000000000003</v>
      </c>
      <c r="I113">
        <v>0.2424</v>
      </c>
      <c r="J113">
        <v>0.45</v>
      </c>
      <c r="K113">
        <v>0.49249999999999999</v>
      </c>
      <c r="L113">
        <v>3</v>
      </c>
      <c r="M113">
        <v>88</v>
      </c>
      <c r="N113">
        <v>91</v>
      </c>
    </row>
    <row r="114" spans="1:14" x14ac:dyDescent="0.3">
      <c r="A114">
        <v>732</v>
      </c>
      <c r="B114" s="1">
        <v>40576</v>
      </c>
      <c r="C114">
        <v>2</v>
      </c>
      <c r="D114">
        <v>20</v>
      </c>
      <c r="E114" t="b">
        <v>0</v>
      </c>
      <c r="F114">
        <v>3</v>
      </c>
      <c r="G114">
        <v>1</v>
      </c>
      <c r="H114">
        <v>0.24</v>
      </c>
      <c r="I114">
        <v>0.19700000000000001</v>
      </c>
      <c r="J114">
        <v>0.48</v>
      </c>
      <c r="K114">
        <v>0.55220000000000002</v>
      </c>
      <c r="L114">
        <v>4</v>
      </c>
      <c r="M114">
        <v>71</v>
      </c>
      <c r="N114">
        <v>75</v>
      </c>
    </row>
    <row r="115" spans="1:14" x14ac:dyDescent="0.3">
      <c r="A115">
        <v>733</v>
      </c>
      <c r="B115" s="1">
        <v>40576</v>
      </c>
      <c r="C115">
        <v>2</v>
      </c>
      <c r="D115">
        <v>21</v>
      </c>
      <c r="E115" t="b">
        <v>0</v>
      </c>
      <c r="F115">
        <v>3</v>
      </c>
      <c r="G115">
        <v>1</v>
      </c>
      <c r="H115">
        <v>0.22</v>
      </c>
      <c r="I115">
        <v>0.19700000000000001</v>
      </c>
      <c r="J115">
        <v>0.47</v>
      </c>
      <c r="K115">
        <v>0.32840000000000003</v>
      </c>
      <c r="L115">
        <v>1</v>
      </c>
      <c r="M115">
        <v>62</v>
      </c>
      <c r="N115">
        <v>63</v>
      </c>
    </row>
    <row r="116" spans="1:14" x14ac:dyDescent="0.3">
      <c r="A116">
        <v>734</v>
      </c>
      <c r="B116" s="1">
        <v>40576</v>
      </c>
      <c r="C116">
        <v>2</v>
      </c>
      <c r="D116">
        <v>22</v>
      </c>
      <c r="E116" t="b">
        <v>0</v>
      </c>
      <c r="F116">
        <v>3</v>
      </c>
      <c r="G116">
        <v>1</v>
      </c>
      <c r="H116">
        <v>0.22</v>
      </c>
      <c r="I116">
        <v>0.21210000000000001</v>
      </c>
      <c r="J116">
        <v>0.44</v>
      </c>
      <c r="K116">
        <v>0.25369999999999998</v>
      </c>
      <c r="L116">
        <v>5</v>
      </c>
      <c r="M116">
        <v>35</v>
      </c>
      <c r="N116">
        <v>40</v>
      </c>
    </row>
    <row r="117" spans="1:14" x14ac:dyDescent="0.3">
      <c r="A117">
        <v>735</v>
      </c>
      <c r="B117" s="1">
        <v>40576</v>
      </c>
      <c r="C117">
        <v>2</v>
      </c>
      <c r="D117">
        <v>23</v>
      </c>
      <c r="E117" t="b">
        <v>0</v>
      </c>
      <c r="F117">
        <v>3</v>
      </c>
      <c r="G117">
        <v>1</v>
      </c>
      <c r="H117">
        <v>0.2</v>
      </c>
      <c r="I117">
        <v>0.16669999999999999</v>
      </c>
      <c r="J117">
        <v>0.44</v>
      </c>
      <c r="K117">
        <v>0.44779999999999998</v>
      </c>
      <c r="L117">
        <v>3</v>
      </c>
      <c r="M117">
        <v>29</v>
      </c>
      <c r="N117">
        <v>32</v>
      </c>
    </row>
    <row r="118" spans="1:14" x14ac:dyDescent="0.3">
      <c r="A118">
        <v>736</v>
      </c>
      <c r="B118" s="1">
        <v>40577</v>
      </c>
      <c r="C118">
        <v>2</v>
      </c>
      <c r="D118">
        <v>0</v>
      </c>
      <c r="E118" t="b">
        <v>0</v>
      </c>
      <c r="F118">
        <v>4</v>
      </c>
      <c r="G118">
        <v>1</v>
      </c>
      <c r="H118">
        <v>0.2</v>
      </c>
      <c r="I118">
        <v>0.16669999999999999</v>
      </c>
      <c r="J118">
        <v>0.4</v>
      </c>
      <c r="K118">
        <v>0.44779999999999998</v>
      </c>
      <c r="L118">
        <v>1</v>
      </c>
      <c r="M118">
        <v>11</v>
      </c>
      <c r="N118">
        <v>12</v>
      </c>
    </row>
    <row r="119" spans="1:14" x14ac:dyDescent="0.3">
      <c r="A119">
        <v>737</v>
      </c>
      <c r="B119" s="1">
        <v>40577</v>
      </c>
      <c r="C119">
        <v>2</v>
      </c>
      <c r="D119">
        <v>1</v>
      </c>
      <c r="E119" t="b">
        <v>0</v>
      </c>
      <c r="F119">
        <v>4</v>
      </c>
      <c r="G119">
        <v>1</v>
      </c>
      <c r="H119">
        <v>0.2</v>
      </c>
      <c r="I119">
        <v>0.1515</v>
      </c>
      <c r="J119">
        <v>0.44</v>
      </c>
      <c r="K119">
        <v>0.52239999999999998</v>
      </c>
      <c r="L119">
        <v>0</v>
      </c>
      <c r="M119">
        <v>5</v>
      </c>
      <c r="N119">
        <v>5</v>
      </c>
    </row>
    <row r="120" spans="1:14" x14ac:dyDescent="0.3">
      <c r="A120">
        <v>738</v>
      </c>
      <c r="B120" s="1">
        <v>40577</v>
      </c>
      <c r="C120">
        <v>2</v>
      </c>
      <c r="D120">
        <v>2</v>
      </c>
      <c r="E120" t="b">
        <v>0</v>
      </c>
      <c r="F120">
        <v>4</v>
      </c>
      <c r="G120">
        <v>1</v>
      </c>
      <c r="H120">
        <v>0.18</v>
      </c>
      <c r="I120">
        <v>0.16669999999999999</v>
      </c>
      <c r="J120">
        <v>0.43</v>
      </c>
      <c r="K120">
        <v>0.25369999999999998</v>
      </c>
      <c r="L120">
        <v>0</v>
      </c>
      <c r="M120">
        <v>2</v>
      </c>
      <c r="N120">
        <v>2</v>
      </c>
    </row>
    <row r="121" spans="1:14" x14ac:dyDescent="0.3">
      <c r="A121">
        <v>739</v>
      </c>
      <c r="B121" s="1">
        <v>40577</v>
      </c>
      <c r="C121">
        <v>2</v>
      </c>
      <c r="D121">
        <v>3</v>
      </c>
      <c r="E121" t="b">
        <v>0</v>
      </c>
      <c r="F121">
        <v>4</v>
      </c>
      <c r="G121">
        <v>1</v>
      </c>
      <c r="H121">
        <v>0.18</v>
      </c>
      <c r="I121">
        <v>0.16669999999999999</v>
      </c>
      <c r="J121">
        <v>0.43</v>
      </c>
      <c r="K121">
        <v>0.25369999999999998</v>
      </c>
      <c r="L121">
        <v>0</v>
      </c>
      <c r="M121">
        <v>1</v>
      </c>
      <c r="N121">
        <v>1</v>
      </c>
    </row>
    <row r="122" spans="1:14" x14ac:dyDescent="0.3">
      <c r="A122">
        <v>740</v>
      </c>
      <c r="B122" s="1">
        <v>40577</v>
      </c>
      <c r="C122">
        <v>2</v>
      </c>
      <c r="D122">
        <v>5</v>
      </c>
      <c r="E122" t="b">
        <v>0</v>
      </c>
      <c r="F122">
        <v>4</v>
      </c>
      <c r="G122">
        <v>1</v>
      </c>
      <c r="H122">
        <v>0.16</v>
      </c>
      <c r="I122">
        <v>0.13639999999999999</v>
      </c>
      <c r="J122">
        <v>0.5</v>
      </c>
      <c r="K122">
        <v>0.29849999999999999</v>
      </c>
      <c r="L122">
        <v>0</v>
      </c>
      <c r="M122">
        <v>2</v>
      </c>
      <c r="N122">
        <v>2</v>
      </c>
    </row>
    <row r="123" spans="1:14" x14ac:dyDescent="0.3">
      <c r="A123">
        <v>741</v>
      </c>
      <c r="B123" s="1">
        <v>40577</v>
      </c>
      <c r="C123">
        <v>2</v>
      </c>
      <c r="D123">
        <v>6</v>
      </c>
      <c r="E123" t="b">
        <v>0</v>
      </c>
      <c r="F123">
        <v>4</v>
      </c>
      <c r="G123">
        <v>1</v>
      </c>
      <c r="H123">
        <v>0.16</v>
      </c>
      <c r="I123">
        <v>0.13639999999999999</v>
      </c>
      <c r="J123">
        <v>0.43</v>
      </c>
      <c r="K123">
        <v>0.35820000000000002</v>
      </c>
      <c r="L123">
        <v>0</v>
      </c>
      <c r="M123">
        <v>39</v>
      </c>
      <c r="N123">
        <v>39</v>
      </c>
    </row>
    <row r="124" spans="1:14" x14ac:dyDescent="0.3">
      <c r="A124">
        <v>742</v>
      </c>
      <c r="B124" s="1">
        <v>40577</v>
      </c>
      <c r="C124">
        <v>2</v>
      </c>
      <c r="D124">
        <v>7</v>
      </c>
      <c r="E124" t="b">
        <v>0</v>
      </c>
      <c r="F124">
        <v>4</v>
      </c>
      <c r="G124">
        <v>1</v>
      </c>
      <c r="H124">
        <v>0.14000000000000001</v>
      </c>
      <c r="I124">
        <v>0.1212</v>
      </c>
      <c r="J124">
        <v>0.5</v>
      </c>
      <c r="K124">
        <v>0.32840000000000003</v>
      </c>
      <c r="L124">
        <v>1</v>
      </c>
      <c r="M124">
        <v>86</v>
      </c>
      <c r="N124">
        <v>87</v>
      </c>
    </row>
    <row r="125" spans="1:14" x14ac:dyDescent="0.3">
      <c r="A125">
        <v>743</v>
      </c>
      <c r="B125" s="1">
        <v>40577</v>
      </c>
      <c r="C125">
        <v>2</v>
      </c>
      <c r="D125">
        <v>8</v>
      </c>
      <c r="E125" t="b">
        <v>0</v>
      </c>
      <c r="F125">
        <v>4</v>
      </c>
      <c r="G125">
        <v>1</v>
      </c>
      <c r="H125">
        <v>0.14000000000000001</v>
      </c>
      <c r="I125">
        <v>0.1212</v>
      </c>
      <c r="J125">
        <v>0.5</v>
      </c>
      <c r="K125">
        <v>0.35820000000000002</v>
      </c>
      <c r="L125">
        <v>4</v>
      </c>
      <c r="M125">
        <v>184</v>
      </c>
      <c r="N125">
        <v>188</v>
      </c>
    </row>
    <row r="126" spans="1:14" x14ac:dyDescent="0.3">
      <c r="A126">
        <v>744</v>
      </c>
      <c r="B126" s="1">
        <v>40577</v>
      </c>
      <c r="C126">
        <v>2</v>
      </c>
      <c r="D126">
        <v>9</v>
      </c>
      <c r="E126" t="b">
        <v>0</v>
      </c>
      <c r="F126">
        <v>4</v>
      </c>
      <c r="G126">
        <v>1</v>
      </c>
      <c r="H126">
        <v>0.16</v>
      </c>
      <c r="I126">
        <v>0.13639999999999999</v>
      </c>
      <c r="J126">
        <v>0.47</v>
      </c>
      <c r="K126">
        <v>0.29849999999999999</v>
      </c>
      <c r="L126">
        <v>6</v>
      </c>
      <c r="M126">
        <v>127</v>
      </c>
      <c r="N126">
        <v>133</v>
      </c>
    </row>
    <row r="127" spans="1:14" x14ac:dyDescent="0.3">
      <c r="A127">
        <v>745</v>
      </c>
      <c r="B127" s="1">
        <v>40577</v>
      </c>
      <c r="C127">
        <v>2</v>
      </c>
      <c r="D127">
        <v>10</v>
      </c>
      <c r="E127" t="b">
        <v>0</v>
      </c>
      <c r="F127">
        <v>4</v>
      </c>
      <c r="G127">
        <v>1</v>
      </c>
      <c r="H127">
        <v>0.18</v>
      </c>
      <c r="I127">
        <v>0.1515</v>
      </c>
      <c r="J127">
        <v>0.43</v>
      </c>
      <c r="K127">
        <v>0.32840000000000003</v>
      </c>
      <c r="L127">
        <v>2</v>
      </c>
      <c r="M127">
        <v>50</v>
      </c>
      <c r="N127">
        <v>52</v>
      </c>
    </row>
    <row r="128" spans="1:14" x14ac:dyDescent="0.3">
      <c r="A128">
        <v>746</v>
      </c>
      <c r="B128" s="1">
        <v>40577</v>
      </c>
      <c r="C128">
        <v>2</v>
      </c>
      <c r="D128">
        <v>11</v>
      </c>
      <c r="E128" t="b">
        <v>0</v>
      </c>
      <c r="F128">
        <v>4</v>
      </c>
      <c r="G128">
        <v>1</v>
      </c>
      <c r="H128">
        <v>0.18</v>
      </c>
      <c r="I128">
        <v>0.13639999999999999</v>
      </c>
      <c r="J128">
        <v>0.43</v>
      </c>
      <c r="K128">
        <v>0.44779999999999998</v>
      </c>
      <c r="L128">
        <v>9</v>
      </c>
      <c r="M128">
        <v>55</v>
      </c>
      <c r="N128">
        <v>64</v>
      </c>
    </row>
    <row r="129" spans="1:14" x14ac:dyDescent="0.3">
      <c r="A129">
        <v>747</v>
      </c>
      <c r="B129" s="1">
        <v>40577</v>
      </c>
      <c r="C129">
        <v>2</v>
      </c>
      <c r="D129">
        <v>12</v>
      </c>
      <c r="E129" t="b">
        <v>0</v>
      </c>
      <c r="F129">
        <v>4</v>
      </c>
      <c r="G129">
        <v>1</v>
      </c>
      <c r="H129">
        <v>0.2</v>
      </c>
      <c r="I129">
        <v>0.18179999999999999</v>
      </c>
      <c r="J129">
        <v>0.4</v>
      </c>
      <c r="K129">
        <v>0.35820000000000002</v>
      </c>
      <c r="L129">
        <v>2</v>
      </c>
      <c r="M129">
        <v>67</v>
      </c>
      <c r="N129">
        <v>69</v>
      </c>
    </row>
    <row r="130" spans="1:14" x14ac:dyDescent="0.3">
      <c r="A130">
        <v>748</v>
      </c>
      <c r="B130" s="1">
        <v>40577</v>
      </c>
      <c r="C130">
        <v>2</v>
      </c>
      <c r="D130">
        <v>13</v>
      </c>
      <c r="E130" t="b">
        <v>0</v>
      </c>
      <c r="F130">
        <v>4</v>
      </c>
      <c r="G130">
        <v>1</v>
      </c>
      <c r="H130">
        <v>0.2</v>
      </c>
      <c r="I130">
        <v>0.16669999999999999</v>
      </c>
      <c r="J130">
        <v>0.4</v>
      </c>
      <c r="K130">
        <v>0.41789999999999999</v>
      </c>
      <c r="L130">
        <v>4</v>
      </c>
      <c r="M130">
        <v>47</v>
      </c>
      <c r="N130">
        <v>51</v>
      </c>
    </row>
    <row r="131" spans="1:14" x14ac:dyDescent="0.3">
      <c r="A131">
        <v>749</v>
      </c>
      <c r="B131" s="1">
        <v>40577</v>
      </c>
      <c r="C131">
        <v>2</v>
      </c>
      <c r="D131">
        <v>14</v>
      </c>
      <c r="E131" t="b">
        <v>0</v>
      </c>
      <c r="F131">
        <v>4</v>
      </c>
      <c r="G131">
        <v>1</v>
      </c>
      <c r="H131">
        <v>0.22</v>
      </c>
      <c r="I131">
        <v>0.19700000000000001</v>
      </c>
      <c r="J131">
        <v>0.37</v>
      </c>
      <c r="K131">
        <v>0.3881</v>
      </c>
      <c r="L131">
        <v>4</v>
      </c>
      <c r="M131">
        <v>43</v>
      </c>
      <c r="N131">
        <v>47</v>
      </c>
    </row>
    <row r="132" spans="1:14" x14ac:dyDescent="0.3">
      <c r="A132">
        <v>750</v>
      </c>
      <c r="B132" s="1">
        <v>40577</v>
      </c>
      <c r="C132">
        <v>2</v>
      </c>
      <c r="D132">
        <v>15</v>
      </c>
      <c r="E132" t="b">
        <v>0</v>
      </c>
      <c r="F132">
        <v>4</v>
      </c>
      <c r="G132">
        <v>1</v>
      </c>
      <c r="H132">
        <v>0.22</v>
      </c>
      <c r="I132">
        <v>0.19700000000000001</v>
      </c>
      <c r="J132">
        <v>0.37</v>
      </c>
      <c r="K132">
        <v>0.32840000000000003</v>
      </c>
      <c r="L132">
        <v>4</v>
      </c>
      <c r="M132">
        <v>56</v>
      </c>
      <c r="N132">
        <v>60</v>
      </c>
    </row>
    <row r="133" spans="1:14" x14ac:dyDescent="0.3">
      <c r="A133">
        <v>751</v>
      </c>
      <c r="B133" s="1">
        <v>40577</v>
      </c>
      <c r="C133">
        <v>2</v>
      </c>
      <c r="D133">
        <v>16</v>
      </c>
      <c r="E133" t="b">
        <v>0</v>
      </c>
      <c r="F133">
        <v>4</v>
      </c>
      <c r="G133">
        <v>1</v>
      </c>
      <c r="H133">
        <v>0.22</v>
      </c>
      <c r="I133">
        <v>0.21210000000000001</v>
      </c>
      <c r="J133">
        <v>0.37</v>
      </c>
      <c r="K133">
        <v>0.25369999999999998</v>
      </c>
      <c r="L133">
        <v>5</v>
      </c>
      <c r="M133">
        <v>73</v>
      </c>
      <c r="N133">
        <v>78</v>
      </c>
    </row>
    <row r="134" spans="1:14" x14ac:dyDescent="0.3">
      <c r="A134">
        <v>752</v>
      </c>
      <c r="B134" s="1">
        <v>40577</v>
      </c>
      <c r="C134">
        <v>2</v>
      </c>
      <c r="D134">
        <v>17</v>
      </c>
      <c r="E134" t="b">
        <v>0</v>
      </c>
      <c r="F134">
        <v>4</v>
      </c>
      <c r="G134">
        <v>1</v>
      </c>
      <c r="H134">
        <v>0.2</v>
      </c>
      <c r="I134">
        <v>0.19700000000000001</v>
      </c>
      <c r="J134">
        <v>0.4</v>
      </c>
      <c r="K134">
        <v>0.19400000000000001</v>
      </c>
      <c r="L134">
        <v>5</v>
      </c>
      <c r="M134">
        <v>170</v>
      </c>
      <c r="N134">
        <v>175</v>
      </c>
    </row>
    <row r="135" spans="1:14" x14ac:dyDescent="0.3">
      <c r="A135">
        <v>753</v>
      </c>
      <c r="B135" s="1">
        <v>40577</v>
      </c>
      <c r="C135">
        <v>2</v>
      </c>
      <c r="D135">
        <v>18</v>
      </c>
      <c r="E135" t="b">
        <v>0</v>
      </c>
      <c r="F135">
        <v>4</v>
      </c>
      <c r="G135">
        <v>1</v>
      </c>
      <c r="H135">
        <v>0.2</v>
      </c>
      <c r="I135">
        <v>0.21210000000000001</v>
      </c>
      <c r="J135">
        <v>0.4</v>
      </c>
      <c r="K135">
        <v>0.16420000000000001</v>
      </c>
      <c r="L135">
        <v>2</v>
      </c>
      <c r="M135">
        <v>145</v>
      </c>
      <c r="N135">
        <v>147</v>
      </c>
    </row>
    <row r="136" spans="1:14" x14ac:dyDescent="0.3">
      <c r="A136">
        <v>754</v>
      </c>
      <c r="B136" s="1">
        <v>40577</v>
      </c>
      <c r="C136">
        <v>2</v>
      </c>
      <c r="D136">
        <v>19</v>
      </c>
      <c r="E136" t="b">
        <v>0</v>
      </c>
      <c r="F136">
        <v>4</v>
      </c>
      <c r="G136">
        <v>1</v>
      </c>
      <c r="H136">
        <v>0.2</v>
      </c>
      <c r="I136">
        <v>0.2576</v>
      </c>
      <c r="J136">
        <v>0.4</v>
      </c>
      <c r="K136">
        <v>0</v>
      </c>
      <c r="L136">
        <v>4</v>
      </c>
      <c r="M136">
        <v>92</v>
      </c>
      <c r="N136">
        <v>96</v>
      </c>
    </row>
    <row r="137" spans="1:14" x14ac:dyDescent="0.3">
      <c r="A137">
        <v>755</v>
      </c>
      <c r="B137" s="1">
        <v>40577</v>
      </c>
      <c r="C137">
        <v>2</v>
      </c>
      <c r="D137">
        <v>20</v>
      </c>
      <c r="E137" t="b">
        <v>0</v>
      </c>
      <c r="F137">
        <v>4</v>
      </c>
      <c r="G137">
        <v>1</v>
      </c>
      <c r="H137">
        <v>0.2</v>
      </c>
      <c r="I137">
        <v>0.2273</v>
      </c>
      <c r="J137">
        <v>0.47</v>
      </c>
      <c r="K137">
        <v>8.9599999999999999E-2</v>
      </c>
      <c r="L137">
        <v>1</v>
      </c>
      <c r="M137">
        <v>108</v>
      </c>
      <c r="N137">
        <v>109</v>
      </c>
    </row>
    <row r="138" spans="1:14" x14ac:dyDescent="0.3">
      <c r="A138">
        <v>756</v>
      </c>
      <c r="B138" s="1">
        <v>40577</v>
      </c>
      <c r="C138">
        <v>2</v>
      </c>
      <c r="D138">
        <v>21</v>
      </c>
      <c r="E138" t="b">
        <v>0</v>
      </c>
      <c r="F138">
        <v>4</v>
      </c>
      <c r="G138">
        <v>1</v>
      </c>
      <c r="H138">
        <v>0.18</v>
      </c>
      <c r="I138">
        <v>0.21210000000000001</v>
      </c>
      <c r="J138">
        <v>0.55000000000000004</v>
      </c>
      <c r="K138">
        <v>0.1045</v>
      </c>
      <c r="L138">
        <v>1</v>
      </c>
      <c r="M138">
        <v>53</v>
      </c>
      <c r="N138">
        <v>54</v>
      </c>
    </row>
    <row r="139" spans="1:14" x14ac:dyDescent="0.3">
      <c r="A139">
        <v>757</v>
      </c>
      <c r="B139" s="1">
        <v>40577</v>
      </c>
      <c r="C139">
        <v>2</v>
      </c>
      <c r="D139">
        <v>22</v>
      </c>
      <c r="E139" t="b">
        <v>0</v>
      </c>
      <c r="F139">
        <v>4</v>
      </c>
      <c r="G139">
        <v>1</v>
      </c>
      <c r="H139">
        <v>0.18</v>
      </c>
      <c r="I139">
        <v>0.21210000000000001</v>
      </c>
      <c r="J139">
        <v>0.51</v>
      </c>
      <c r="K139">
        <v>8.9599999999999999E-2</v>
      </c>
      <c r="L139">
        <v>2</v>
      </c>
      <c r="M139">
        <v>39</v>
      </c>
      <c r="N139">
        <v>41</v>
      </c>
    </row>
    <row r="140" spans="1:14" x14ac:dyDescent="0.3">
      <c r="A140">
        <v>758</v>
      </c>
      <c r="B140" s="1">
        <v>40577</v>
      </c>
      <c r="C140">
        <v>2</v>
      </c>
      <c r="D140">
        <v>23</v>
      </c>
      <c r="E140" t="b">
        <v>0</v>
      </c>
      <c r="F140">
        <v>4</v>
      </c>
      <c r="G140">
        <v>1</v>
      </c>
      <c r="H140">
        <v>0.2</v>
      </c>
      <c r="I140">
        <v>0.2273</v>
      </c>
      <c r="J140">
        <v>0.47</v>
      </c>
      <c r="K140">
        <v>0.1045</v>
      </c>
      <c r="L140">
        <v>4</v>
      </c>
      <c r="M140">
        <v>34</v>
      </c>
      <c r="N140">
        <v>38</v>
      </c>
    </row>
    <row r="141" spans="1:14" x14ac:dyDescent="0.3">
      <c r="A141">
        <v>759</v>
      </c>
      <c r="B141" s="1">
        <v>40578</v>
      </c>
      <c r="C141">
        <v>2</v>
      </c>
      <c r="D141">
        <v>0</v>
      </c>
      <c r="E141" t="b">
        <v>0</v>
      </c>
      <c r="F141">
        <v>5</v>
      </c>
      <c r="G141">
        <v>2</v>
      </c>
      <c r="H141">
        <v>0.2</v>
      </c>
      <c r="I141">
        <v>0.2576</v>
      </c>
      <c r="J141">
        <v>0.44</v>
      </c>
      <c r="K141">
        <v>0</v>
      </c>
      <c r="L141">
        <v>3</v>
      </c>
      <c r="M141">
        <v>10</v>
      </c>
      <c r="N141">
        <v>13</v>
      </c>
    </row>
    <row r="142" spans="1:14" x14ac:dyDescent="0.3">
      <c r="A142">
        <v>760</v>
      </c>
      <c r="B142" s="1">
        <v>40578</v>
      </c>
      <c r="C142">
        <v>2</v>
      </c>
      <c r="D142">
        <v>1</v>
      </c>
      <c r="E142" t="b">
        <v>0</v>
      </c>
      <c r="F142">
        <v>5</v>
      </c>
      <c r="G142">
        <v>2</v>
      </c>
      <c r="H142">
        <v>0.16</v>
      </c>
      <c r="I142">
        <v>0.2273</v>
      </c>
      <c r="J142">
        <v>0.59</v>
      </c>
      <c r="K142">
        <v>0</v>
      </c>
      <c r="L142">
        <v>0</v>
      </c>
      <c r="M142">
        <v>7</v>
      </c>
      <c r="N142">
        <v>7</v>
      </c>
    </row>
    <row r="143" spans="1:14" x14ac:dyDescent="0.3">
      <c r="A143">
        <v>761</v>
      </c>
      <c r="B143" s="1">
        <v>40578</v>
      </c>
      <c r="C143">
        <v>2</v>
      </c>
      <c r="D143">
        <v>2</v>
      </c>
      <c r="E143" t="b">
        <v>0</v>
      </c>
      <c r="F143">
        <v>5</v>
      </c>
      <c r="G143">
        <v>2</v>
      </c>
      <c r="H143">
        <v>0.14000000000000001</v>
      </c>
      <c r="I143">
        <v>0.16669999999999999</v>
      </c>
      <c r="J143">
        <v>0.63</v>
      </c>
      <c r="K143">
        <v>0.1045</v>
      </c>
      <c r="L143">
        <v>0</v>
      </c>
      <c r="M143">
        <v>1</v>
      </c>
      <c r="N143">
        <v>1</v>
      </c>
    </row>
    <row r="144" spans="1:14" x14ac:dyDescent="0.3">
      <c r="A144">
        <v>762</v>
      </c>
      <c r="B144" s="1">
        <v>40578</v>
      </c>
      <c r="C144">
        <v>2</v>
      </c>
      <c r="D144">
        <v>3</v>
      </c>
      <c r="E144" t="b">
        <v>0</v>
      </c>
      <c r="F144">
        <v>5</v>
      </c>
      <c r="G144">
        <v>2</v>
      </c>
      <c r="H144">
        <v>0.14000000000000001</v>
      </c>
      <c r="I144">
        <v>0.16669999999999999</v>
      </c>
      <c r="J144">
        <v>0.63</v>
      </c>
      <c r="K144">
        <v>0.1045</v>
      </c>
      <c r="L144">
        <v>0</v>
      </c>
      <c r="M144">
        <v>1</v>
      </c>
      <c r="N144">
        <v>1</v>
      </c>
    </row>
    <row r="145" spans="1:14" x14ac:dyDescent="0.3">
      <c r="A145">
        <v>763</v>
      </c>
      <c r="B145" s="1">
        <v>40578</v>
      </c>
      <c r="C145">
        <v>2</v>
      </c>
      <c r="D145">
        <v>5</v>
      </c>
      <c r="E145" t="b">
        <v>0</v>
      </c>
      <c r="F145">
        <v>5</v>
      </c>
      <c r="G145">
        <v>2</v>
      </c>
      <c r="H145">
        <v>0.14000000000000001</v>
      </c>
      <c r="I145">
        <v>0.1515</v>
      </c>
      <c r="J145">
        <v>0.63</v>
      </c>
      <c r="K145">
        <v>0.1343</v>
      </c>
      <c r="L145">
        <v>0</v>
      </c>
      <c r="M145">
        <v>7</v>
      </c>
      <c r="N145">
        <v>7</v>
      </c>
    </row>
    <row r="146" spans="1:14" x14ac:dyDescent="0.3">
      <c r="A146">
        <v>764</v>
      </c>
      <c r="B146" s="1">
        <v>40578</v>
      </c>
      <c r="C146">
        <v>2</v>
      </c>
      <c r="D146">
        <v>6</v>
      </c>
      <c r="E146" t="b">
        <v>0</v>
      </c>
      <c r="F146">
        <v>5</v>
      </c>
      <c r="G146">
        <v>2</v>
      </c>
      <c r="H146">
        <v>0.16</v>
      </c>
      <c r="I146">
        <v>0.2273</v>
      </c>
      <c r="J146">
        <v>0.55000000000000004</v>
      </c>
      <c r="K146">
        <v>0</v>
      </c>
      <c r="L146">
        <v>2</v>
      </c>
      <c r="M146">
        <v>26</v>
      </c>
      <c r="N146">
        <v>28</v>
      </c>
    </row>
    <row r="147" spans="1:14" x14ac:dyDescent="0.3">
      <c r="A147">
        <v>765</v>
      </c>
      <c r="B147" s="1">
        <v>40578</v>
      </c>
      <c r="C147">
        <v>2</v>
      </c>
      <c r="D147">
        <v>7</v>
      </c>
      <c r="E147" t="b">
        <v>0</v>
      </c>
      <c r="F147">
        <v>5</v>
      </c>
      <c r="G147">
        <v>1</v>
      </c>
      <c r="H147">
        <v>0.14000000000000001</v>
      </c>
      <c r="I147">
        <v>0.21210000000000001</v>
      </c>
      <c r="J147">
        <v>0.59</v>
      </c>
      <c r="K147">
        <v>0</v>
      </c>
      <c r="L147">
        <v>0</v>
      </c>
      <c r="M147">
        <v>87</v>
      </c>
      <c r="N147">
        <v>87</v>
      </c>
    </row>
    <row r="148" spans="1:14" x14ac:dyDescent="0.3">
      <c r="A148">
        <v>766</v>
      </c>
      <c r="B148" s="1">
        <v>40578</v>
      </c>
      <c r="C148">
        <v>2</v>
      </c>
      <c r="D148">
        <v>8</v>
      </c>
      <c r="E148" t="b">
        <v>0</v>
      </c>
      <c r="F148">
        <v>5</v>
      </c>
      <c r="G148">
        <v>1</v>
      </c>
      <c r="H148">
        <v>0.14000000000000001</v>
      </c>
      <c r="I148">
        <v>0.1515</v>
      </c>
      <c r="J148">
        <v>0.74</v>
      </c>
      <c r="K148">
        <v>0.1343</v>
      </c>
      <c r="L148">
        <v>3</v>
      </c>
      <c r="M148">
        <v>217</v>
      </c>
      <c r="N148">
        <v>220</v>
      </c>
    </row>
    <row r="149" spans="1:14" x14ac:dyDescent="0.3">
      <c r="A149">
        <v>767</v>
      </c>
      <c r="B149" s="1">
        <v>40578</v>
      </c>
      <c r="C149">
        <v>2</v>
      </c>
      <c r="D149">
        <v>9</v>
      </c>
      <c r="E149" t="b">
        <v>0</v>
      </c>
      <c r="F149">
        <v>5</v>
      </c>
      <c r="G149">
        <v>2</v>
      </c>
      <c r="H149">
        <v>0.16</v>
      </c>
      <c r="I149">
        <v>0.18179999999999999</v>
      </c>
      <c r="J149">
        <v>0.8</v>
      </c>
      <c r="K149">
        <v>0.1343</v>
      </c>
      <c r="L149">
        <v>3</v>
      </c>
      <c r="M149">
        <v>124</v>
      </c>
      <c r="N149">
        <v>127</v>
      </c>
    </row>
    <row r="150" spans="1:14" x14ac:dyDescent="0.3">
      <c r="A150">
        <v>768</v>
      </c>
      <c r="B150" s="1">
        <v>40578</v>
      </c>
      <c r="C150">
        <v>2</v>
      </c>
      <c r="D150">
        <v>10</v>
      </c>
      <c r="E150" t="b">
        <v>0</v>
      </c>
      <c r="F150">
        <v>5</v>
      </c>
      <c r="G150">
        <v>2</v>
      </c>
      <c r="H150">
        <v>0.2</v>
      </c>
      <c r="I150">
        <v>0.21210000000000001</v>
      </c>
      <c r="J150">
        <v>0.51</v>
      </c>
      <c r="K150">
        <v>0.1343</v>
      </c>
      <c r="L150">
        <v>5</v>
      </c>
      <c r="M150">
        <v>46</v>
      </c>
      <c r="N150">
        <v>51</v>
      </c>
    </row>
    <row r="151" spans="1:14" x14ac:dyDescent="0.3">
      <c r="A151">
        <v>769</v>
      </c>
      <c r="B151" s="1">
        <v>40578</v>
      </c>
      <c r="C151">
        <v>2</v>
      </c>
      <c r="D151">
        <v>11</v>
      </c>
      <c r="E151" t="b">
        <v>0</v>
      </c>
      <c r="F151">
        <v>5</v>
      </c>
      <c r="G151">
        <v>1</v>
      </c>
      <c r="H151">
        <v>0.22</v>
      </c>
      <c r="I151">
        <v>0.2273</v>
      </c>
      <c r="J151">
        <v>0.51</v>
      </c>
      <c r="K151">
        <v>0.16420000000000001</v>
      </c>
      <c r="L151">
        <v>3</v>
      </c>
      <c r="M151">
        <v>61</v>
      </c>
      <c r="N151">
        <v>64</v>
      </c>
    </row>
    <row r="152" spans="1:14" x14ac:dyDescent="0.3">
      <c r="A152">
        <v>770</v>
      </c>
      <c r="B152" s="1">
        <v>40578</v>
      </c>
      <c r="C152">
        <v>2</v>
      </c>
      <c r="D152">
        <v>12</v>
      </c>
      <c r="E152" t="b">
        <v>0</v>
      </c>
      <c r="F152">
        <v>5</v>
      </c>
      <c r="G152">
        <v>2</v>
      </c>
      <c r="H152">
        <v>0.24</v>
      </c>
      <c r="I152">
        <v>0.2424</v>
      </c>
      <c r="J152">
        <v>0.48</v>
      </c>
      <c r="K152">
        <v>0.16420000000000001</v>
      </c>
      <c r="L152">
        <v>8</v>
      </c>
      <c r="M152">
        <v>78</v>
      </c>
      <c r="N152">
        <v>86</v>
      </c>
    </row>
    <row r="153" spans="1:14" x14ac:dyDescent="0.3">
      <c r="A153">
        <v>771</v>
      </c>
      <c r="B153" s="1">
        <v>40578</v>
      </c>
      <c r="C153">
        <v>2</v>
      </c>
      <c r="D153">
        <v>13</v>
      </c>
      <c r="E153" t="b">
        <v>0</v>
      </c>
      <c r="F153">
        <v>5</v>
      </c>
      <c r="G153">
        <v>2</v>
      </c>
      <c r="H153">
        <v>0.26</v>
      </c>
      <c r="I153">
        <v>0.2576</v>
      </c>
      <c r="J153">
        <v>0.5</v>
      </c>
      <c r="K153">
        <v>0.22389999999999999</v>
      </c>
      <c r="L153">
        <v>9</v>
      </c>
      <c r="M153">
        <v>73</v>
      </c>
      <c r="N153">
        <v>82</v>
      </c>
    </row>
    <row r="154" spans="1:14" x14ac:dyDescent="0.3">
      <c r="A154">
        <v>772</v>
      </c>
      <c r="B154" s="1">
        <v>40578</v>
      </c>
      <c r="C154">
        <v>2</v>
      </c>
      <c r="D154">
        <v>14</v>
      </c>
      <c r="E154" t="b">
        <v>0</v>
      </c>
      <c r="F154">
        <v>5</v>
      </c>
      <c r="G154">
        <v>2</v>
      </c>
      <c r="H154">
        <v>0.28000000000000003</v>
      </c>
      <c r="I154">
        <v>0.2727</v>
      </c>
      <c r="J154">
        <v>0.45</v>
      </c>
      <c r="K154">
        <v>0.16420000000000001</v>
      </c>
      <c r="L154">
        <v>15</v>
      </c>
      <c r="M154">
        <v>76</v>
      </c>
      <c r="N154">
        <v>91</v>
      </c>
    </row>
    <row r="155" spans="1:14" x14ac:dyDescent="0.3">
      <c r="A155">
        <v>773</v>
      </c>
      <c r="B155" s="1">
        <v>40578</v>
      </c>
      <c r="C155">
        <v>2</v>
      </c>
      <c r="D155">
        <v>15</v>
      </c>
      <c r="E155" t="b">
        <v>0</v>
      </c>
      <c r="F155">
        <v>5</v>
      </c>
      <c r="G155">
        <v>2</v>
      </c>
      <c r="H155">
        <v>0.28000000000000003</v>
      </c>
      <c r="I155">
        <v>0.2727</v>
      </c>
      <c r="J155">
        <v>0.48</v>
      </c>
      <c r="K155">
        <v>0.25369999999999998</v>
      </c>
      <c r="L155">
        <v>9</v>
      </c>
      <c r="M155">
        <v>81</v>
      </c>
      <c r="N155">
        <v>90</v>
      </c>
    </row>
    <row r="156" spans="1:14" x14ac:dyDescent="0.3">
      <c r="A156">
        <v>774</v>
      </c>
      <c r="B156" s="1">
        <v>40578</v>
      </c>
      <c r="C156">
        <v>2</v>
      </c>
      <c r="D156">
        <v>16</v>
      </c>
      <c r="E156" t="b">
        <v>0</v>
      </c>
      <c r="F156">
        <v>5</v>
      </c>
      <c r="G156">
        <v>2</v>
      </c>
      <c r="H156">
        <v>0.3</v>
      </c>
      <c r="I156">
        <v>0.28789999999999999</v>
      </c>
      <c r="J156">
        <v>0.42</v>
      </c>
      <c r="K156">
        <v>0.22389999999999999</v>
      </c>
      <c r="L156">
        <v>8</v>
      </c>
      <c r="M156">
        <v>91</v>
      </c>
      <c r="N156">
        <v>99</v>
      </c>
    </row>
    <row r="157" spans="1:14" x14ac:dyDescent="0.3">
      <c r="A157">
        <v>775</v>
      </c>
      <c r="B157" s="1">
        <v>40578</v>
      </c>
      <c r="C157">
        <v>2</v>
      </c>
      <c r="D157">
        <v>17</v>
      </c>
      <c r="E157" t="b">
        <v>0</v>
      </c>
      <c r="F157">
        <v>5</v>
      </c>
      <c r="G157">
        <v>2</v>
      </c>
      <c r="H157">
        <v>0.26</v>
      </c>
      <c r="I157">
        <v>0.2727</v>
      </c>
      <c r="J157">
        <v>0.56000000000000005</v>
      </c>
      <c r="K157">
        <v>0.1343</v>
      </c>
      <c r="L157">
        <v>10</v>
      </c>
      <c r="M157">
        <v>195</v>
      </c>
      <c r="N157">
        <v>205</v>
      </c>
    </row>
    <row r="158" spans="1:14" x14ac:dyDescent="0.3">
      <c r="A158">
        <v>776</v>
      </c>
      <c r="B158" s="1">
        <v>40578</v>
      </c>
      <c r="C158">
        <v>2</v>
      </c>
      <c r="D158">
        <v>18</v>
      </c>
      <c r="E158" t="b">
        <v>0</v>
      </c>
      <c r="F158">
        <v>5</v>
      </c>
      <c r="G158">
        <v>2</v>
      </c>
      <c r="H158">
        <v>0.24</v>
      </c>
      <c r="I158">
        <v>0.2576</v>
      </c>
      <c r="J158">
        <v>0.6</v>
      </c>
      <c r="K158">
        <v>0.1045</v>
      </c>
      <c r="L158">
        <v>3</v>
      </c>
      <c r="M158">
        <v>152</v>
      </c>
      <c r="N158">
        <v>155</v>
      </c>
    </row>
    <row r="159" spans="1:14" x14ac:dyDescent="0.3">
      <c r="A159">
        <v>777</v>
      </c>
      <c r="B159" s="1">
        <v>40578</v>
      </c>
      <c r="C159">
        <v>2</v>
      </c>
      <c r="D159">
        <v>19</v>
      </c>
      <c r="E159" t="b">
        <v>0</v>
      </c>
      <c r="F159">
        <v>5</v>
      </c>
      <c r="G159">
        <v>2</v>
      </c>
      <c r="H159">
        <v>0.24</v>
      </c>
      <c r="I159">
        <v>0.2424</v>
      </c>
      <c r="J159">
        <v>0.65</v>
      </c>
      <c r="K159">
        <v>0.1343</v>
      </c>
      <c r="L159">
        <v>1</v>
      </c>
      <c r="M159">
        <v>102</v>
      </c>
      <c r="N159">
        <v>103</v>
      </c>
    </row>
    <row r="160" spans="1:14" x14ac:dyDescent="0.3">
      <c r="A160">
        <v>778</v>
      </c>
      <c r="B160" s="1">
        <v>40578</v>
      </c>
      <c r="C160">
        <v>2</v>
      </c>
      <c r="D160">
        <v>20</v>
      </c>
      <c r="E160" t="b">
        <v>0</v>
      </c>
      <c r="F160">
        <v>5</v>
      </c>
      <c r="G160">
        <v>2</v>
      </c>
      <c r="H160">
        <v>0.24</v>
      </c>
      <c r="I160">
        <v>0.2424</v>
      </c>
      <c r="J160">
        <v>0.65</v>
      </c>
      <c r="K160">
        <v>0.16420000000000001</v>
      </c>
      <c r="L160">
        <v>2</v>
      </c>
      <c r="M160">
        <v>69</v>
      </c>
      <c r="N160">
        <v>71</v>
      </c>
    </row>
    <row r="161" spans="1:14" x14ac:dyDescent="0.3">
      <c r="A161">
        <v>779</v>
      </c>
      <c r="B161" s="1">
        <v>40578</v>
      </c>
      <c r="C161">
        <v>2</v>
      </c>
      <c r="D161">
        <v>21</v>
      </c>
      <c r="E161" t="b">
        <v>0</v>
      </c>
      <c r="F161">
        <v>5</v>
      </c>
      <c r="G161">
        <v>2</v>
      </c>
      <c r="H161">
        <v>0.24</v>
      </c>
      <c r="I161">
        <v>0.2424</v>
      </c>
      <c r="J161">
        <v>0.7</v>
      </c>
      <c r="K161">
        <v>0.16420000000000001</v>
      </c>
      <c r="L161">
        <v>2</v>
      </c>
      <c r="M161">
        <v>41</v>
      </c>
      <c r="N161">
        <v>43</v>
      </c>
    </row>
    <row r="162" spans="1:14" x14ac:dyDescent="0.3">
      <c r="A162">
        <v>780</v>
      </c>
      <c r="B162" s="1">
        <v>40578</v>
      </c>
      <c r="C162">
        <v>2</v>
      </c>
      <c r="D162">
        <v>22</v>
      </c>
      <c r="E162" t="b">
        <v>0</v>
      </c>
      <c r="F162">
        <v>5</v>
      </c>
      <c r="G162">
        <v>2</v>
      </c>
      <c r="H162">
        <v>0.24</v>
      </c>
      <c r="I162">
        <v>0.2424</v>
      </c>
      <c r="J162">
        <v>0.65</v>
      </c>
      <c r="K162">
        <v>0.16420000000000001</v>
      </c>
      <c r="L162">
        <v>1</v>
      </c>
      <c r="M162">
        <v>45</v>
      </c>
      <c r="N162">
        <v>46</v>
      </c>
    </row>
    <row r="163" spans="1:14" x14ac:dyDescent="0.3">
      <c r="A163">
        <v>781</v>
      </c>
      <c r="B163" s="1">
        <v>40578</v>
      </c>
      <c r="C163">
        <v>2</v>
      </c>
      <c r="D163">
        <v>23</v>
      </c>
      <c r="E163" t="b">
        <v>0</v>
      </c>
      <c r="F163">
        <v>5</v>
      </c>
      <c r="G163">
        <v>2</v>
      </c>
      <c r="H163">
        <v>0.24</v>
      </c>
      <c r="I163">
        <v>0.2424</v>
      </c>
      <c r="J163">
        <v>0.7</v>
      </c>
      <c r="K163">
        <v>0.1343</v>
      </c>
      <c r="L163">
        <v>1</v>
      </c>
      <c r="M163">
        <v>30</v>
      </c>
      <c r="N163">
        <v>31</v>
      </c>
    </row>
    <row r="164" spans="1:14" x14ac:dyDescent="0.3">
      <c r="A164">
        <v>782</v>
      </c>
      <c r="B164" s="1">
        <v>40579</v>
      </c>
      <c r="C164">
        <v>2</v>
      </c>
      <c r="D164">
        <v>0</v>
      </c>
      <c r="E164" t="b">
        <v>0</v>
      </c>
      <c r="F164">
        <v>6</v>
      </c>
      <c r="G164">
        <v>2</v>
      </c>
      <c r="H164">
        <v>0.24</v>
      </c>
      <c r="I164">
        <v>0.2424</v>
      </c>
      <c r="J164">
        <v>0.7</v>
      </c>
      <c r="K164">
        <v>0.16420000000000001</v>
      </c>
      <c r="L164">
        <v>3</v>
      </c>
      <c r="M164">
        <v>36</v>
      </c>
      <c r="N164">
        <v>39</v>
      </c>
    </row>
    <row r="165" spans="1:14" x14ac:dyDescent="0.3">
      <c r="A165">
        <v>783</v>
      </c>
      <c r="B165" s="1">
        <v>40579</v>
      </c>
      <c r="C165">
        <v>2</v>
      </c>
      <c r="D165">
        <v>1</v>
      </c>
      <c r="E165" t="b">
        <v>0</v>
      </c>
      <c r="F165">
        <v>6</v>
      </c>
      <c r="G165">
        <v>2</v>
      </c>
      <c r="H165">
        <v>0.24</v>
      </c>
      <c r="I165">
        <v>0.2424</v>
      </c>
      <c r="J165">
        <v>0.65</v>
      </c>
      <c r="K165">
        <v>0.16420000000000001</v>
      </c>
      <c r="L165">
        <v>1</v>
      </c>
      <c r="M165">
        <v>17</v>
      </c>
      <c r="N165">
        <v>18</v>
      </c>
    </row>
    <row r="166" spans="1:14" x14ac:dyDescent="0.3">
      <c r="A166">
        <v>784</v>
      </c>
      <c r="B166" s="1">
        <v>40579</v>
      </c>
      <c r="C166">
        <v>2</v>
      </c>
      <c r="D166">
        <v>2</v>
      </c>
      <c r="E166" t="b">
        <v>0</v>
      </c>
      <c r="F166">
        <v>6</v>
      </c>
      <c r="G166">
        <v>2</v>
      </c>
      <c r="H166">
        <v>0.24</v>
      </c>
      <c r="I166">
        <v>0.2424</v>
      </c>
      <c r="J166">
        <v>0.75</v>
      </c>
      <c r="K166">
        <v>0.16420000000000001</v>
      </c>
      <c r="L166">
        <v>5</v>
      </c>
      <c r="M166">
        <v>12</v>
      </c>
      <c r="N166">
        <v>17</v>
      </c>
    </row>
    <row r="167" spans="1:14" x14ac:dyDescent="0.3">
      <c r="A167">
        <v>785</v>
      </c>
      <c r="B167" s="1">
        <v>40579</v>
      </c>
      <c r="C167">
        <v>2</v>
      </c>
      <c r="D167">
        <v>3</v>
      </c>
      <c r="E167" t="b">
        <v>0</v>
      </c>
      <c r="F167">
        <v>6</v>
      </c>
      <c r="G167">
        <v>2</v>
      </c>
      <c r="H167">
        <v>0.24</v>
      </c>
      <c r="I167">
        <v>0.2424</v>
      </c>
      <c r="J167">
        <v>0.75</v>
      </c>
      <c r="K167">
        <v>0.16420000000000001</v>
      </c>
      <c r="L167">
        <v>1</v>
      </c>
      <c r="M167">
        <v>10</v>
      </c>
      <c r="N167">
        <v>11</v>
      </c>
    </row>
    <row r="168" spans="1:14" x14ac:dyDescent="0.3">
      <c r="A168">
        <v>786</v>
      </c>
      <c r="B168" s="1">
        <v>40579</v>
      </c>
      <c r="C168">
        <v>2</v>
      </c>
      <c r="D168">
        <v>4</v>
      </c>
      <c r="E168" t="b">
        <v>0</v>
      </c>
      <c r="F168">
        <v>6</v>
      </c>
      <c r="G168">
        <v>3</v>
      </c>
      <c r="H168">
        <v>0.22</v>
      </c>
      <c r="I168">
        <v>0.2273</v>
      </c>
      <c r="J168">
        <v>0.93</v>
      </c>
      <c r="K168">
        <v>0.1343</v>
      </c>
      <c r="L168">
        <v>0</v>
      </c>
      <c r="M168">
        <v>8</v>
      </c>
      <c r="N168">
        <v>8</v>
      </c>
    </row>
    <row r="169" spans="1:14" x14ac:dyDescent="0.3">
      <c r="A169">
        <v>787</v>
      </c>
      <c r="B169" s="1">
        <v>40579</v>
      </c>
      <c r="C169">
        <v>2</v>
      </c>
      <c r="D169">
        <v>5</v>
      </c>
      <c r="E169" t="b">
        <v>0</v>
      </c>
      <c r="F169">
        <v>6</v>
      </c>
      <c r="G169">
        <v>3</v>
      </c>
      <c r="H169">
        <v>0.2</v>
      </c>
      <c r="I169">
        <v>0.2273</v>
      </c>
      <c r="J169">
        <v>1</v>
      </c>
      <c r="K169">
        <v>8.9599999999999999E-2</v>
      </c>
      <c r="L169">
        <v>0</v>
      </c>
      <c r="M169">
        <v>9</v>
      </c>
      <c r="N169">
        <v>9</v>
      </c>
    </row>
    <row r="170" spans="1:14" x14ac:dyDescent="0.3">
      <c r="A170">
        <v>788</v>
      </c>
      <c r="B170" s="1">
        <v>40579</v>
      </c>
      <c r="C170">
        <v>2</v>
      </c>
      <c r="D170">
        <v>6</v>
      </c>
      <c r="E170" t="b">
        <v>0</v>
      </c>
      <c r="F170">
        <v>6</v>
      </c>
      <c r="G170">
        <v>3</v>
      </c>
      <c r="H170">
        <v>0.2</v>
      </c>
      <c r="I170">
        <v>0.2576</v>
      </c>
      <c r="J170">
        <v>1</v>
      </c>
      <c r="K170">
        <v>0</v>
      </c>
      <c r="L170">
        <v>0</v>
      </c>
      <c r="M170">
        <v>4</v>
      </c>
      <c r="N170">
        <v>4</v>
      </c>
    </row>
    <row r="171" spans="1:14" x14ac:dyDescent="0.3">
      <c r="A171">
        <v>789</v>
      </c>
      <c r="B171" s="1">
        <v>40579</v>
      </c>
      <c r="C171">
        <v>2</v>
      </c>
      <c r="D171">
        <v>7</v>
      </c>
      <c r="E171" t="b">
        <v>0</v>
      </c>
      <c r="F171">
        <v>6</v>
      </c>
      <c r="G171">
        <v>3</v>
      </c>
      <c r="H171">
        <v>0.22</v>
      </c>
      <c r="I171">
        <v>0.2576</v>
      </c>
      <c r="J171">
        <v>0.93</v>
      </c>
      <c r="K171">
        <v>8.9599999999999999E-2</v>
      </c>
      <c r="L171">
        <v>0</v>
      </c>
      <c r="M171">
        <v>4</v>
      </c>
      <c r="N171">
        <v>4</v>
      </c>
    </row>
    <row r="172" spans="1:14" x14ac:dyDescent="0.3">
      <c r="A172">
        <v>790</v>
      </c>
      <c r="B172" s="1">
        <v>40579</v>
      </c>
      <c r="C172">
        <v>2</v>
      </c>
      <c r="D172">
        <v>8</v>
      </c>
      <c r="E172" t="b">
        <v>0</v>
      </c>
      <c r="F172">
        <v>6</v>
      </c>
      <c r="G172">
        <v>3</v>
      </c>
      <c r="H172">
        <v>0.2</v>
      </c>
      <c r="I172">
        <v>0.2273</v>
      </c>
      <c r="J172">
        <v>1</v>
      </c>
      <c r="K172">
        <v>8.9599999999999999E-2</v>
      </c>
      <c r="L172">
        <v>0</v>
      </c>
      <c r="M172">
        <v>10</v>
      </c>
      <c r="N172">
        <v>10</v>
      </c>
    </row>
    <row r="173" spans="1:14" x14ac:dyDescent="0.3">
      <c r="A173">
        <v>791</v>
      </c>
      <c r="B173" s="1">
        <v>40579</v>
      </c>
      <c r="C173">
        <v>2</v>
      </c>
      <c r="D173">
        <v>9</v>
      </c>
      <c r="E173" t="b">
        <v>0</v>
      </c>
      <c r="F173">
        <v>6</v>
      </c>
      <c r="G173">
        <v>3</v>
      </c>
      <c r="H173">
        <v>0.2</v>
      </c>
      <c r="I173">
        <v>0.2273</v>
      </c>
      <c r="J173">
        <v>1</v>
      </c>
      <c r="K173">
        <v>8.9599999999999999E-2</v>
      </c>
      <c r="L173">
        <v>3</v>
      </c>
      <c r="M173">
        <v>17</v>
      </c>
      <c r="N173">
        <v>20</v>
      </c>
    </row>
    <row r="174" spans="1:14" x14ac:dyDescent="0.3">
      <c r="A174">
        <v>792</v>
      </c>
      <c r="B174" s="1">
        <v>40579</v>
      </c>
      <c r="C174">
        <v>2</v>
      </c>
      <c r="D174">
        <v>10</v>
      </c>
      <c r="E174" t="b">
        <v>0</v>
      </c>
      <c r="F174">
        <v>6</v>
      </c>
      <c r="G174">
        <v>3</v>
      </c>
      <c r="H174">
        <v>0.2</v>
      </c>
      <c r="I174">
        <v>0.21210000000000001</v>
      </c>
      <c r="J174">
        <v>1</v>
      </c>
      <c r="K174">
        <v>0.1343</v>
      </c>
      <c r="L174">
        <v>3</v>
      </c>
      <c r="M174">
        <v>31</v>
      </c>
      <c r="N174">
        <v>34</v>
      </c>
    </row>
    <row r="175" spans="1:14" x14ac:dyDescent="0.3">
      <c r="A175">
        <v>793</v>
      </c>
      <c r="B175" s="1">
        <v>40579</v>
      </c>
      <c r="C175">
        <v>2</v>
      </c>
      <c r="D175">
        <v>11</v>
      </c>
      <c r="E175" t="b">
        <v>0</v>
      </c>
      <c r="F175">
        <v>6</v>
      </c>
      <c r="G175">
        <v>3</v>
      </c>
      <c r="H175">
        <v>0.22</v>
      </c>
      <c r="I175">
        <v>0.2273</v>
      </c>
      <c r="J175">
        <v>1</v>
      </c>
      <c r="K175">
        <v>0.1343</v>
      </c>
      <c r="L175">
        <v>1</v>
      </c>
      <c r="M175">
        <v>46</v>
      </c>
      <c r="N175">
        <v>47</v>
      </c>
    </row>
    <row r="176" spans="1:14" x14ac:dyDescent="0.3">
      <c r="A176">
        <v>794</v>
      </c>
      <c r="B176" s="1">
        <v>40579</v>
      </c>
      <c r="C176">
        <v>2</v>
      </c>
      <c r="D176">
        <v>12</v>
      </c>
      <c r="E176" t="b">
        <v>0</v>
      </c>
      <c r="F176">
        <v>6</v>
      </c>
      <c r="G176">
        <v>3</v>
      </c>
      <c r="H176">
        <v>0.22</v>
      </c>
      <c r="I176">
        <v>0.2273</v>
      </c>
      <c r="J176">
        <v>1</v>
      </c>
      <c r="K176">
        <v>0.16420000000000001</v>
      </c>
      <c r="L176">
        <v>10</v>
      </c>
      <c r="M176">
        <v>42</v>
      </c>
      <c r="N176">
        <v>52</v>
      </c>
    </row>
    <row r="177" spans="1:14" x14ac:dyDescent="0.3">
      <c r="A177">
        <v>795</v>
      </c>
      <c r="B177" s="1">
        <v>40579</v>
      </c>
      <c r="C177">
        <v>2</v>
      </c>
      <c r="D177">
        <v>13</v>
      </c>
      <c r="E177" t="b">
        <v>0</v>
      </c>
      <c r="F177">
        <v>6</v>
      </c>
      <c r="G177">
        <v>3</v>
      </c>
      <c r="H177">
        <v>0.22</v>
      </c>
      <c r="I177">
        <v>0.2273</v>
      </c>
      <c r="J177">
        <v>1</v>
      </c>
      <c r="K177">
        <v>0.16420000000000001</v>
      </c>
      <c r="L177">
        <v>10</v>
      </c>
      <c r="M177">
        <v>62</v>
      </c>
      <c r="N177">
        <v>72</v>
      </c>
    </row>
    <row r="178" spans="1:14" x14ac:dyDescent="0.3">
      <c r="A178">
        <v>796</v>
      </c>
      <c r="B178" s="1">
        <v>40579</v>
      </c>
      <c r="C178">
        <v>2</v>
      </c>
      <c r="D178">
        <v>14</v>
      </c>
      <c r="E178" t="b">
        <v>0</v>
      </c>
      <c r="F178">
        <v>6</v>
      </c>
      <c r="G178">
        <v>3</v>
      </c>
      <c r="H178">
        <v>0.22</v>
      </c>
      <c r="I178">
        <v>0.2727</v>
      </c>
      <c r="J178">
        <v>1</v>
      </c>
      <c r="K178">
        <v>0</v>
      </c>
      <c r="L178">
        <v>5</v>
      </c>
      <c r="M178">
        <v>50</v>
      </c>
      <c r="N178">
        <v>55</v>
      </c>
    </row>
    <row r="179" spans="1:14" x14ac:dyDescent="0.3">
      <c r="A179">
        <v>797</v>
      </c>
      <c r="B179" s="1">
        <v>40579</v>
      </c>
      <c r="C179">
        <v>2</v>
      </c>
      <c r="D179">
        <v>15</v>
      </c>
      <c r="E179" t="b">
        <v>0</v>
      </c>
      <c r="F179">
        <v>6</v>
      </c>
      <c r="G179">
        <v>3</v>
      </c>
      <c r="H179">
        <v>0.22</v>
      </c>
      <c r="I179">
        <v>0.2727</v>
      </c>
      <c r="J179">
        <v>1</v>
      </c>
      <c r="K179">
        <v>0</v>
      </c>
      <c r="L179">
        <v>11</v>
      </c>
      <c r="M179">
        <v>49</v>
      </c>
      <c r="N179">
        <v>60</v>
      </c>
    </row>
    <row r="180" spans="1:14" x14ac:dyDescent="0.3">
      <c r="A180">
        <v>798</v>
      </c>
      <c r="B180" s="1">
        <v>40579</v>
      </c>
      <c r="C180">
        <v>2</v>
      </c>
      <c r="D180">
        <v>16</v>
      </c>
      <c r="E180" t="b">
        <v>0</v>
      </c>
      <c r="F180">
        <v>6</v>
      </c>
      <c r="G180">
        <v>3</v>
      </c>
      <c r="H180">
        <v>0.22</v>
      </c>
      <c r="I180">
        <v>0.2273</v>
      </c>
      <c r="J180">
        <v>1</v>
      </c>
      <c r="K180">
        <v>0.1343</v>
      </c>
      <c r="L180">
        <v>8</v>
      </c>
      <c r="M180">
        <v>63</v>
      </c>
      <c r="N180">
        <v>71</v>
      </c>
    </row>
    <row r="181" spans="1:14" x14ac:dyDescent="0.3">
      <c r="A181">
        <v>799</v>
      </c>
      <c r="B181" s="1">
        <v>40579</v>
      </c>
      <c r="C181">
        <v>2</v>
      </c>
      <c r="D181">
        <v>17</v>
      </c>
      <c r="E181" t="b">
        <v>0</v>
      </c>
      <c r="F181">
        <v>6</v>
      </c>
      <c r="G181">
        <v>2</v>
      </c>
      <c r="H181">
        <v>0.24</v>
      </c>
      <c r="I181">
        <v>0.21210000000000001</v>
      </c>
      <c r="J181">
        <v>1</v>
      </c>
      <c r="K181">
        <v>0.28360000000000002</v>
      </c>
      <c r="L181">
        <v>14</v>
      </c>
      <c r="M181">
        <v>64</v>
      </c>
      <c r="N181">
        <v>78</v>
      </c>
    </row>
    <row r="182" spans="1:14" x14ac:dyDescent="0.3">
      <c r="A182">
        <v>800</v>
      </c>
      <c r="B182" s="1">
        <v>40579</v>
      </c>
      <c r="C182">
        <v>2</v>
      </c>
      <c r="D182">
        <v>18</v>
      </c>
      <c r="E182" t="b">
        <v>0</v>
      </c>
      <c r="F182">
        <v>6</v>
      </c>
      <c r="G182">
        <v>2</v>
      </c>
      <c r="H182">
        <v>0.28000000000000003</v>
      </c>
      <c r="I182">
        <v>0.2424</v>
      </c>
      <c r="J182">
        <v>0.93</v>
      </c>
      <c r="K182">
        <v>0.44779999999999998</v>
      </c>
      <c r="L182">
        <v>2</v>
      </c>
      <c r="M182">
        <v>81</v>
      </c>
      <c r="N182">
        <v>83</v>
      </c>
    </row>
    <row r="183" spans="1:14" x14ac:dyDescent="0.3">
      <c r="A183">
        <v>801</v>
      </c>
      <c r="B183" s="1">
        <v>40579</v>
      </c>
      <c r="C183">
        <v>2</v>
      </c>
      <c r="D183">
        <v>19</v>
      </c>
      <c r="E183" t="b">
        <v>0</v>
      </c>
      <c r="F183">
        <v>6</v>
      </c>
      <c r="G183">
        <v>2</v>
      </c>
      <c r="H183">
        <v>0.28000000000000003</v>
      </c>
      <c r="I183">
        <v>0.2424</v>
      </c>
      <c r="J183">
        <v>0.93</v>
      </c>
      <c r="K183">
        <v>0.44779999999999998</v>
      </c>
      <c r="L183">
        <v>6</v>
      </c>
      <c r="M183">
        <v>78</v>
      </c>
      <c r="N183">
        <v>84</v>
      </c>
    </row>
    <row r="184" spans="1:14" x14ac:dyDescent="0.3">
      <c r="A184">
        <v>802</v>
      </c>
      <c r="B184" s="1">
        <v>40579</v>
      </c>
      <c r="C184">
        <v>2</v>
      </c>
      <c r="D184">
        <v>20</v>
      </c>
      <c r="E184" t="b">
        <v>0</v>
      </c>
      <c r="F184">
        <v>6</v>
      </c>
      <c r="G184">
        <v>1</v>
      </c>
      <c r="H184">
        <v>0.3</v>
      </c>
      <c r="I184">
        <v>0.28789999999999999</v>
      </c>
      <c r="J184">
        <v>0.87</v>
      </c>
      <c r="K184">
        <v>0.25369999999999998</v>
      </c>
      <c r="L184">
        <v>5</v>
      </c>
      <c r="M184">
        <v>64</v>
      </c>
      <c r="N184">
        <v>69</v>
      </c>
    </row>
    <row r="185" spans="1:14" x14ac:dyDescent="0.3">
      <c r="A185">
        <v>803</v>
      </c>
      <c r="B185" s="1">
        <v>40579</v>
      </c>
      <c r="C185">
        <v>2</v>
      </c>
      <c r="D185">
        <v>21</v>
      </c>
      <c r="E185" t="b">
        <v>0</v>
      </c>
      <c r="F185">
        <v>6</v>
      </c>
      <c r="G185">
        <v>1</v>
      </c>
      <c r="H185">
        <v>0.26</v>
      </c>
      <c r="I185">
        <v>0.2576</v>
      </c>
      <c r="J185">
        <v>1</v>
      </c>
      <c r="K185">
        <v>0.19400000000000001</v>
      </c>
      <c r="L185">
        <v>3</v>
      </c>
      <c r="M185">
        <v>53</v>
      </c>
      <c r="N185">
        <v>56</v>
      </c>
    </row>
    <row r="186" spans="1:14" x14ac:dyDescent="0.3">
      <c r="A186">
        <v>804</v>
      </c>
      <c r="B186" s="1">
        <v>40579</v>
      </c>
      <c r="C186">
        <v>2</v>
      </c>
      <c r="D186">
        <v>22</v>
      </c>
      <c r="E186" t="b">
        <v>0</v>
      </c>
      <c r="F186">
        <v>6</v>
      </c>
      <c r="G186">
        <v>1</v>
      </c>
      <c r="H186">
        <v>0.26</v>
      </c>
      <c r="I186">
        <v>0.2727</v>
      </c>
      <c r="J186">
        <v>0.93</v>
      </c>
      <c r="K186">
        <v>0.1343</v>
      </c>
      <c r="L186">
        <v>2</v>
      </c>
      <c r="M186">
        <v>43</v>
      </c>
      <c r="N186">
        <v>45</v>
      </c>
    </row>
    <row r="187" spans="1:14" x14ac:dyDescent="0.3">
      <c r="A187">
        <v>805</v>
      </c>
      <c r="B187" s="1">
        <v>40579</v>
      </c>
      <c r="C187">
        <v>2</v>
      </c>
      <c r="D187">
        <v>23</v>
      </c>
      <c r="E187" t="b">
        <v>0</v>
      </c>
      <c r="F187">
        <v>6</v>
      </c>
      <c r="G187">
        <v>1</v>
      </c>
      <c r="H187">
        <v>0.26</v>
      </c>
      <c r="I187">
        <v>0.2576</v>
      </c>
      <c r="J187">
        <v>0.93</v>
      </c>
      <c r="K187">
        <v>0.22389999999999999</v>
      </c>
      <c r="L187">
        <v>7</v>
      </c>
      <c r="M187">
        <v>52</v>
      </c>
      <c r="N187">
        <v>59</v>
      </c>
    </row>
    <row r="188" spans="1:14" x14ac:dyDescent="0.3">
      <c r="A188">
        <v>806</v>
      </c>
      <c r="B188" s="1">
        <v>40580</v>
      </c>
      <c r="C188">
        <v>2</v>
      </c>
      <c r="D188">
        <v>0</v>
      </c>
      <c r="E188" t="b">
        <v>0</v>
      </c>
      <c r="F188">
        <v>0</v>
      </c>
      <c r="G188">
        <v>1</v>
      </c>
      <c r="H188">
        <v>0.26</v>
      </c>
      <c r="I188">
        <v>0.2576</v>
      </c>
      <c r="J188">
        <v>0.7</v>
      </c>
      <c r="K188">
        <v>0.19400000000000001</v>
      </c>
      <c r="L188">
        <v>2</v>
      </c>
      <c r="M188">
        <v>37</v>
      </c>
      <c r="N188">
        <v>39</v>
      </c>
    </row>
    <row r="189" spans="1:14" x14ac:dyDescent="0.3">
      <c r="A189">
        <v>807</v>
      </c>
      <c r="B189" s="1">
        <v>40580</v>
      </c>
      <c r="C189">
        <v>2</v>
      </c>
      <c r="D189">
        <v>1</v>
      </c>
      <c r="E189" t="b">
        <v>0</v>
      </c>
      <c r="F189">
        <v>0</v>
      </c>
      <c r="G189">
        <v>1</v>
      </c>
      <c r="H189">
        <v>0.26</v>
      </c>
      <c r="I189">
        <v>0.2273</v>
      </c>
      <c r="J189">
        <v>0.65</v>
      </c>
      <c r="K189">
        <v>0.41789999999999999</v>
      </c>
      <c r="L189">
        <v>4</v>
      </c>
      <c r="M189">
        <v>40</v>
      </c>
      <c r="N189">
        <v>44</v>
      </c>
    </row>
    <row r="190" spans="1:14" x14ac:dyDescent="0.3">
      <c r="A190">
        <v>808</v>
      </c>
      <c r="B190" s="1">
        <v>40580</v>
      </c>
      <c r="C190">
        <v>2</v>
      </c>
      <c r="D190">
        <v>2</v>
      </c>
      <c r="E190" t="b">
        <v>0</v>
      </c>
      <c r="F190">
        <v>0</v>
      </c>
      <c r="G190">
        <v>1</v>
      </c>
      <c r="H190">
        <v>0.26</v>
      </c>
      <c r="I190">
        <v>0.2273</v>
      </c>
      <c r="J190">
        <v>0.6</v>
      </c>
      <c r="K190">
        <v>0.32840000000000003</v>
      </c>
      <c r="L190">
        <v>0</v>
      </c>
      <c r="M190">
        <v>20</v>
      </c>
      <c r="N190">
        <v>20</v>
      </c>
    </row>
    <row r="191" spans="1:14" x14ac:dyDescent="0.3">
      <c r="A191">
        <v>809</v>
      </c>
      <c r="B191" s="1">
        <v>40580</v>
      </c>
      <c r="C191">
        <v>2</v>
      </c>
      <c r="D191">
        <v>3</v>
      </c>
      <c r="E191" t="b">
        <v>0</v>
      </c>
      <c r="F191">
        <v>0</v>
      </c>
      <c r="G191">
        <v>1</v>
      </c>
      <c r="H191">
        <v>0.26</v>
      </c>
      <c r="I191">
        <v>0.28789999999999999</v>
      </c>
      <c r="J191">
        <v>0.6</v>
      </c>
      <c r="K191">
        <v>8.9599999999999999E-2</v>
      </c>
      <c r="L191">
        <v>3</v>
      </c>
      <c r="M191">
        <v>10</v>
      </c>
      <c r="N191">
        <v>13</v>
      </c>
    </row>
    <row r="192" spans="1:14" x14ac:dyDescent="0.3">
      <c r="A192">
        <v>810</v>
      </c>
      <c r="B192" s="1">
        <v>40580</v>
      </c>
      <c r="C192">
        <v>2</v>
      </c>
      <c r="D192">
        <v>4</v>
      </c>
      <c r="E192" t="b">
        <v>0</v>
      </c>
      <c r="F192">
        <v>0</v>
      </c>
      <c r="G192">
        <v>1</v>
      </c>
      <c r="H192">
        <v>0.26</v>
      </c>
      <c r="I192">
        <v>0.2273</v>
      </c>
      <c r="J192">
        <v>0.6</v>
      </c>
      <c r="K192">
        <v>0.35820000000000002</v>
      </c>
      <c r="L192">
        <v>0</v>
      </c>
      <c r="M192">
        <v>2</v>
      </c>
      <c r="N192">
        <v>2</v>
      </c>
    </row>
    <row r="193" spans="1:14" x14ac:dyDescent="0.3">
      <c r="A193">
        <v>811</v>
      </c>
      <c r="B193" s="1">
        <v>40580</v>
      </c>
      <c r="C193">
        <v>2</v>
      </c>
      <c r="D193">
        <v>5</v>
      </c>
      <c r="E193" t="b">
        <v>0</v>
      </c>
      <c r="F193">
        <v>0</v>
      </c>
      <c r="G193">
        <v>1</v>
      </c>
      <c r="H193">
        <v>0.26</v>
      </c>
      <c r="I193">
        <v>0.2576</v>
      </c>
      <c r="J193">
        <v>0.6</v>
      </c>
      <c r="K193">
        <v>0.22389999999999999</v>
      </c>
      <c r="L193">
        <v>0</v>
      </c>
      <c r="M193">
        <v>1</v>
      </c>
      <c r="N193">
        <v>1</v>
      </c>
    </row>
    <row r="194" spans="1:14" x14ac:dyDescent="0.3">
      <c r="A194">
        <v>812</v>
      </c>
      <c r="B194" s="1">
        <v>40580</v>
      </c>
      <c r="C194">
        <v>2</v>
      </c>
      <c r="D194">
        <v>6</v>
      </c>
      <c r="E194" t="b">
        <v>0</v>
      </c>
      <c r="F194">
        <v>0</v>
      </c>
      <c r="G194">
        <v>1</v>
      </c>
      <c r="H194">
        <v>0.26</v>
      </c>
      <c r="I194">
        <v>0.2576</v>
      </c>
      <c r="J194">
        <v>0.6</v>
      </c>
      <c r="K194">
        <v>0.22389999999999999</v>
      </c>
      <c r="L194">
        <v>0</v>
      </c>
      <c r="M194">
        <v>1</v>
      </c>
      <c r="N194">
        <v>1</v>
      </c>
    </row>
    <row r="195" spans="1:14" x14ac:dyDescent="0.3">
      <c r="A195">
        <v>813</v>
      </c>
      <c r="B195" s="1">
        <v>40580</v>
      </c>
      <c r="C195">
        <v>2</v>
      </c>
      <c r="D195">
        <v>7</v>
      </c>
      <c r="E195" t="b">
        <v>0</v>
      </c>
      <c r="F195">
        <v>0</v>
      </c>
      <c r="G195">
        <v>1</v>
      </c>
      <c r="H195">
        <v>0.24</v>
      </c>
      <c r="I195">
        <v>0.2424</v>
      </c>
      <c r="J195">
        <v>0.65</v>
      </c>
      <c r="K195">
        <v>0.16420000000000001</v>
      </c>
      <c r="L195">
        <v>0</v>
      </c>
      <c r="M195">
        <v>8</v>
      </c>
      <c r="N195">
        <v>8</v>
      </c>
    </row>
    <row r="196" spans="1:14" x14ac:dyDescent="0.3">
      <c r="A196">
        <v>814</v>
      </c>
      <c r="B196" s="1">
        <v>40580</v>
      </c>
      <c r="C196">
        <v>2</v>
      </c>
      <c r="D196">
        <v>8</v>
      </c>
      <c r="E196" t="b">
        <v>0</v>
      </c>
      <c r="F196">
        <v>0</v>
      </c>
      <c r="G196">
        <v>1</v>
      </c>
      <c r="H196">
        <v>0.24</v>
      </c>
      <c r="I196">
        <v>0.2576</v>
      </c>
      <c r="J196">
        <v>0.65</v>
      </c>
      <c r="K196">
        <v>0.1045</v>
      </c>
      <c r="L196">
        <v>2</v>
      </c>
      <c r="M196">
        <v>21</v>
      </c>
      <c r="N196">
        <v>23</v>
      </c>
    </row>
    <row r="197" spans="1:14" x14ac:dyDescent="0.3">
      <c r="A197">
        <v>815</v>
      </c>
      <c r="B197" s="1">
        <v>40580</v>
      </c>
      <c r="C197">
        <v>2</v>
      </c>
      <c r="D197">
        <v>9</v>
      </c>
      <c r="E197" t="b">
        <v>0</v>
      </c>
      <c r="F197">
        <v>0</v>
      </c>
      <c r="G197">
        <v>1</v>
      </c>
      <c r="H197">
        <v>0.28000000000000003</v>
      </c>
      <c r="I197">
        <v>0.28789999999999999</v>
      </c>
      <c r="J197">
        <v>0.56000000000000005</v>
      </c>
      <c r="K197">
        <v>0.1045</v>
      </c>
      <c r="L197">
        <v>7</v>
      </c>
      <c r="M197">
        <v>38</v>
      </c>
      <c r="N197">
        <v>45</v>
      </c>
    </row>
    <row r="198" spans="1:14" x14ac:dyDescent="0.3">
      <c r="A198">
        <v>816</v>
      </c>
      <c r="B198" s="1">
        <v>40580</v>
      </c>
      <c r="C198">
        <v>2</v>
      </c>
      <c r="D198">
        <v>10</v>
      </c>
      <c r="E198" t="b">
        <v>0</v>
      </c>
      <c r="F198">
        <v>0</v>
      </c>
      <c r="G198">
        <v>1</v>
      </c>
      <c r="H198">
        <v>0.3</v>
      </c>
      <c r="I198">
        <v>0.28789999999999999</v>
      </c>
      <c r="J198">
        <v>0.52</v>
      </c>
      <c r="K198">
        <v>0.25369999999999998</v>
      </c>
      <c r="L198">
        <v>15</v>
      </c>
      <c r="M198">
        <v>74</v>
      </c>
      <c r="N198">
        <v>89</v>
      </c>
    </row>
    <row r="199" spans="1:14" x14ac:dyDescent="0.3">
      <c r="A199">
        <v>817</v>
      </c>
      <c r="B199" s="1">
        <v>40580</v>
      </c>
      <c r="C199">
        <v>2</v>
      </c>
      <c r="D199">
        <v>11</v>
      </c>
      <c r="E199" t="b">
        <v>0</v>
      </c>
      <c r="F199">
        <v>0</v>
      </c>
      <c r="G199">
        <v>1</v>
      </c>
      <c r="H199">
        <v>0.32</v>
      </c>
      <c r="I199">
        <v>0.30299999999999999</v>
      </c>
      <c r="J199">
        <v>0.49</v>
      </c>
      <c r="K199">
        <v>0.25369999999999998</v>
      </c>
      <c r="L199">
        <v>28</v>
      </c>
      <c r="M199">
        <v>89</v>
      </c>
      <c r="N199">
        <v>117</v>
      </c>
    </row>
    <row r="200" spans="1:14" x14ac:dyDescent="0.3">
      <c r="A200">
        <v>818</v>
      </c>
      <c r="B200" s="1">
        <v>40580</v>
      </c>
      <c r="C200">
        <v>2</v>
      </c>
      <c r="D200">
        <v>12</v>
      </c>
      <c r="E200" t="b">
        <v>0</v>
      </c>
      <c r="F200">
        <v>0</v>
      </c>
      <c r="G200">
        <v>1</v>
      </c>
      <c r="H200">
        <v>0.34</v>
      </c>
      <c r="I200">
        <v>0.33329999999999999</v>
      </c>
      <c r="J200">
        <v>0.46</v>
      </c>
      <c r="K200">
        <v>0</v>
      </c>
      <c r="L200">
        <v>48</v>
      </c>
      <c r="M200">
        <v>126</v>
      </c>
      <c r="N200">
        <v>174</v>
      </c>
    </row>
    <row r="201" spans="1:14" x14ac:dyDescent="0.3">
      <c r="A201">
        <v>819</v>
      </c>
      <c r="B201" s="1">
        <v>40580</v>
      </c>
      <c r="C201">
        <v>2</v>
      </c>
      <c r="D201">
        <v>13</v>
      </c>
      <c r="E201" t="b">
        <v>0</v>
      </c>
      <c r="F201">
        <v>0</v>
      </c>
      <c r="G201">
        <v>1</v>
      </c>
      <c r="H201">
        <v>0.34</v>
      </c>
      <c r="I201">
        <v>0.36359999999999998</v>
      </c>
      <c r="J201">
        <v>0.46</v>
      </c>
      <c r="K201">
        <v>0</v>
      </c>
      <c r="L201">
        <v>47</v>
      </c>
      <c r="M201">
        <v>135</v>
      </c>
      <c r="N201">
        <v>182</v>
      </c>
    </row>
    <row r="202" spans="1:14" x14ac:dyDescent="0.3">
      <c r="A202">
        <v>820</v>
      </c>
      <c r="B202" s="1">
        <v>40580</v>
      </c>
      <c r="C202">
        <v>2</v>
      </c>
      <c r="D202">
        <v>14</v>
      </c>
      <c r="E202" t="b">
        <v>0</v>
      </c>
      <c r="F202">
        <v>0</v>
      </c>
      <c r="G202">
        <v>1</v>
      </c>
      <c r="H202">
        <v>0.34</v>
      </c>
      <c r="I202">
        <v>0.34849999999999998</v>
      </c>
      <c r="J202">
        <v>0.46</v>
      </c>
      <c r="K202">
        <v>8.9599999999999999E-2</v>
      </c>
      <c r="L202">
        <v>47</v>
      </c>
      <c r="M202">
        <v>114</v>
      </c>
      <c r="N202">
        <v>161</v>
      </c>
    </row>
    <row r="203" spans="1:14" x14ac:dyDescent="0.3">
      <c r="A203">
        <v>821</v>
      </c>
      <c r="B203" s="1">
        <v>40580</v>
      </c>
      <c r="C203">
        <v>2</v>
      </c>
      <c r="D203">
        <v>15</v>
      </c>
      <c r="E203" t="b">
        <v>0</v>
      </c>
      <c r="F203">
        <v>0</v>
      </c>
      <c r="G203">
        <v>1</v>
      </c>
      <c r="H203">
        <v>0.34</v>
      </c>
      <c r="I203">
        <v>0.34849999999999998</v>
      </c>
      <c r="J203">
        <v>0.46</v>
      </c>
      <c r="K203">
        <v>8.9599999999999999E-2</v>
      </c>
      <c r="L203">
        <v>52</v>
      </c>
      <c r="M203">
        <v>130</v>
      </c>
      <c r="N203">
        <v>182</v>
      </c>
    </row>
    <row r="204" spans="1:14" x14ac:dyDescent="0.3">
      <c r="A204">
        <v>822</v>
      </c>
      <c r="B204" s="1">
        <v>40580</v>
      </c>
      <c r="C204">
        <v>2</v>
      </c>
      <c r="D204">
        <v>16</v>
      </c>
      <c r="E204" t="b">
        <v>0</v>
      </c>
      <c r="F204">
        <v>0</v>
      </c>
      <c r="G204">
        <v>1</v>
      </c>
      <c r="H204">
        <v>0.34</v>
      </c>
      <c r="I204">
        <v>0.34849999999999998</v>
      </c>
      <c r="J204">
        <v>0.49</v>
      </c>
      <c r="K204">
        <v>0.1045</v>
      </c>
      <c r="L204">
        <v>42</v>
      </c>
      <c r="M204">
        <v>115</v>
      </c>
      <c r="N204">
        <v>157</v>
      </c>
    </row>
    <row r="205" spans="1:14" x14ac:dyDescent="0.3">
      <c r="A205">
        <v>823</v>
      </c>
      <c r="B205" s="1">
        <v>40580</v>
      </c>
      <c r="C205">
        <v>2</v>
      </c>
      <c r="D205">
        <v>17</v>
      </c>
      <c r="E205" t="b">
        <v>0</v>
      </c>
      <c r="F205">
        <v>0</v>
      </c>
      <c r="G205">
        <v>1</v>
      </c>
      <c r="H205">
        <v>0.34</v>
      </c>
      <c r="I205">
        <v>0.36359999999999998</v>
      </c>
      <c r="J205">
        <v>0.46</v>
      </c>
      <c r="K205">
        <v>0</v>
      </c>
      <c r="L205">
        <v>24</v>
      </c>
      <c r="M205">
        <v>97</v>
      </c>
      <c r="N205">
        <v>121</v>
      </c>
    </row>
    <row r="206" spans="1:14" x14ac:dyDescent="0.3">
      <c r="A206">
        <v>824</v>
      </c>
      <c r="B206" s="1">
        <v>40580</v>
      </c>
      <c r="C206">
        <v>2</v>
      </c>
      <c r="D206">
        <v>18</v>
      </c>
      <c r="E206" t="b">
        <v>0</v>
      </c>
      <c r="F206">
        <v>0</v>
      </c>
      <c r="G206">
        <v>1</v>
      </c>
      <c r="H206">
        <v>0.3</v>
      </c>
      <c r="I206">
        <v>0.30299999999999999</v>
      </c>
      <c r="J206">
        <v>0.56000000000000005</v>
      </c>
      <c r="K206">
        <v>0.16420000000000001</v>
      </c>
      <c r="L206">
        <v>13</v>
      </c>
      <c r="M206">
        <v>65</v>
      </c>
      <c r="N206">
        <v>78</v>
      </c>
    </row>
    <row r="207" spans="1:14" x14ac:dyDescent="0.3">
      <c r="A207">
        <v>825</v>
      </c>
      <c r="B207" s="1">
        <v>40580</v>
      </c>
      <c r="C207">
        <v>2</v>
      </c>
      <c r="D207">
        <v>19</v>
      </c>
      <c r="E207" t="b">
        <v>0</v>
      </c>
      <c r="F207">
        <v>0</v>
      </c>
      <c r="G207">
        <v>1</v>
      </c>
      <c r="H207">
        <v>0.28000000000000003</v>
      </c>
      <c r="I207">
        <v>0.28789999999999999</v>
      </c>
      <c r="J207">
        <v>0.61</v>
      </c>
      <c r="K207">
        <v>0.1343</v>
      </c>
      <c r="L207">
        <v>1</v>
      </c>
      <c r="M207">
        <v>20</v>
      </c>
      <c r="N207">
        <v>21</v>
      </c>
    </row>
    <row r="208" spans="1:14" x14ac:dyDescent="0.3">
      <c r="A208">
        <v>826</v>
      </c>
      <c r="B208" s="1">
        <v>40580</v>
      </c>
      <c r="C208">
        <v>2</v>
      </c>
      <c r="D208">
        <v>20</v>
      </c>
      <c r="E208" t="b">
        <v>0</v>
      </c>
      <c r="F208">
        <v>0</v>
      </c>
      <c r="G208">
        <v>1</v>
      </c>
      <c r="H208">
        <v>0.28000000000000003</v>
      </c>
      <c r="I208">
        <v>0.28789999999999999</v>
      </c>
      <c r="J208">
        <v>0.61</v>
      </c>
      <c r="K208">
        <v>0.1045</v>
      </c>
      <c r="L208">
        <v>5</v>
      </c>
      <c r="M208">
        <v>21</v>
      </c>
      <c r="N208">
        <v>26</v>
      </c>
    </row>
    <row r="209" spans="1:14" x14ac:dyDescent="0.3">
      <c r="A209">
        <v>827</v>
      </c>
      <c r="B209" s="1">
        <v>40580</v>
      </c>
      <c r="C209">
        <v>2</v>
      </c>
      <c r="D209">
        <v>21</v>
      </c>
      <c r="E209" t="b">
        <v>0</v>
      </c>
      <c r="F209">
        <v>0</v>
      </c>
      <c r="G209">
        <v>1</v>
      </c>
      <c r="H209">
        <v>0.26</v>
      </c>
      <c r="I209">
        <v>0.30299999999999999</v>
      </c>
      <c r="J209">
        <v>0.6</v>
      </c>
      <c r="K209">
        <v>0</v>
      </c>
      <c r="L209">
        <v>5</v>
      </c>
      <c r="M209">
        <v>22</v>
      </c>
      <c r="N209">
        <v>27</v>
      </c>
    </row>
    <row r="210" spans="1:14" x14ac:dyDescent="0.3">
      <c r="A210">
        <v>828</v>
      </c>
      <c r="B210" s="1">
        <v>40580</v>
      </c>
      <c r="C210">
        <v>2</v>
      </c>
      <c r="D210">
        <v>22</v>
      </c>
      <c r="E210" t="b">
        <v>0</v>
      </c>
      <c r="F210">
        <v>0</v>
      </c>
      <c r="G210">
        <v>1</v>
      </c>
      <c r="H210">
        <v>0.26</v>
      </c>
      <c r="I210">
        <v>0.30299999999999999</v>
      </c>
      <c r="J210">
        <v>0.6</v>
      </c>
      <c r="K210">
        <v>0</v>
      </c>
      <c r="L210">
        <v>5</v>
      </c>
      <c r="M210">
        <v>57</v>
      </c>
      <c r="N210">
        <v>62</v>
      </c>
    </row>
    <row r="211" spans="1:14" x14ac:dyDescent="0.3">
      <c r="A211">
        <v>829</v>
      </c>
      <c r="B211" s="1">
        <v>40580</v>
      </c>
      <c r="C211">
        <v>2</v>
      </c>
      <c r="D211">
        <v>23</v>
      </c>
      <c r="E211" t="b">
        <v>0</v>
      </c>
      <c r="F211">
        <v>0</v>
      </c>
      <c r="G211">
        <v>1</v>
      </c>
      <c r="H211">
        <v>0.24</v>
      </c>
      <c r="I211">
        <v>0.28789999999999999</v>
      </c>
      <c r="J211">
        <v>0.65</v>
      </c>
      <c r="K211">
        <v>0</v>
      </c>
      <c r="L211">
        <v>4</v>
      </c>
      <c r="M211">
        <v>26</v>
      </c>
      <c r="N211">
        <v>30</v>
      </c>
    </row>
    <row r="212" spans="1:14" x14ac:dyDescent="0.3">
      <c r="A212">
        <v>830</v>
      </c>
      <c r="B212" s="1">
        <v>40581</v>
      </c>
      <c r="C212">
        <v>2</v>
      </c>
      <c r="D212">
        <v>0</v>
      </c>
      <c r="E212" t="b">
        <v>0</v>
      </c>
      <c r="F212">
        <v>1</v>
      </c>
      <c r="G212">
        <v>1</v>
      </c>
      <c r="H212">
        <v>0.24</v>
      </c>
      <c r="I212">
        <v>0.28789999999999999</v>
      </c>
      <c r="J212">
        <v>0.65</v>
      </c>
      <c r="K212">
        <v>0</v>
      </c>
      <c r="L212">
        <v>1</v>
      </c>
      <c r="M212">
        <v>14</v>
      </c>
      <c r="N212">
        <v>15</v>
      </c>
    </row>
    <row r="213" spans="1:14" x14ac:dyDescent="0.3">
      <c r="A213">
        <v>831</v>
      </c>
      <c r="B213" s="1">
        <v>40581</v>
      </c>
      <c r="C213">
        <v>2</v>
      </c>
      <c r="D213">
        <v>1</v>
      </c>
      <c r="E213" t="b">
        <v>0</v>
      </c>
      <c r="F213">
        <v>1</v>
      </c>
      <c r="G213">
        <v>1</v>
      </c>
      <c r="H213">
        <v>0.22</v>
      </c>
      <c r="I213">
        <v>0.2727</v>
      </c>
      <c r="J213">
        <v>0.75</v>
      </c>
      <c r="K213">
        <v>0</v>
      </c>
      <c r="L213">
        <v>1</v>
      </c>
      <c r="M213">
        <v>4</v>
      </c>
      <c r="N213">
        <v>5</v>
      </c>
    </row>
    <row r="214" spans="1:14" x14ac:dyDescent="0.3">
      <c r="A214">
        <v>832</v>
      </c>
      <c r="B214" s="1">
        <v>40581</v>
      </c>
      <c r="C214">
        <v>2</v>
      </c>
      <c r="D214">
        <v>2</v>
      </c>
      <c r="E214" t="b">
        <v>0</v>
      </c>
      <c r="F214">
        <v>1</v>
      </c>
      <c r="G214">
        <v>1</v>
      </c>
      <c r="H214">
        <v>0.2</v>
      </c>
      <c r="I214">
        <v>0.2576</v>
      </c>
      <c r="J214">
        <v>0.8</v>
      </c>
      <c r="K214">
        <v>0</v>
      </c>
      <c r="L214">
        <v>0</v>
      </c>
      <c r="M214">
        <v>3</v>
      </c>
      <c r="N214">
        <v>3</v>
      </c>
    </row>
    <row r="215" spans="1:14" x14ac:dyDescent="0.3">
      <c r="A215">
        <v>833</v>
      </c>
      <c r="B215" s="1">
        <v>40581</v>
      </c>
      <c r="C215">
        <v>2</v>
      </c>
      <c r="D215">
        <v>3</v>
      </c>
      <c r="E215" t="b">
        <v>0</v>
      </c>
      <c r="F215">
        <v>1</v>
      </c>
      <c r="G215">
        <v>1</v>
      </c>
      <c r="H215">
        <v>0.2</v>
      </c>
      <c r="I215">
        <v>0.2576</v>
      </c>
      <c r="J215">
        <v>0.86</v>
      </c>
      <c r="K215">
        <v>0</v>
      </c>
      <c r="L215">
        <v>0</v>
      </c>
      <c r="M215">
        <v>1</v>
      </c>
      <c r="N215">
        <v>1</v>
      </c>
    </row>
    <row r="216" spans="1:14" x14ac:dyDescent="0.3">
      <c r="A216">
        <v>834</v>
      </c>
      <c r="B216" s="1">
        <v>40581</v>
      </c>
      <c r="C216">
        <v>2</v>
      </c>
      <c r="D216">
        <v>4</v>
      </c>
      <c r="E216" t="b">
        <v>0</v>
      </c>
      <c r="F216">
        <v>1</v>
      </c>
      <c r="G216">
        <v>1</v>
      </c>
      <c r="H216">
        <v>0.2</v>
      </c>
      <c r="I216">
        <v>0.2576</v>
      </c>
      <c r="J216">
        <v>0.86</v>
      </c>
      <c r="K216">
        <v>0</v>
      </c>
      <c r="L216">
        <v>1</v>
      </c>
      <c r="M216">
        <v>1</v>
      </c>
      <c r="N216">
        <v>2</v>
      </c>
    </row>
    <row r="217" spans="1:14" x14ac:dyDescent="0.3">
      <c r="A217">
        <v>835</v>
      </c>
      <c r="B217" s="1">
        <v>40581</v>
      </c>
      <c r="C217">
        <v>2</v>
      </c>
      <c r="D217">
        <v>5</v>
      </c>
      <c r="E217" t="b">
        <v>0</v>
      </c>
      <c r="F217">
        <v>1</v>
      </c>
      <c r="G217">
        <v>1</v>
      </c>
      <c r="H217">
        <v>0.2</v>
      </c>
      <c r="I217">
        <v>0.2576</v>
      </c>
      <c r="J217">
        <v>0.86</v>
      </c>
      <c r="K217">
        <v>0</v>
      </c>
      <c r="L217">
        <v>1</v>
      </c>
      <c r="M217">
        <v>9</v>
      </c>
      <c r="N217">
        <v>10</v>
      </c>
    </row>
    <row r="218" spans="1:14" x14ac:dyDescent="0.3">
      <c r="A218">
        <v>836</v>
      </c>
      <c r="B218" s="1">
        <v>40581</v>
      </c>
      <c r="C218">
        <v>2</v>
      </c>
      <c r="D218">
        <v>6</v>
      </c>
      <c r="E218" t="b">
        <v>0</v>
      </c>
      <c r="F218">
        <v>1</v>
      </c>
      <c r="G218">
        <v>1</v>
      </c>
      <c r="H218">
        <v>0.18</v>
      </c>
      <c r="I218">
        <v>0.2424</v>
      </c>
      <c r="J218">
        <v>0.93</v>
      </c>
      <c r="K218">
        <v>0</v>
      </c>
      <c r="L218">
        <v>1</v>
      </c>
      <c r="M218">
        <v>29</v>
      </c>
      <c r="N218">
        <v>30</v>
      </c>
    </row>
    <row r="219" spans="1:14" x14ac:dyDescent="0.3">
      <c r="A219">
        <v>837</v>
      </c>
      <c r="B219" s="1">
        <v>40581</v>
      </c>
      <c r="C219">
        <v>2</v>
      </c>
      <c r="D219">
        <v>7</v>
      </c>
      <c r="E219" t="b">
        <v>0</v>
      </c>
      <c r="F219">
        <v>1</v>
      </c>
      <c r="G219">
        <v>1</v>
      </c>
      <c r="H219">
        <v>0.18</v>
      </c>
      <c r="I219">
        <v>0.2424</v>
      </c>
      <c r="J219">
        <v>0.86</v>
      </c>
      <c r="K219">
        <v>0</v>
      </c>
      <c r="L219">
        <v>6</v>
      </c>
      <c r="M219">
        <v>89</v>
      </c>
      <c r="N219">
        <v>95</v>
      </c>
    </row>
    <row r="220" spans="1:14" x14ac:dyDescent="0.3">
      <c r="A220">
        <v>838</v>
      </c>
      <c r="B220" s="1">
        <v>40581</v>
      </c>
      <c r="C220">
        <v>2</v>
      </c>
      <c r="D220">
        <v>8</v>
      </c>
      <c r="E220" t="b">
        <v>0</v>
      </c>
      <c r="F220">
        <v>1</v>
      </c>
      <c r="G220">
        <v>2</v>
      </c>
      <c r="H220">
        <v>0.16</v>
      </c>
      <c r="I220">
        <v>0.2273</v>
      </c>
      <c r="J220">
        <v>1</v>
      </c>
      <c r="K220">
        <v>0</v>
      </c>
      <c r="L220">
        <v>7</v>
      </c>
      <c r="M220">
        <v>223</v>
      </c>
      <c r="N220">
        <v>230</v>
      </c>
    </row>
    <row r="221" spans="1:14" x14ac:dyDescent="0.3">
      <c r="A221">
        <v>839</v>
      </c>
      <c r="B221" s="1">
        <v>40581</v>
      </c>
      <c r="C221">
        <v>2</v>
      </c>
      <c r="D221">
        <v>9</v>
      </c>
      <c r="E221" t="b">
        <v>0</v>
      </c>
      <c r="F221">
        <v>1</v>
      </c>
      <c r="G221">
        <v>1</v>
      </c>
      <c r="H221">
        <v>0.22</v>
      </c>
      <c r="I221">
        <v>0.2727</v>
      </c>
      <c r="J221">
        <v>0.8</v>
      </c>
      <c r="K221">
        <v>0</v>
      </c>
      <c r="L221">
        <v>3</v>
      </c>
      <c r="M221">
        <v>115</v>
      </c>
      <c r="N221">
        <v>118</v>
      </c>
    </row>
    <row r="222" spans="1:14" x14ac:dyDescent="0.3">
      <c r="A222">
        <v>840</v>
      </c>
      <c r="B222" s="1">
        <v>40581</v>
      </c>
      <c r="C222">
        <v>2</v>
      </c>
      <c r="D222">
        <v>10</v>
      </c>
      <c r="E222" t="b">
        <v>0</v>
      </c>
      <c r="F222">
        <v>1</v>
      </c>
      <c r="G222">
        <v>1</v>
      </c>
      <c r="H222">
        <v>0.24</v>
      </c>
      <c r="I222">
        <v>0.2576</v>
      </c>
      <c r="J222">
        <v>0.75</v>
      </c>
      <c r="K222">
        <v>0.1045</v>
      </c>
      <c r="L222">
        <v>6</v>
      </c>
      <c r="M222">
        <v>49</v>
      </c>
      <c r="N222">
        <v>55</v>
      </c>
    </row>
    <row r="223" spans="1:14" x14ac:dyDescent="0.3">
      <c r="A223">
        <v>841</v>
      </c>
      <c r="B223" s="1">
        <v>40581</v>
      </c>
      <c r="C223">
        <v>2</v>
      </c>
      <c r="D223">
        <v>11</v>
      </c>
      <c r="E223" t="b">
        <v>0</v>
      </c>
      <c r="F223">
        <v>1</v>
      </c>
      <c r="G223">
        <v>1</v>
      </c>
      <c r="H223">
        <v>0.3</v>
      </c>
      <c r="I223">
        <v>0.31819999999999998</v>
      </c>
      <c r="J223">
        <v>0.65</v>
      </c>
      <c r="K223">
        <v>8.9599999999999999E-2</v>
      </c>
      <c r="L223">
        <v>11</v>
      </c>
      <c r="M223">
        <v>36</v>
      </c>
      <c r="N223">
        <v>47</v>
      </c>
    </row>
    <row r="224" spans="1:14" x14ac:dyDescent="0.3">
      <c r="A224">
        <v>842</v>
      </c>
      <c r="B224" s="1">
        <v>40581</v>
      </c>
      <c r="C224">
        <v>2</v>
      </c>
      <c r="D224">
        <v>12</v>
      </c>
      <c r="E224" t="b">
        <v>0</v>
      </c>
      <c r="F224">
        <v>1</v>
      </c>
      <c r="G224">
        <v>2</v>
      </c>
      <c r="H224">
        <v>0.32</v>
      </c>
      <c r="I224">
        <v>0.34849999999999998</v>
      </c>
      <c r="J224">
        <v>0.62</v>
      </c>
      <c r="K224">
        <v>0</v>
      </c>
      <c r="L224">
        <v>7</v>
      </c>
      <c r="M224">
        <v>59</v>
      </c>
      <c r="N224">
        <v>66</v>
      </c>
    </row>
    <row r="225" spans="1:14" x14ac:dyDescent="0.3">
      <c r="A225">
        <v>843</v>
      </c>
      <c r="B225" s="1">
        <v>40581</v>
      </c>
      <c r="C225">
        <v>2</v>
      </c>
      <c r="D225">
        <v>13</v>
      </c>
      <c r="E225" t="b">
        <v>0</v>
      </c>
      <c r="F225">
        <v>1</v>
      </c>
      <c r="G225">
        <v>2</v>
      </c>
      <c r="H225">
        <v>0.36</v>
      </c>
      <c r="I225">
        <v>0.36359999999999998</v>
      </c>
      <c r="J225">
        <v>0.56999999999999995</v>
      </c>
      <c r="K225">
        <v>8.9599999999999999E-2</v>
      </c>
      <c r="L225">
        <v>10</v>
      </c>
      <c r="M225">
        <v>54</v>
      </c>
      <c r="N225">
        <v>64</v>
      </c>
    </row>
    <row r="226" spans="1:14" x14ac:dyDescent="0.3">
      <c r="A226">
        <v>844</v>
      </c>
      <c r="B226" s="1">
        <v>40581</v>
      </c>
      <c r="C226">
        <v>2</v>
      </c>
      <c r="D226">
        <v>14</v>
      </c>
      <c r="E226" t="b">
        <v>0</v>
      </c>
      <c r="F226">
        <v>1</v>
      </c>
      <c r="G226">
        <v>2</v>
      </c>
      <c r="H226">
        <v>0.36</v>
      </c>
      <c r="I226">
        <v>0.36359999999999998</v>
      </c>
      <c r="J226">
        <v>0.56999999999999995</v>
      </c>
      <c r="K226">
        <v>8.9599999999999999E-2</v>
      </c>
      <c r="L226">
        <v>8</v>
      </c>
      <c r="M226">
        <v>52</v>
      </c>
      <c r="N226">
        <v>60</v>
      </c>
    </row>
    <row r="227" spans="1:14" x14ac:dyDescent="0.3">
      <c r="A227">
        <v>845</v>
      </c>
      <c r="B227" s="1">
        <v>40581</v>
      </c>
      <c r="C227">
        <v>2</v>
      </c>
      <c r="D227">
        <v>15</v>
      </c>
      <c r="E227" t="b">
        <v>0</v>
      </c>
      <c r="F227">
        <v>1</v>
      </c>
      <c r="G227">
        <v>2</v>
      </c>
      <c r="H227">
        <v>0.38</v>
      </c>
      <c r="I227">
        <v>0.39389999999999997</v>
      </c>
      <c r="J227">
        <v>0.54</v>
      </c>
      <c r="K227">
        <v>8.9599999999999999E-2</v>
      </c>
      <c r="L227">
        <v>4</v>
      </c>
      <c r="M227">
        <v>46</v>
      </c>
      <c r="N227">
        <v>50</v>
      </c>
    </row>
    <row r="228" spans="1:14" x14ac:dyDescent="0.3">
      <c r="A228">
        <v>846</v>
      </c>
      <c r="B228" s="1">
        <v>40581</v>
      </c>
      <c r="C228">
        <v>2</v>
      </c>
      <c r="D228">
        <v>16</v>
      </c>
      <c r="E228" t="b">
        <v>0</v>
      </c>
      <c r="F228">
        <v>1</v>
      </c>
      <c r="G228">
        <v>2</v>
      </c>
      <c r="H228">
        <v>0.36</v>
      </c>
      <c r="I228">
        <v>0.34849999999999998</v>
      </c>
      <c r="J228">
        <v>0.56999999999999995</v>
      </c>
      <c r="K228">
        <v>0.1343</v>
      </c>
      <c r="L228">
        <v>16</v>
      </c>
      <c r="M228">
        <v>98</v>
      </c>
      <c r="N228">
        <v>114</v>
      </c>
    </row>
    <row r="229" spans="1:14" x14ac:dyDescent="0.3">
      <c r="A229">
        <v>847</v>
      </c>
      <c r="B229" s="1">
        <v>40581</v>
      </c>
      <c r="C229">
        <v>2</v>
      </c>
      <c r="D229">
        <v>17</v>
      </c>
      <c r="E229" t="b">
        <v>0</v>
      </c>
      <c r="F229">
        <v>1</v>
      </c>
      <c r="G229">
        <v>2</v>
      </c>
      <c r="H229">
        <v>0.32</v>
      </c>
      <c r="I229">
        <v>0.31819999999999998</v>
      </c>
      <c r="J229">
        <v>0.7</v>
      </c>
      <c r="K229">
        <v>0.16420000000000001</v>
      </c>
      <c r="L229">
        <v>9</v>
      </c>
      <c r="M229">
        <v>207</v>
      </c>
      <c r="N229">
        <v>216</v>
      </c>
    </row>
    <row r="230" spans="1:14" x14ac:dyDescent="0.3">
      <c r="A230">
        <v>848</v>
      </c>
      <c r="B230" s="1">
        <v>40581</v>
      </c>
      <c r="C230">
        <v>2</v>
      </c>
      <c r="D230">
        <v>18</v>
      </c>
      <c r="E230" t="b">
        <v>0</v>
      </c>
      <c r="F230">
        <v>1</v>
      </c>
      <c r="G230">
        <v>2</v>
      </c>
      <c r="H230">
        <v>0.34</v>
      </c>
      <c r="I230">
        <v>0.33329999999999999</v>
      </c>
      <c r="J230">
        <v>0.66</v>
      </c>
      <c r="K230">
        <v>0.1343</v>
      </c>
      <c r="L230">
        <v>5</v>
      </c>
      <c r="M230">
        <v>170</v>
      </c>
      <c r="N230">
        <v>175</v>
      </c>
    </row>
    <row r="231" spans="1:14" x14ac:dyDescent="0.3">
      <c r="A231">
        <v>849</v>
      </c>
      <c r="B231" s="1">
        <v>40581</v>
      </c>
      <c r="C231">
        <v>2</v>
      </c>
      <c r="D231">
        <v>19</v>
      </c>
      <c r="E231" t="b">
        <v>0</v>
      </c>
      <c r="F231">
        <v>1</v>
      </c>
      <c r="G231">
        <v>2</v>
      </c>
      <c r="H231">
        <v>0.32</v>
      </c>
      <c r="I231">
        <v>0.34849999999999998</v>
      </c>
      <c r="J231">
        <v>0.7</v>
      </c>
      <c r="K231">
        <v>0</v>
      </c>
      <c r="L231">
        <v>5</v>
      </c>
      <c r="M231">
        <v>123</v>
      </c>
      <c r="N231">
        <v>128</v>
      </c>
    </row>
    <row r="232" spans="1:14" x14ac:dyDescent="0.3">
      <c r="A232">
        <v>850</v>
      </c>
      <c r="B232" s="1">
        <v>40581</v>
      </c>
      <c r="C232">
        <v>2</v>
      </c>
      <c r="D232">
        <v>20</v>
      </c>
      <c r="E232" t="b">
        <v>0</v>
      </c>
      <c r="F232">
        <v>1</v>
      </c>
      <c r="G232">
        <v>2</v>
      </c>
      <c r="H232">
        <v>0.32</v>
      </c>
      <c r="I232">
        <v>0.33329999999999999</v>
      </c>
      <c r="J232">
        <v>0.7</v>
      </c>
      <c r="K232">
        <v>0.1045</v>
      </c>
      <c r="L232">
        <v>6</v>
      </c>
      <c r="M232">
        <v>82</v>
      </c>
      <c r="N232">
        <v>88</v>
      </c>
    </row>
    <row r="233" spans="1:14" x14ac:dyDescent="0.3">
      <c r="A233">
        <v>851</v>
      </c>
      <c r="B233" s="1">
        <v>40581</v>
      </c>
      <c r="C233">
        <v>2</v>
      </c>
      <c r="D233">
        <v>21</v>
      </c>
      <c r="E233" t="b">
        <v>0</v>
      </c>
      <c r="F233">
        <v>1</v>
      </c>
      <c r="G233">
        <v>1</v>
      </c>
      <c r="H233">
        <v>0.32</v>
      </c>
      <c r="I233">
        <v>0.34849999999999998</v>
      </c>
      <c r="J233">
        <v>0.7</v>
      </c>
      <c r="K233">
        <v>0</v>
      </c>
      <c r="L233">
        <v>3</v>
      </c>
      <c r="M233">
        <v>75</v>
      </c>
      <c r="N233">
        <v>78</v>
      </c>
    </row>
    <row r="234" spans="1:14" x14ac:dyDescent="0.3">
      <c r="A234">
        <v>852</v>
      </c>
      <c r="B234" s="1">
        <v>40581</v>
      </c>
      <c r="C234">
        <v>2</v>
      </c>
      <c r="D234">
        <v>22</v>
      </c>
      <c r="E234" t="b">
        <v>0</v>
      </c>
      <c r="F234">
        <v>1</v>
      </c>
      <c r="G234">
        <v>1</v>
      </c>
      <c r="H234">
        <v>0.28000000000000003</v>
      </c>
      <c r="I234">
        <v>0.30299999999999999</v>
      </c>
      <c r="J234">
        <v>0.81</v>
      </c>
      <c r="K234">
        <v>8.9599999999999999E-2</v>
      </c>
      <c r="L234">
        <v>3</v>
      </c>
      <c r="M234">
        <v>34</v>
      </c>
      <c r="N234">
        <v>37</v>
      </c>
    </row>
    <row r="235" spans="1:14" x14ac:dyDescent="0.3">
      <c r="A235">
        <v>853</v>
      </c>
      <c r="B235" s="1">
        <v>40581</v>
      </c>
      <c r="C235">
        <v>2</v>
      </c>
      <c r="D235">
        <v>23</v>
      </c>
      <c r="E235" t="b">
        <v>0</v>
      </c>
      <c r="F235">
        <v>1</v>
      </c>
      <c r="G235">
        <v>2</v>
      </c>
      <c r="H235">
        <v>0.3</v>
      </c>
      <c r="I235">
        <v>0.33329999999999999</v>
      </c>
      <c r="J235">
        <v>0.81</v>
      </c>
      <c r="K235">
        <v>0</v>
      </c>
      <c r="L235">
        <v>6</v>
      </c>
      <c r="M235">
        <v>19</v>
      </c>
      <c r="N235">
        <v>25</v>
      </c>
    </row>
    <row r="236" spans="1:14" x14ac:dyDescent="0.3">
      <c r="A236">
        <v>854</v>
      </c>
      <c r="B236" s="1">
        <v>40582</v>
      </c>
      <c r="C236">
        <v>2</v>
      </c>
      <c r="D236">
        <v>0</v>
      </c>
      <c r="E236" t="b">
        <v>0</v>
      </c>
      <c r="F236">
        <v>2</v>
      </c>
      <c r="G236">
        <v>2</v>
      </c>
      <c r="H236">
        <v>0.28000000000000003</v>
      </c>
      <c r="I236">
        <v>0.31819999999999998</v>
      </c>
      <c r="J236">
        <v>0.87</v>
      </c>
      <c r="K236">
        <v>0</v>
      </c>
      <c r="L236">
        <v>4</v>
      </c>
      <c r="M236">
        <v>6</v>
      </c>
      <c r="N236">
        <v>10</v>
      </c>
    </row>
    <row r="237" spans="1:14" x14ac:dyDescent="0.3">
      <c r="A237">
        <v>855</v>
      </c>
      <c r="B237" s="1">
        <v>40582</v>
      </c>
      <c r="C237">
        <v>2</v>
      </c>
      <c r="D237">
        <v>1</v>
      </c>
      <c r="E237" t="b">
        <v>0</v>
      </c>
      <c r="F237">
        <v>2</v>
      </c>
      <c r="G237">
        <v>2</v>
      </c>
      <c r="H237">
        <v>0.28000000000000003</v>
      </c>
      <c r="I237">
        <v>0.31819999999999998</v>
      </c>
      <c r="J237">
        <v>0.87</v>
      </c>
      <c r="K237">
        <v>0</v>
      </c>
      <c r="L237">
        <v>0</v>
      </c>
      <c r="M237">
        <v>4</v>
      </c>
      <c r="N237">
        <v>4</v>
      </c>
    </row>
    <row r="238" spans="1:14" x14ac:dyDescent="0.3">
      <c r="A238">
        <v>856</v>
      </c>
      <c r="B238" s="1">
        <v>40582</v>
      </c>
      <c r="C238">
        <v>2</v>
      </c>
      <c r="D238">
        <v>2</v>
      </c>
      <c r="E238" t="b">
        <v>0</v>
      </c>
      <c r="F238">
        <v>2</v>
      </c>
      <c r="G238">
        <v>2</v>
      </c>
      <c r="H238">
        <v>0.26</v>
      </c>
      <c r="I238">
        <v>0.2727</v>
      </c>
      <c r="J238">
        <v>0.93</v>
      </c>
      <c r="K238">
        <v>0.1045</v>
      </c>
      <c r="L238">
        <v>1</v>
      </c>
      <c r="M238">
        <v>1</v>
      </c>
      <c r="N238">
        <v>2</v>
      </c>
    </row>
    <row r="239" spans="1:14" x14ac:dyDescent="0.3">
      <c r="A239">
        <v>857</v>
      </c>
      <c r="B239" s="1">
        <v>40582</v>
      </c>
      <c r="C239">
        <v>2</v>
      </c>
      <c r="D239">
        <v>3</v>
      </c>
      <c r="E239" t="b">
        <v>0</v>
      </c>
      <c r="F239">
        <v>2</v>
      </c>
      <c r="G239">
        <v>3</v>
      </c>
      <c r="H239">
        <v>0.28000000000000003</v>
      </c>
      <c r="I239">
        <v>0.2727</v>
      </c>
      <c r="J239">
        <v>0.93</v>
      </c>
      <c r="K239">
        <v>0.16420000000000001</v>
      </c>
      <c r="L239">
        <v>0</v>
      </c>
      <c r="M239">
        <v>1</v>
      </c>
      <c r="N239">
        <v>1</v>
      </c>
    </row>
    <row r="240" spans="1:14" x14ac:dyDescent="0.3">
      <c r="A240">
        <v>858</v>
      </c>
      <c r="B240" s="1">
        <v>40582</v>
      </c>
      <c r="C240">
        <v>2</v>
      </c>
      <c r="D240">
        <v>4</v>
      </c>
      <c r="E240" t="b">
        <v>0</v>
      </c>
      <c r="F240">
        <v>2</v>
      </c>
      <c r="G240">
        <v>1</v>
      </c>
      <c r="H240">
        <v>0.26</v>
      </c>
      <c r="I240">
        <v>0.2576</v>
      </c>
      <c r="J240">
        <v>0.93</v>
      </c>
      <c r="K240">
        <v>0.16420000000000001</v>
      </c>
      <c r="L240">
        <v>0</v>
      </c>
      <c r="M240">
        <v>3</v>
      </c>
      <c r="N240">
        <v>3</v>
      </c>
    </row>
    <row r="241" spans="1:14" x14ac:dyDescent="0.3">
      <c r="A241">
        <v>859</v>
      </c>
      <c r="B241" s="1">
        <v>40582</v>
      </c>
      <c r="C241">
        <v>2</v>
      </c>
      <c r="D241">
        <v>5</v>
      </c>
      <c r="E241" t="b">
        <v>0</v>
      </c>
      <c r="F241">
        <v>2</v>
      </c>
      <c r="G241">
        <v>1</v>
      </c>
      <c r="H241">
        <v>0.26</v>
      </c>
      <c r="I241">
        <v>0.2273</v>
      </c>
      <c r="J241">
        <v>0.81</v>
      </c>
      <c r="K241">
        <v>0.32840000000000003</v>
      </c>
      <c r="L241">
        <v>0</v>
      </c>
      <c r="M241">
        <v>2</v>
      </c>
      <c r="N241">
        <v>2</v>
      </c>
    </row>
    <row r="242" spans="1:14" x14ac:dyDescent="0.3">
      <c r="A242">
        <v>860</v>
      </c>
      <c r="B242" s="1">
        <v>40582</v>
      </c>
      <c r="C242">
        <v>2</v>
      </c>
      <c r="D242">
        <v>6</v>
      </c>
      <c r="E242" t="b">
        <v>0</v>
      </c>
      <c r="F242">
        <v>2</v>
      </c>
      <c r="G242">
        <v>1</v>
      </c>
      <c r="H242">
        <v>0.26</v>
      </c>
      <c r="I242">
        <v>0.2273</v>
      </c>
      <c r="J242">
        <v>0.7</v>
      </c>
      <c r="K242">
        <v>0.32840000000000003</v>
      </c>
      <c r="L242">
        <v>0</v>
      </c>
      <c r="M242">
        <v>39</v>
      </c>
      <c r="N242">
        <v>39</v>
      </c>
    </row>
    <row r="243" spans="1:14" x14ac:dyDescent="0.3">
      <c r="A243">
        <v>861</v>
      </c>
      <c r="B243" s="1">
        <v>40582</v>
      </c>
      <c r="C243">
        <v>2</v>
      </c>
      <c r="D243">
        <v>7</v>
      </c>
      <c r="E243" t="b">
        <v>0</v>
      </c>
      <c r="F243">
        <v>2</v>
      </c>
      <c r="G243">
        <v>1</v>
      </c>
      <c r="H243">
        <v>0.24</v>
      </c>
      <c r="I243">
        <v>0.19700000000000001</v>
      </c>
      <c r="J243">
        <v>0.65</v>
      </c>
      <c r="K243">
        <v>0.41789999999999999</v>
      </c>
      <c r="L243">
        <v>3</v>
      </c>
      <c r="M243">
        <v>97</v>
      </c>
      <c r="N243">
        <v>100</v>
      </c>
    </row>
    <row r="244" spans="1:14" x14ac:dyDescent="0.3">
      <c r="A244">
        <v>862</v>
      </c>
      <c r="B244" s="1">
        <v>40582</v>
      </c>
      <c r="C244">
        <v>2</v>
      </c>
      <c r="D244">
        <v>8</v>
      </c>
      <c r="E244" t="b">
        <v>0</v>
      </c>
      <c r="F244">
        <v>2</v>
      </c>
      <c r="G244">
        <v>1</v>
      </c>
      <c r="H244">
        <v>0.24</v>
      </c>
      <c r="I244">
        <v>0.19700000000000001</v>
      </c>
      <c r="J244">
        <v>0.56000000000000005</v>
      </c>
      <c r="K244">
        <v>0.49249999999999999</v>
      </c>
      <c r="L244">
        <v>7</v>
      </c>
      <c r="M244">
        <v>236</v>
      </c>
      <c r="N244">
        <v>243</v>
      </c>
    </row>
    <row r="245" spans="1:14" x14ac:dyDescent="0.3">
      <c r="A245">
        <v>863</v>
      </c>
      <c r="B245" s="1">
        <v>40582</v>
      </c>
      <c r="C245">
        <v>2</v>
      </c>
      <c r="D245">
        <v>9</v>
      </c>
      <c r="E245" t="b">
        <v>0</v>
      </c>
      <c r="F245">
        <v>2</v>
      </c>
      <c r="G245">
        <v>1</v>
      </c>
      <c r="H245">
        <v>0.24</v>
      </c>
      <c r="I245">
        <v>0.19700000000000001</v>
      </c>
      <c r="J245">
        <v>0.52</v>
      </c>
      <c r="K245">
        <v>0.49249999999999999</v>
      </c>
      <c r="L245">
        <v>7</v>
      </c>
      <c r="M245">
        <v>128</v>
      </c>
      <c r="N245">
        <v>135</v>
      </c>
    </row>
    <row r="246" spans="1:14" x14ac:dyDescent="0.3">
      <c r="A246">
        <v>864</v>
      </c>
      <c r="B246" s="1">
        <v>40582</v>
      </c>
      <c r="C246">
        <v>2</v>
      </c>
      <c r="D246">
        <v>10</v>
      </c>
      <c r="E246" t="b">
        <v>0</v>
      </c>
      <c r="F246">
        <v>2</v>
      </c>
      <c r="G246">
        <v>1</v>
      </c>
      <c r="H246">
        <v>0.22</v>
      </c>
      <c r="I246">
        <v>0.18179999999999999</v>
      </c>
      <c r="J246">
        <v>0.47</v>
      </c>
      <c r="K246">
        <v>0.55220000000000002</v>
      </c>
      <c r="L246">
        <v>4</v>
      </c>
      <c r="M246">
        <v>44</v>
      </c>
      <c r="N246">
        <v>48</v>
      </c>
    </row>
    <row r="247" spans="1:14" x14ac:dyDescent="0.3">
      <c r="A247">
        <v>865</v>
      </c>
      <c r="B247" s="1">
        <v>40582</v>
      </c>
      <c r="C247">
        <v>2</v>
      </c>
      <c r="D247">
        <v>11</v>
      </c>
      <c r="E247" t="b">
        <v>0</v>
      </c>
      <c r="F247">
        <v>2</v>
      </c>
      <c r="G247">
        <v>1</v>
      </c>
      <c r="H247">
        <v>0.22</v>
      </c>
      <c r="I247">
        <v>0.18179999999999999</v>
      </c>
      <c r="J247">
        <v>0.47</v>
      </c>
      <c r="K247">
        <v>0.4627</v>
      </c>
      <c r="L247">
        <v>1</v>
      </c>
      <c r="M247">
        <v>49</v>
      </c>
      <c r="N247">
        <v>50</v>
      </c>
    </row>
    <row r="248" spans="1:14" x14ac:dyDescent="0.3">
      <c r="A248">
        <v>866</v>
      </c>
      <c r="B248" s="1">
        <v>40582</v>
      </c>
      <c r="C248">
        <v>2</v>
      </c>
      <c r="D248">
        <v>12</v>
      </c>
      <c r="E248" t="b">
        <v>0</v>
      </c>
      <c r="F248">
        <v>2</v>
      </c>
      <c r="G248">
        <v>1</v>
      </c>
      <c r="H248">
        <v>0.24</v>
      </c>
      <c r="I248">
        <v>0.19700000000000001</v>
      </c>
      <c r="J248">
        <v>0.38</v>
      </c>
      <c r="K248">
        <v>0.49249999999999999</v>
      </c>
      <c r="L248">
        <v>2</v>
      </c>
      <c r="M248">
        <v>63</v>
      </c>
      <c r="N248">
        <v>65</v>
      </c>
    </row>
    <row r="249" spans="1:14" x14ac:dyDescent="0.3">
      <c r="A249">
        <v>867</v>
      </c>
      <c r="B249" s="1">
        <v>40582</v>
      </c>
      <c r="C249">
        <v>2</v>
      </c>
      <c r="D249">
        <v>13</v>
      </c>
      <c r="E249" t="b">
        <v>0</v>
      </c>
      <c r="F249">
        <v>2</v>
      </c>
      <c r="G249">
        <v>2</v>
      </c>
      <c r="H249">
        <v>0.24</v>
      </c>
      <c r="I249">
        <v>0.19700000000000001</v>
      </c>
      <c r="J249">
        <v>0.32</v>
      </c>
      <c r="K249">
        <v>0.44779999999999998</v>
      </c>
      <c r="L249">
        <v>2</v>
      </c>
      <c r="M249">
        <v>48</v>
      </c>
      <c r="N249">
        <v>50</v>
      </c>
    </row>
    <row r="250" spans="1:14" x14ac:dyDescent="0.3">
      <c r="A250">
        <v>868</v>
      </c>
      <c r="B250" s="1">
        <v>40582</v>
      </c>
      <c r="C250">
        <v>2</v>
      </c>
      <c r="D250">
        <v>14</v>
      </c>
      <c r="E250" t="b">
        <v>0</v>
      </c>
      <c r="F250">
        <v>2</v>
      </c>
      <c r="G250">
        <v>1</v>
      </c>
      <c r="H250">
        <v>0.22</v>
      </c>
      <c r="I250">
        <v>0.19700000000000001</v>
      </c>
      <c r="J250">
        <v>0.37</v>
      </c>
      <c r="K250">
        <v>0.41789999999999999</v>
      </c>
      <c r="L250">
        <v>3</v>
      </c>
      <c r="M250">
        <v>61</v>
      </c>
      <c r="N250">
        <v>64</v>
      </c>
    </row>
    <row r="251" spans="1:14" x14ac:dyDescent="0.3">
      <c r="A251">
        <v>869</v>
      </c>
      <c r="B251" s="1">
        <v>40582</v>
      </c>
      <c r="C251">
        <v>2</v>
      </c>
      <c r="D251">
        <v>15</v>
      </c>
      <c r="E251" t="b">
        <v>0</v>
      </c>
      <c r="F251">
        <v>2</v>
      </c>
      <c r="G251">
        <v>1</v>
      </c>
      <c r="H251">
        <v>0.22</v>
      </c>
      <c r="I251">
        <v>0.19700000000000001</v>
      </c>
      <c r="J251">
        <v>0.35</v>
      </c>
      <c r="K251">
        <v>0.3881</v>
      </c>
      <c r="L251">
        <v>6</v>
      </c>
      <c r="M251">
        <v>45</v>
      </c>
      <c r="N251">
        <v>51</v>
      </c>
    </row>
    <row r="252" spans="1:14" x14ac:dyDescent="0.3">
      <c r="A252">
        <v>870</v>
      </c>
      <c r="B252" s="1">
        <v>40582</v>
      </c>
      <c r="C252">
        <v>2</v>
      </c>
      <c r="D252">
        <v>16</v>
      </c>
      <c r="E252" t="b">
        <v>0</v>
      </c>
      <c r="F252">
        <v>2</v>
      </c>
      <c r="G252">
        <v>1</v>
      </c>
      <c r="H252">
        <v>0.22</v>
      </c>
      <c r="I252">
        <v>0.18179999999999999</v>
      </c>
      <c r="J252">
        <v>0.35</v>
      </c>
      <c r="K252">
        <v>0.52239999999999998</v>
      </c>
      <c r="L252">
        <v>4</v>
      </c>
      <c r="M252">
        <v>79</v>
      </c>
      <c r="N252">
        <v>83</v>
      </c>
    </row>
    <row r="253" spans="1:14" x14ac:dyDescent="0.3">
      <c r="A253">
        <v>871</v>
      </c>
      <c r="B253" s="1">
        <v>40582</v>
      </c>
      <c r="C253">
        <v>2</v>
      </c>
      <c r="D253">
        <v>17</v>
      </c>
      <c r="E253" t="b">
        <v>0</v>
      </c>
      <c r="F253">
        <v>2</v>
      </c>
      <c r="G253">
        <v>1</v>
      </c>
      <c r="H253">
        <v>0.22</v>
      </c>
      <c r="I253">
        <v>0.18179999999999999</v>
      </c>
      <c r="J253">
        <v>0.32</v>
      </c>
      <c r="K253">
        <v>0.58209999999999995</v>
      </c>
      <c r="L253">
        <v>4</v>
      </c>
      <c r="M253">
        <v>172</v>
      </c>
      <c r="N253">
        <v>176</v>
      </c>
    </row>
    <row r="254" spans="1:14" x14ac:dyDescent="0.3">
      <c r="A254">
        <v>872</v>
      </c>
      <c r="B254" s="1">
        <v>40582</v>
      </c>
      <c r="C254">
        <v>2</v>
      </c>
      <c r="D254">
        <v>18</v>
      </c>
      <c r="E254" t="b">
        <v>0</v>
      </c>
      <c r="F254">
        <v>2</v>
      </c>
      <c r="G254">
        <v>1</v>
      </c>
      <c r="H254">
        <v>0.2</v>
      </c>
      <c r="I254">
        <v>0.18179999999999999</v>
      </c>
      <c r="J254">
        <v>0.32</v>
      </c>
      <c r="K254">
        <v>0.3881</v>
      </c>
      <c r="L254">
        <v>1</v>
      </c>
      <c r="M254">
        <v>151</v>
      </c>
      <c r="N254">
        <v>152</v>
      </c>
    </row>
    <row r="255" spans="1:14" x14ac:dyDescent="0.3">
      <c r="A255">
        <v>873</v>
      </c>
      <c r="B255" s="1">
        <v>40582</v>
      </c>
      <c r="C255">
        <v>2</v>
      </c>
      <c r="D255">
        <v>19</v>
      </c>
      <c r="E255" t="b">
        <v>0</v>
      </c>
      <c r="F255">
        <v>2</v>
      </c>
      <c r="G255">
        <v>1</v>
      </c>
      <c r="H255">
        <v>0.16</v>
      </c>
      <c r="I255">
        <v>0.1212</v>
      </c>
      <c r="J255">
        <v>0.4</v>
      </c>
      <c r="K255">
        <v>0.4627</v>
      </c>
      <c r="L255">
        <v>1</v>
      </c>
      <c r="M255">
        <v>100</v>
      </c>
      <c r="N255">
        <v>101</v>
      </c>
    </row>
    <row r="256" spans="1:14" x14ac:dyDescent="0.3">
      <c r="A256">
        <v>874</v>
      </c>
      <c r="B256" s="1">
        <v>40582</v>
      </c>
      <c r="C256">
        <v>2</v>
      </c>
      <c r="D256">
        <v>20</v>
      </c>
      <c r="E256" t="b">
        <v>0</v>
      </c>
      <c r="F256">
        <v>2</v>
      </c>
      <c r="G256">
        <v>1</v>
      </c>
      <c r="H256">
        <v>0.16</v>
      </c>
      <c r="I256">
        <v>0.13639999999999999</v>
      </c>
      <c r="J256">
        <v>0.4</v>
      </c>
      <c r="K256">
        <v>0.32840000000000003</v>
      </c>
      <c r="L256">
        <v>3</v>
      </c>
      <c r="M256">
        <v>53</v>
      </c>
      <c r="N256">
        <v>56</v>
      </c>
    </row>
    <row r="257" spans="1:14" x14ac:dyDescent="0.3">
      <c r="A257">
        <v>875</v>
      </c>
      <c r="B257" s="1">
        <v>40582</v>
      </c>
      <c r="C257">
        <v>2</v>
      </c>
      <c r="D257">
        <v>21</v>
      </c>
      <c r="E257" t="b">
        <v>0</v>
      </c>
      <c r="F257">
        <v>2</v>
      </c>
      <c r="G257">
        <v>1</v>
      </c>
      <c r="H257">
        <v>0.14000000000000001</v>
      </c>
      <c r="I257">
        <v>0.1061</v>
      </c>
      <c r="J257">
        <v>0.33</v>
      </c>
      <c r="K257">
        <v>0.4627</v>
      </c>
      <c r="L257">
        <v>8</v>
      </c>
      <c r="M257">
        <v>46</v>
      </c>
      <c r="N257">
        <v>54</v>
      </c>
    </row>
    <row r="258" spans="1:14" x14ac:dyDescent="0.3">
      <c r="A258">
        <v>876</v>
      </c>
      <c r="B258" s="1">
        <v>40582</v>
      </c>
      <c r="C258">
        <v>2</v>
      </c>
      <c r="D258">
        <v>22</v>
      </c>
      <c r="E258" t="b">
        <v>0</v>
      </c>
      <c r="F258">
        <v>2</v>
      </c>
      <c r="G258">
        <v>1</v>
      </c>
      <c r="H258">
        <v>0.12</v>
      </c>
      <c r="I258">
        <v>0.1061</v>
      </c>
      <c r="J258">
        <v>0.33</v>
      </c>
      <c r="K258">
        <v>0.35820000000000002</v>
      </c>
      <c r="L258">
        <v>0</v>
      </c>
      <c r="M258">
        <v>29</v>
      </c>
      <c r="N258">
        <v>29</v>
      </c>
    </row>
    <row r="259" spans="1:14" x14ac:dyDescent="0.3">
      <c r="A259">
        <v>877</v>
      </c>
      <c r="B259" s="1">
        <v>40582</v>
      </c>
      <c r="C259">
        <v>2</v>
      </c>
      <c r="D259">
        <v>23</v>
      </c>
      <c r="E259" t="b">
        <v>0</v>
      </c>
      <c r="F259">
        <v>2</v>
      </c>
      <c r="G259">
        <v>1</v>
      </c>
      <c r="H259">
        <v>0.12</v>
      </c>
      <c r="I259">
        <v>0.1061</v>
      </c>
      <c r="J259">
        <v>0.33</v>
      </c>
      <c r="K259">
        <v>0.32840000000000003</v>
      </c>
      <c r="L259">
        <v>3</v>
      </c>
      <c r="M259">
        <v>9</v>
      </c>
      <c r="N259">
        <v>12</v>
      </c>
    </row>
    <row r="260" spans="1:14" x14ac:dyDescent="0.3">
      <c r="A260">
        <v>878</v>
      </c>
      <c r="B260" s="1">
        <v>40583</v>
      </c>
      <c r="C260">
        <v>2</v>
      </c>
      <c r="D260">
        <v>0</v>
      </c>
      <c r="E260" t="b">
        <v>0</v>
      </c>
      <c r="F260">
        <v>3</v>
      </c>
      <c r="G260">
        <v>1</v>
      </c>
      <c r="H260">
        <v>0.1</v>
      </c>
      <c r="I260">
        <v>7.5800000000000006E-2</v>
      </c>
      <c r="J260">
        <v>0.36</v>
      </c>
      <c r="K260">
        <v>0.35820000000000002</v>
      </c>
      <c r="L260">
        <v>0</v>
      </c>
      <c r="M260">
        <v>17</v>
      </c>
      <c r="N260">
        <v>17</v>
      </c>
    </row>
    <row r="261" spans="1:14" x14ac:dyDescent="0.3">
      <c r="A261">
        <v>879</v>
      </c>
      <c r="B261" s="1">
        <v>40583</v>
      </c>
      <c r="C261">
        <v>2</v>
      </c>
      <c r="D261">
        <v>1</v>
      </c>
      <c r="E261" t="b">
        <v>0</v>
      </c>
      <c r="F261">
        <v>3</v>
      </c>
      <c r="G261">
        <v>1</v>
      </c>
      <c r="H261">
        <v>0.1</v>
      </c>
      <c r="I261">
        <v>0.1061</v>
      </c>
      <c r="J261">
        <v>0.36</v>
      </c>
      <c r="K261">
        <v>0.22389999999999999</v>
      </c>
      <c r="L261">
        <v>0</v>
      </c>
      <c r="M261">
        <v>7</v>
      </c>
      <c r="N261">
        <v>7</v>
      </c>
    </row>
    <row r="262" spans="1:14" x14ac:dyDescent="0.3">
      <c r="A262">
        <v>880</v>
      </c>
      <c r="B262" s="1">
        <v>40583</v>
      </c>
      <c r="C262">
        <v>2</v>
      </c>
      <c r="D262">
        <v>2</v>
      </c>
      <c r="E262" t="b">
        <v>0</v>
      </c>
      <c r="F262">
        <v>3</v>
      </c>
      <c r="G262">
        <v>1</v>
      </c>
      <c r="H262">
        <v>0.08</v>
      </c>
      <c r="I262">
        <v>7.5800000000000006E-2</v>
      </c>
      <c r="J262">
        <v>0.38</v>
      </c>
      <c r="K262">
        <v>0.28360000000000002</v>
      </c>
      <c r="L262">
        <v>1</v>
      </c>
      <c r="M262">
        <v>2</v>
      </c>
      <c r="N262">
        <v>3</v>
      </c>
    </row>
    <row r="263" spans="1:14" x14ac:dyDescent="0.3">
      <c r="A263">
        <v>881</v>
      </c>
      <c r="B263" s="1">
        <v>40583</v>
      </c>
      <c r="C263">
        <v>2</v>
      </c>
      <c r="D263">
        <v>3</v>
      </c>
      <c r="E263" t="b">
        <v>0</v>
      </c>
      <c r="F263">
        <v>3</v>
      </c>
      <c r="G263">
        <v>1</v>
      </c>
      <c r="H263">
        <v>0.06</v>
      </c>
      <c r="I263">
        <v>7.5800000000000006E-2</v>
      </c>
      <c r="J263">
        <v>0.45</v>
      </c>
      <c r="K263">
        <v>0.1343</v>
      </c>
      <c r="L263">
        <v>0</v>
      </c>
      <c r="M263">
        <v>2</v>
      </c>
      <c r="N263">
        <v>2</v>
      </c>
    </row>
    <row r="264" spans="1:14" x14ac:dyDescent="0.3">
      <c r="A264">
        <v>882</v>
      </c>
      <c r="B264" s="1">
        <v>40583</v>
      </c>
      <c r="C264">
        <v>2</v>
      </c>
      <c r="D264">
        <v>5</v>
      </c>
      <c r="E264" t="b">
        <v>0</v>
      </c>
      <c r="F264">
        <v>3</v>
      </c>
      <c r="G264">
        <v>1</v>
      </c>
      <c r="H264">
        <v>0.06</v>
      </c>
      <c r="I264">
        <v>0.1061</v>
      </c>
      <c r="J264">
        <v>0.45</v>
      </c>
      <c r="K264">
        <v>0.1045</v>
      </c>
      <c r="L264">
        <v>0</v>
      </c>
      <c r="M264">
        <v>7</v>
      </c>
      <c r="N264">
        <v>7</v>
      </c>
    </row>
    <row r="265" spans="1:14" x14ac:dyDescent="0.3">
      <c r="A265">
        <v>883</v>
      </c>
      <c r="B265" s="1">
        <v>40583</v>
      </c>
      <c r="C265">
        <v>2</v>
      </c>
      <c r="D265">
        <v>6</v>
      </c>
      <c r="E265" t="b">
        <v>0</v>
      </c>
      <c r="F265">
        <v>3</v>
      </c>
      <c r="G265">
        <v>1</v>
      </c>
      <c r="H265">
        <v>0.06</v>
      </c>
      <c r="I265">
        <v>0.1515</v>
      </c>
      <c r="J265">
        <v>0.45</v>
      </c>
      <c r="K265">
        <v>0</v>
      </c>
      <c r="L265">
        <v>0</v>
      </c>
      <c r="M265">
        <v>43</v>
      </c>
      <c r="N265">
        <v>43</v>
      </c>
    </row>
    <row r="266" spans="1:14" x14ac:dyDescent="0.3">
      <c r="A266">
        <v>884</v>
      </c>
      <c r="B266" s="1">
        <v>40583</v>
      </c>
      <c r="C266">
        <v>2</v>
      </c>
      <c r="D266">
        <v>7</v>
      </c>
      <c r="E266" t="b">
        <v>0</v>
      </c>
      <c r="F266">
        <v>3</v>
      </c>
      <c r="G266">
        <v>1</v>
      </c>
      <c r="H266">
        <v>0.06</v>
      </c>
      <c r="I266">
        <v>0.1061</v>
      </c>
      <c r="J266">
        <v>0.49</v>
      </c>
      <c r="K266">
        <v>0.1045</v>
      </c>
      <c r="L266">
        <v>4</v>
      </c>
      <c r="M266">
        <v>95</v>
      </c>
      <c r="N266">
        <v>99</v>
      </c>
    </row>
    <row r="267" spans="1:14" x14ac:dyDescent="0.3">
      <c r="A267">
        <v>885</v>
      </c>
      <c r="B267" s="1">
        <v>40583</v>
      </c>
      <c r="C267">
        <v>2</v>
      </c>
      <c r="D267">
        <v>8</v>
      </c>
      <c r="E267" t="b">
        <v>0</v>
      </c>
      <c r="F267">
        <v>3</v>
      </c>
      <c r="G267">
        <v>1</v>
      </c>
      <c r="H267">
        <v>0.1</v>
      </c>
      <c r="I267">
        <v>0.13639999999999999</v>
      </c>
      <c r="J267">
        <v>0.42</v>
      </c>
      <c r="K267">
        <v>0</v>
      </c>
      <c r="L267">
        <v>1</v>
      </c>
      <c r="M267">
        <v>198</v>
      </c>
      <c r="N267">
        <v>199</v>
      </c>
    </row>
    <row r="268" spans="1:14" x14ac:dyDescent="0.3">
      <c r="A268">
        <v>886</v>
      </c>
      <c r="B268" s="1">
        <v>40583</v>
      </c>
      <c r="C268">
        <v>2</v>
      </c>
      <c r="D268">
        <v>9</v>
      </c>
      <c r="E268" t="b">
        <v>0</v>
      </c>
      <c r="F268">
        <v>3</v>
      </c>
      <c r="G268">
        <v>1</v>
      </c>
      <c r="H268">
        <v>0.12</v>
      </c>
      <c r="I268">
        <v>0.13639999999999999</v>
      </c>
      <c r="J268">
        <v>0.39</v>
      </c>
      <c r="K268">
        <v>0.16420000000000001</v>
      </c>
      <c r="L268">
        <v>4</v>
      </c>
      <c r="M268">
        <v>119</v>
      </c>
      <c r="N268">
        <v>123</v>
      </c>
    </row>
    <row r="269" spans="1:14" x14ac:dyDescent="0.3">
      <c r="A269">
        <v>887</v>
      </c>
      <c r="B269" s="1">
        <v>40583</v>
      </c>
      <c r="C269">
        <v>2</v>
      </c>
      <c r="D269">
        <v>10</v>
      </c>
      <c r="E269" t="b">
        <v>0</v>
      </c>
      <c r="F269">
        <v>3</v>
      </c>
      <c r="G269">
        <v>1</v>
      </c>
      <c r="H269">
        <v>0.14000000000000001</v>
      </c>
      <c r="I269">
        <v>0.18179999999999999</v>
      </c>
      <c r="J269">
        <v>0.36</v>
      </c>
      <c r="K269">
        <v>0</v>
      </c>
      <c r="L269">
        <v>8</v>
      </c>
      <c r="M269">
        <v>51</v>
      </c>
      <c r="N269">
        <v>59</v>
      </c>
    </row>
    <row r="270" spans="1:14" x14ac:dyDescent="0.3">
      <c r="A270">
        <v>888</v>
      </c>
      <c r="B270" s="1">
        <v>40583</v>
      </c>
      <c r="C270">
        <v>2</v>
      </c>
      <c r="D270">
        <v>11</v>
      </c>
      <c r="E270" t="b">
        <v>0</v>
      </c>
      <c r="F270">
        <v>3</v>
      </c>
      <c r="G270">
        <v>2</v>
      </c>
      <c r="H270">
        <v>0.14000000000000001</v>
      </c>
      <c r="I270">
        <v>0.1515</v>
      </c>
      <c r="J270">
        <v>0.43</v>
      </c>
      <c r="K270">
        <v>0.16420000000000001</v>
      </c>
      <c r="L270">
        <v>1</v>
      </c>
      <c r="M270">
        <v>40</v>
      </c>
      <c r="N270">
        <v>41</v>
      </c>
    </row>
    <row r="271" spans="1:14" x14ac:dyDescent="0.3">
      <c r="A271">
        <v>889</v>
      </c>
      <c r="B271" s="1">
        <v>40583</v>
      </c>
      <c r="C271">
        <v>2</v>
      </c>
      <c r="D271">
        <v>12</v>
      </c>
      <c r="E271" t="b">
        <v>0</v>
      </c>
      <c r="F271">
        <v>3</v>
      </c>
      <c r="G271">
        <v>2</v>
      </c>
      <c r="H271">
        <v>0.18</v>
      </c>
      <c r="I271">
        <v>0.18179999999999999</v>
      </c>
      <c r="J271">
        <v>0.4</v>
      </c>
      <c r="K271">
        <v>0.22389999999999999</v>
      </c>
      <c r="L271">
        <v>4</v>
      </c>
      <c r="M271">
        <v>57</v>
      </c>
      <c r="N271">
        <v>61</v>
      </c>
    </row>
    <row r="272" spans="1:14" x14ac:dyDescent="0.3">
      <c r="A272">
        <v>890</v>
      </c>
      <c r="B272" s="1">
        <v>40583</v>
      </c>
      <c r="C272">
        <v>2</v>
      </c>
      <c r="D272">
        <v>13</v>
      </c>
      <c r="E272" t="b">
        <v>0</v>
      </c>
      <c r="F272">
        <v>3</v>
      </c>
      <c r="G272">
        <v>1</v>
      </c>
      <c r="H272">
        <v>0.18</v>
      </c>
      <c r="I272">
        <v>0.16669999999999999</v>
      </c>
      <c r="J272">
        <v>0.4</v>
      </c>
      <c r="K272">
        <v>0.25369999999999998</v>
      </c>
      <c r="L272">
        <v>2</v>
      </c>
      <c r="M272">
        <v>67</v>
      </c>
      <c r="N272">
        <v>69</v>
      </c>
    </row>
    <row r="273" spans="1:14" x14ac:dyDescent="0.3">
      <c r="A273">
        <v>891</v>
      </c>
      <c r="B273" s="1">
        <v>40583</v>
      </c>
      <c r="C273">
        <v>2</v>
      </c>
      <c r="D273">
        <v>14</v>
      </c>
      <c r="E273" t="b">
        <v>0</v>
      </c>
      <c r="F273">
        <v>3</v>
      </c>
      <c r="G273">
        <v>1</v>
      </c>
      <c r="H273">
        <v>0.2</v>
      </c>
      <c r="I273">
        <v>0.18179999999999999</v>
      </c>
      <c r="J273">
        <v>0.34</v>
      </c>
      <c r="K273">
        <v>0.29849999999999999</v>
      </c>
      <c r="L273">
        <v>2</v>
      </c>
      <c r="M273">
        <v>56</v>
      </c>
      <c r="N273">
        <v>58</v>
      </c>
    </row>
    <row r="274" spans="1:14" x14ac:dyDescent="0.3">
      <c r="A274">
        <v>892</v>
      </c>
      <c r="B274" s="1">
        <v>40583</v>
      </c>
      <c r="C274">
        <v>2</v>
      </c>
      <c r="D274">
        <v>15</v>
      </c>
      <c r="E274" t="b">
        <v>0</v>
      </c>
      <c r="F274">
        <v>3</v>
      </c>
      <c r="G274">
        <v>2</v>
      </c>
      <c r="H274">
        <v>0.2</v>
      </c>
      <c r="I274">
        <v>0.18179999999999999</v>
      </c>
      <c r="J274">
        <v>0.34</v>
      </c>
      <c r="K274">
        <v>0.28360000000000002</v>
      </c>
      <c r="L274">
        <v>3</v>
      </c>
      <c r="M274">
        <v>61</v>
      </c>
      <c r="N274">
        <v>64</v>
      </c>
    </row>
    <row r="275" spans="1:14" x14ac:dyDescent="0.3">
      <c r="A275">
        <v>893</v>
      </c>
      <c r="B275" s="1">
        <v>40583</v>
      </c>
      <c r="C275">
        <v>2</v>
      </c>
      <c r="D275">
        <v>16</v>
      </c>
      <c r="E275" t="b">
        <v>0</v>
      </c>
      <c r="F275">
        <v>3</v>
      </c>
      <c r="G275">
        <v>2</v>
      </c>
      <c r="H275">
        <v>0.2</v>
      </c>
      <c r="I275">
        <v>0.19700000000000001</v>
      </c>
      <c r="J275">
        <v>0.37</v>
      </c>
      <c r="K275">
        <v>0.25369999999999998</v>
      </c>
      <c r="L275">
        <v>7</v>
      </c>
      <c r="M275">
        <v>72</v>
      </c>
      <c r="N275">
        <v>79</v>
      </c>
    </row>
    <row r="276" spans="1:14" x14ac:dyDescent="0.3">
      <c r="A276">
        <v>894</v>
      </c>
      <c r="B276" s="1">
        <v>40583</v>
      </c>
      <c r="C276">
        <v>2</v>
      </c>
      <c r="D276">
        <v>17</v>
      </c>
      <c r="E276" t="b">
        <v>0</v>
      </c>
      <c r="F276">
        <v>3</v>
      </c>
      <c r="G276">
        <v>2</v>
      </c>
      <c r="H276">
        <v>0.2</v>
      </c>
      <c r="I276">
        <v>0.19700000000000001</v>
      </c>
      <c r="J276">
        <v>0.34</v>
      </c>
      <c r="K276">
        <v>0.25369999999999998</v>
      </c>
      <c r="L276">
        <v>9</v>
      </c>
      <c r="M276">
        <v>157</v>
      </c>
      <c r="N276">
        <v>166</v>
      </c>
    </row>
    <row r="277" spans="1:14" x14ac:dyDescent="0.3">
      <c r="A277">
        <v>895</v>
      </c>
      <c r="B277" s="1">
        <v>40583</v>
      </c>
      <c r="C277">
        <v>2</v>
      </c>
      <c r="D277">
        <v>18</v>
      </c>
      <c r="E277" t="b">
        <v>0</v>
      </c>
      <c r="F277">
        <v>3</v>
      </c>
      <c r="G277">
        <v>2</v>
      </c>
      <c r="H277">
        <v>0.18</v>
      </c>
      <c r="I277">
        <v>0.16669999999999999</v>
      </c>
      <c r="J277">
        <v>0.47</v>
      </c>
      <c r="K277">
        <v>0.29849999999999999</v>
      </c>
      <c r="L277">
        <v>2</v>
      </c>
      <c r="M277">
        <v>168</v>
      </c>
      <c r="N277">
        <v>170</v>
      </c>
    </row>
    <row r="278" spans="1:14" x14ac:dyDescent="0.3">
      <c r="A278">
        <v>896</v>
      </c>
      <c r="B278" s="1">
        <v>40583</v>
      </c>
      <c r="C278">
        <v>2</v>
      </c>
      <c r="D278">
        <v>19</v>
      </c>
      <c r="E278" t="b">
        <v>0</v>
      </c>
      <c r="F278">
        <v>3</v>
      </c>
      <c r="G278">
        <v>3</v>
      </c>
      <c r="H278">
        <v>0.14000000000000001</v>
      </c>
      <c r="I278">
        <v>0.1212</v>
      </c>
      <c r="J278">
        <v>0.86</v>
      </c>
      <c r="K278">
        <v>0.25369999999999998</v>
      </c>
      <c r="L278">
        <v>1</v>
      </c>
      <c r="M278">
        <v>87</v>
      </c>
      <c r="N278">
        <v>88</v>
      </c>
    </row>
    <row r="279" spans="1:14" x14ac:dyDescent="0.3">
      <c r="A279">
        <v>897</v>
      </c>
      <c r="B279" s="1">
        <v>40583</v>
      </c>
      <c r="C279">
        <v>2</v>
      </c>
      <c r="D279">
        <v>20</v>
      </c>
      <c r="E279" t="b">
        <v>0</v>
      </c>
      <c r="F279">
        <v>3</v>
      </c>
      <c r="G279">
        <v>3</v>
      </c>
      <c r="H279">
        <v>0.14000000000000001</v>
      </c>
      <c r="I279">
        <v>0.1515</v>
      </c>
      <c r="J279">
        <v>0.86</v>
      </c>
      <c r="K279">
        <v>0.16420000000000001</v>
      </c>
      <c r="L279">
        <v>0</v>
      </c>
      <c r="M279">
        <v>84</v>
      </c>
      <c r="N279">
        <v>84</v>
      </c>
    </row>
    <row r="280" spans="1:14" x14ac:dyDescent="0.3">
      <c r="A280">
        <v>898</v>
      </c>
      <c r="B280" s="1">
        <v>40583</v>
      </c>
      <c r="C280">
        <v>2</v>
      </c>
      <c r="D280">
        <v>21</v>
      </c>
      <c r="E280" t="b">
        <v>0</v>
      </c>
      <c r="F280">
        <v>3</v>
      </c>
      <c r="G280">
        <v>2</v>
      </c>
      <c r="H280">
        <v>0.14000000000000001</v>
      </c>
      <c r="I280">
        <v>0.1515</v>
      </c>
      <c r="J280">
        <v>0.86</v>
      </c>
      <c r="K280">
        <v>0.16420000000000001</v>
      </c>
      <c r="L280">
        <v>0</v>
      </c>
      <c r="M280">
        <v>83</v>
      </c>
      <c r="N280">
        <v>83</v>
      </c>
    </row>
    <row r="281" spans="1:14" x14ac:dyDescent="0.3">
      <c r="A281">
        <v>899</v>
      </c>
      <c r="B281" s="1">
        <v>40583</v>
      </c>
      <c r="C281">
        <v>2</v>
      </c>
      <c r="D281">
        <v>22</v>
      </c>
      <c r="E281" t="b">
        <v>0</v>
      </c>
      <c r="F281">
        <v>3</v>
      </c>
      <c r="G281">
        <v>3</v>
      </c>
      <c r="H281">
        <v>0.16</v>
      </c>
      <c r="I281">
        <v>0.16669999999999999</v>
      </c>
      <c r="J281">
        <v>0.8</v>
      </c>
      <c r="K281">
        <v>0.16420000000000001</v>
      </c>
      <c r="L281">
        <v>4</v>
      </c>
      <c r="M281">
        <v>42</v>
      </c>
      <c r="N281">
        <v>46</v>
      </c>
    </row>
    <row r="282" spans="1:14" x14ac:dyDescent="0.3">
      <c r="A282">
        <v>900</v>
      </c>
      <c r="B282" s="1">
        <v>40583</v>
      </c>
      <c r="C282">
        <v>2</v>
      </c>
      <c r="D282">
        <v>23</v>
      </c>
      <c r="E282" t="b">
        <v>0</v>
      </c>
      <c r="F282">
        <v>3</v>
      </c>
      <c r="G282">
        <v>3</v>
      </c>
      <c r="H282">
        <v>0.16</v>
      </c>
      <c r="I282">
        <v>0.1515</v>
      </c>
      <c r="J282">
        <v>0.8</v>
      </c>
      <c r="K282">
        <v>0.19400000000000001</v>
      </c>
      <c r="L282">
        <v>0</v>
      </c>
      <c r="M282">
        <v>37</v>
      </c>
      <c r="N282">
        <v>37</v>
      </c>
    </row>
    <row r="283" spans="1:14" x14ac:dyDescent="0.3">
      <c r="A283">
        <v>901</v>
      </c>
      <c r="B283" s="1">
        <v>40584</v>
      </c>
      <c r="C283">
        <v>2</v>
      </c>
      <c r="D283">
        <v>0</v>
      </c>
      <c r="E283" t="b">
        <v>0</v>
      </c>
      <c r="F283">
        <v>4</v>
      </c>
      <c r="G283">
        <v>3</v>
      </c>
      <c r="H283">
        <v>0.14000000000000001</v>
      </c>
      <c r="I283">
        <v>0.13639999999999999</v>
      </c>
      <c r="J283">
        <v>0.86</v>
      </c>
      <c r="K283">
        <v>0.19400000000000001</v>
      </c>
      <c r="L283">
        <v>0</v>
      </c>
      <c r="M283">
        <v>16</v>
      </c>
      <c r="N283">
        <v>16</v>
      </c>
    </row>
    <row r="284" spans="1:14" x14ac:dyDescent="0.3">
      <c r="A284">
        <v>902</v>
      </c>
      <c r="B284" s="1">
        <v>40584</v>
      </c>
      <c r="C284">
        <v>2</v>
      </c>
      <c r="D284">
        <v>1</v>
      </c>
      <c r="E284" t="b">
        <v>0</v>
      </c>
      <c r="F284">
        <v>4</v>
      </c>
      <c r="G284">
        <v>3</v>
      </c>
      <c r="H284">
        <v>0.14000000000000001</v>
      </c>
      <c r="I284">
        <v>0.1515</v>
      </c>
      <c r="J284">
        <v>0.8</v>
      </c>
      <c r="K284">
        <v>0.1343</v>
      </c>
      <c r="L284">
        <v>0</v>
      </c>
      <c r="M284">
        <v>7</v>
      </c>
      <c r="N284">
        <v>7</v>
      </c>
    </row>
    <row r="285" spans="1:14" x14ac:dyDescent="0.3">
      <c r="A285">
        <v>903</v>
      </c>
      <c r="B285" s="1">
        <v>40584</v>
      </c>
      <c r="C285">
        <v>2</v>
      </c>
      <c r="D285">
        <v>2</v>
      </c>
      <c r="E285" t="b">
        <v>0</v>
      </c>
      <c r="F285">
        <v>4</v>
      </c>
      <c r="G285">
        <v>3</v>
      </c>
      <c r="H285">
        <v>0.14000000000000001</v>
      </c>
      <c r="I285">
        <v>0.1515</v>
      </c>
      <c r="J285">
        <v>0.8</v>
      </c>
      <c r="K285">
        <v>0.1343</v>
      </c>
      <c r="L285">
        <v>0</v>
      </c>
      <c r="M285">
        <v>3</v>
      </c>
      <c r="N285">
        <v>3</v>
      </c>
    </row>
    <row r="286" spans="1:14" x14ac:dyDescent="0.3">
      <c r="A286">
        <v>904</v>
      </c>
      <c r="B286" s="1">
        <v>40584</v>
      </c>
      <c r="C286">
        <v>2</v>
      </c>
      <c r="D286">
        <v>4</v>
      </c>
      <c r="E286" t="b">
        <v>0</v>
      </c>
      <c r="F286">
        <v>4</v>
      </c>
      <c r="G286">
        <v>2</v>
      </c>
      <c r="H286">
        <v>0.14000000000000001</v>
      </c>
      <c r="I286">
        <v>0.13639999999999999</v>
      </c>
      <c r="J286">
        <v>0.59</v>
      </c>
      <c r="K286">
        <v>0.22389999999999999</v>
      </c>
      <c r="L286">
        <v>0</v>
      </c>
      <c r="M286">
        <v>1</v>
      </c>
      <c r="N286">
        <v>1</v>
      </c>
    </row>
    <row r="287" spans="1:14" x14ac:dyDescent="0.3">
      <c r="A287">
        <v>905</v>
      </c>
      <c r="B287" s="1">
        <v>40584</v>
      </c>
      <c r="C287">
        <v>2</v>
      </c>
      <c r="D287">
        <v>5</v>
      </c>
      <c r="E287" t="b">
        <v>0</v>
      </c>
      <c r="F287">
        <v>4</v>
      </c>
      <c r="G287">
        <v>2</v>
      </c>
      <c r="H287">
        <v>0.12</v>
      </c>
      <c r="I287">
        <v>0.1212</v>
      </c>
      <c r="J287">
        <v>0.5</v>
      </c>
      <c r="K287">
        <v>0.22389999999999999</v>
      </c>
      <c r="L287">
        <v>0</v>
      </c>
      <c r="M287">
        <v>6</v>
      </c>
      <c r="N287">
        <v>6</v>
      </c>
    </row>
    <row r="288" spans="1:14" x14ac:dyDescent="0.3">
      <c r="A288">
        <v>906</v>
      </c>
      <c r="B288" s="1">
        <v>40584</v>
      </c>
      <c r="C288">
        <v>2</v>
      </c>
      <c r="D288">
        <v>6</v>
      </c>
      <c r="E288" t="b">
        <v>0</v>
      </c>
      <c r="F288">
        <v>4</v>
      </c>
      <c r="G288">
        <v>2</v>
      </c>
      <c r="H288">
        <v>0.12</v>
      </c>
      <c r="I288">
        <v>0.1212</v>
      </c>
      <c r="J288">
        <v>0.54</v>
      </c>
      <c r="K288">
        <v>0.28360000000000002</v>
      </c>
      <c r="L288">
        <v>0</v>
      </c>
      <c r="M288">
        <v>26</v>
      </c>
      <c r="N288">
        <v>26</v>
      </c>
    </row>
    <row r="289" spans="1:14" x14ac:dyDescent="0.3">
      <c r="A289">
        <v>907</v>
      </c>
      <c r="B289" s="1">
        <v>40584</v>
      </c>
      <c r="C289">
        <v>2</v>
      </c>
      <c r="D289">
        <v>7</v>
      </c>
      <c r="E289" t="b">
        <v>0</v>
      </c>
      <c r="F289">
        <v>4</v>
      </c>
      <c r="G289">
        <v>1</v>
      </c>
      <c r="H289">
        <v>0.1</v>
      </c>
      <c r="I289">
        <v>7.5800000000000006E-2</v>
      </c>
      <c r="J289">
        <v>0.5</v>
      </c>
      <c r="K289">
        <v>0.41789999999999999</v>
      </c>
      <c r="L289">
        <v>0</v>
      </c>
      <c r="M289">
        <v>99</v>
      </c>
      <c r="N289">
        <v>99</v>
      </c>
    </row>
    <row r="290" spans="1:14" x14ac:dyDescent="0.3">
      <c r="A290">
        <v>908</v>
      </c>
      <c r="B290" s="1">
        <v>40584</v>
      </c>
      <c r="C290">
        <v>2</v>
      </c>
      <c r="D290">
        <v>8</v>
      </c>
      <c r="E290" t="b">
        <v>0</v>
      </c>
      <c r="F290">
        <v>4</v>
      </c>
      <c r="G290">
        <v>1</v>
      </c>
      <c r="H290">
        <v>0.1</v>
      </c>
      <c r="I290">
        <v>7.5800000000000006E-2</v>
      </c>
      <c r="J290">
        <v>0.49</v>
      </c>
      <c r="K290">
        <v>0.32840000000000003</v>
      </c>
      <c r="L290">
        <v>5</v>
      </c>
      <c r="M290">
        <v>173</v>
      </c>
      <c r="N290">
        <v>178</v>
      </c>
    </row>
    <row r="291" spans="1:14" x14ac:dyDescent="0.3">
      <c r="A291">
        <v>909</v>
      </c>
      <c r="B291" s="1">
        <v>40584</v>
      </c>
      <c r="C291">
        <v>2</v>
      </c>
      <c r="D291">
        <v>9</v>
      </c>
      <c r="E291" t="b">
        <v>0</v>
      </c>
      <c r="F291">
        <v>4</v>
      </c>
      <c r="G291">
        <v>1</v>
      </c>
      <c r="H291">
        <v>0.12</v>
      </c>
      <c r="I291">
        <v>0.1061</v>
      </c>
      <c r="J291">
        <v>0.42</v>
      </c>
      <c r="K291">
        <v>0.35820000000000002</v>
      </c>
      <c r="L291">
        <v>1</v>
      </c>
      <c r="M291">
        <v>121</v>
      </c>
      <c r="N291">
        <v>122</v>
      </c>
    </row>
    <row r="292" spans="1:14" x14ac:dyDescent="0.3">
      <c r="A292">
        <v>910</v>
      </c>
      <c r="B292" s="1">
        <v>40584</v>
      </c>
      <c r="C292">
        <v>2</v>
      </c>
      <c r="D292">
        <v>10</v>
      </c>
      <c r="E292" t="b">
        <v>0</v>
      </c>
      <c r="F292">
        <v>4</v>
      </c>
      <c r="G292">
        <v>1</v>
      </c>
      <c r="H292">
        <v>0.12</v>
      </c>
      <c r="I292">
        <v>0.1061</v>
      </c>
      <c r="J292">
        <v>0.42</v>
      </c>
      <c r="K292">
        <v>0.29849999999999999</v>
      </c>
      <c r="L292">
        <v>1</v>
      </c>
      <c r="M292">
        <v>34</v>
      </c>
      <c r="N292">
        <v>35</v>
      </c>
    </row>
    <row r="293" spans="1:14" x14ac:dyDescent="0.3">
      <c r="A293">
        <v>911</v>
      </c>
      <c r="B293" s="1">
        <v>40584</v>
      </c>
      <c r="C293">
        <v>2</v>
      </c>
      <c r="D293">
        <v>11</v>
      </c>
      <c r="E293" t="b">
        <v>0</v>
      </c>
      <c r="F293">
        <v>4</v>
      </c>
      <c r="G293">
        <v>1</v>
      </c>
      <c r="H293">
        <v>0.14000000000000001</v>
      </c>
      <c r="I293">
        <v>0.1212</v>
      </c>
      <c r="J293">
        <v>0.39</v>
      </c>
      <c r="K293">
        <v>0.35820000000000002</v>
      </c>
      <c r="L293">
        <v>1</v>
      </c>
      <c r="M293">
        <v>44</v>
      </c>
      <c r="N293">
        <v>45</v>
      </c>
    </row>
    <row r="294" spans="1:14" x14ac:dyDescent="0.3">
      <c r="A294">
        <v>912</v>
      </c>
      <c r="B294" s="1">
        <v>40584</v>
      </c>
      <c r="C294">
        <v>2</v>
      </c>
      <c r="D294">
        <v>12</v>
      </c>
      <c r="E294" t="b">
        <v>0</v>
      </c>
      <c r="F294">
        <v>4</v>
      </c>
      <c r="G294">
        <v>1</v>
      </c>
      <c r="H294">
        <v>0.16</v>
      </c>
      <c r="I294">
        <v>0.13639999999999999</v>
      </c>
      <c r="J294">
        <v>0.34</v>
      </c>
      <c r="K294">
        <v>0.3881</v>
      </c>
      <c r="L294">
        <v>4</v>
      </c>
      <c r="M294">
        <v>65</v>
      </c>
      <c r="N294">
        <v>69</v>
      </c>
    </row>
    <row r="295" spans="1:14" x14ac:dyDescent="0.3">
      <c r="A295">
        <v>913</v>
      </c>
      <c r="B295" s="1">
        <v>40584</v>
      </c>
      <c r="C295">
        <v>2</v>
      </c>
      <c r="D295">
        <v>13</v>
      </c>
      <c r="E295" t="b">
        <v>0</v>
      </c>
      <c r="F295">
        <v>4</v>
      </c>
      <c r="G295">
        <v>1</v>
      </c>
      <c r="H295">
        <v>0.18</v>
      </c>
      <c r="I295">
        <v>0.16669999999999999</v>
      </c>
      <c r="J295">
        <v>0.28999999999999998</v>
      </c>
      <c r="K295">
        <v>0.29849999999999999</v>
      </c>
      <c r="L295">
        <v>3</v>
      </c>
      <c r="M295">
        <v>59</v>
      </c>
      <c r="N295">
        <v>62</v>
      </c>
    </row>
    <row r="296" spans="1:14" x14ac:dyDescent="0.3">
      <c r="A296">
        <v>914</v>
      </c>
      <c r="B296" s="1">
        <v>40584</v>
      </c>
      <c r="C296">
        <v>2</v>
      </c>
      <c r="D296">
        <v>14</v>
      </c>
      <c r="E296" t="b">
        <v>0</v>
      </c>
      <c r="F296">
        <v>4</v>
      </c>
      <c r="G296">
        <v>1</v>
      </c>
      <c r="H296">
        <v>0.2</v>
      </c>
      <c r="I296">
        <v>0.18179999999999999</v>
      </c>
      <c r="J296">
        <v>0.27</v>
      </c>
      <c r="K296">
        <v>0.28360000000000002</v>
      </c>
      <c r="L296">
        <v>6</v>
      </c>
      <c r="M296">
        <v>42</v>
      </c>
      <c r="N296">
        <v>48</v>
      </c>
    </row>
    <row r="297" spans="1:14" x14ac:dyDescent="0.3">
      <c r="A297">
        <v>915</v>
      </c>
      <c r="B297" s="1">
        <v>40584</v>
      </c>
      <c r="C297">
        <v>2</v>
      </c>
      <c r="D297">
        <v>15</v>
      </c>
      <c r="E297" t="b">
        <v>0</v>
      </c>
      <c r="F297">
        <v>4</v>
      </c>
      <c r="G297">
        <v>1</v>
      </c>
      <c r="H297">
        <v>0.2</v>
      </c>
      <c r="I297">
        <v>0.19700000000000001</v>
      </c>
      <c r="J297">
        <v>0.25</v>
      </c>
      <c r="K297">
        <v>0.25369999999999998</v>
      </c>
      <c r="L297">
        <v>0</v>
      </c>
      <c r="M297">
        <v>50</v>
      </c>
      <c r="N297">
        <v>50</v>
      </c>
    </row>
    <row r="298" spans="1:14" x14ac:dyDescent="0.3">
      <c r="A298">
        <v>916</v>
      </c>
      <c r="B298" s="1">
        <v>40584</v>
      </c>
      <c r="C298">
        <v>2</v>
      </c>
      <c r="D298">
        <v>16</v>
      </c>
      <c r="E298" t="b">
        <v>0</v>
      </c>
      <c r="F298">
        <v>4</v>
      </c>
      <c r="G298">
        <v>1</v>
      </c>
      <c r="H298">
        <v>0.2</v>
      </c>
      <c r="I298">
        <v>0.18179999999999999</v>
      </c>
      <c r="J298">
        <v>0.27</v>
      </c>
      <c r="K298">
        <v>0.29849999999999999</v>
      </c>
      <c r="L298">
        <v>4</v>
      </c>
      <c r="M298">
        <v>76</v>
      </c>
      <c r="N298">
        <v>80</v>
      </c>
    </row>
    <row r="299" spans="1:14" x14ac:dyDescent="0.3">
      <c r="A299">
        <v>917</v>
      </c>
      <c r="B299" s="1">
        <v>40584</v>
      </c>
      <c r="C299">
        <v>2</v>
      </c>
      <c r="D299">
        <v>17</v>
      </c>
      <c r="E299" t="b">
        <v>0</v>
      </c>
      <c r="F299">
        <v>4</v>
      </c>
      <c r="G299">
        <v>1</v>
      </c>
      <c r="H299">
        <v>0.18</v>
      </c>
      <c r="I299">
        <v>0.18179999999999999</v>
      </c>
      <c r="J299">
        <v>0.26</v>
      </c>
      <c r="K299">
        <v>0.19400000000000001</v>
      </c>
      <c r="L299">
        <v>6</v>
      </c>
      <c r="M299">
        <v>159</v>
      </c>
      <c r="N299">
        <v>165</v>
      </c>
    </row>
    <row r="300" spans="1:14" x14ac:dyDescent="0.3">
      <c r="A300">
        <v>918</v>
      </c>
      <c r="B300" s="1">
        <v>40584</v>
      </c>
      <c r="C300">
        <v>2</v>
      </c>
      <c r="D300">
        <v>18</v>
      </c>
      <c r="E300" t="b">
        <v>0</v>
      </c>
      <c r="F300">
        <v>4</v>
      </c>
      <c r="G300">
        <v>1</v>
      </c>
      <c r="H300">
        <v>0.16</v>
      </c>
      <c r="I300">
        <v>0.18179999999999999</v>
      </c>
      <c r="J300">
        <v>0.28000000000000003</v>
      </c>
      <c r="K300">
        <v>0.1343</v>
      </c>
      <c r="L300">
        <v>3</v>
      </c>
      <c r="M300">
        <v>157</v>
      </c>
      <c r="N300">
        <v>160</v>
      </c>
    </row>
    <row r="301" spans="1:14" x14ac:dyDescent="0.3">
      <c r="A301">
        <v>919</v>
      </c>
      <c r="B301" s="1">
        <v>40584</v>
      </c>
      <c r="C301">
        <v>2</v>
      </c>
      <c r="D301">
        <v>19</v>
      </c>
      <c r="E301" t="b">
        <v>0</v>
      </c>
      <c r="F301">
        <v>4</v>
      </c>
      <c r="G301">
        <v>1</v>
      </c>
      <c r="H301">
        <v>0.14000000000000001</v>
      </c>
      <c r="I301">
        <v>0.16669999999999999</v>
      </c>
      <c r="J301">
        <v>0.28000000000000003</v>
      </c>
      <c r="K301">
        <v>0.1045</v>
      </c>
      <c r="L301">
        <v>2</v>
      </c>
      <c r="M301">
        <v>110</v>
      </c>
      <c r="N301">
        <v>112</v>
      </c>
    </row>
    <row r="302" spans="1:14" x14ac:dyDescent="0.3">
      <c r="A302">
        <v>920</v>
      </c>
      <c r="B302" s="1">
        <v>40584</v>
      </c>
      <c r="C302">
        <v>2</v>
      </c>
      <c r="D302">
        <v>20</v>
      </c>
      <c r="E302" t="b">
        <v>0</v>
      </c>
      <c r="F302">
        <v>4</v>
      </c>
      <c r="G302">
        <v>1</v>
      </c>
      <c r="H302">
        <v>0.14000000000000001</v>
      </c>
      <c r="I302">
        <v>0.18179999999999999</v>
      </c>
      <c r="J302">
        <v>0.31</v>
      </c>
      <c r="K302">
        <v>8.9599999999999999E-2</v>
      </c>
      <c r="L302">
        <v>4</v>
      </c>
      <c r="M302">
        <v>93</v>
      </c>
      <c r="N302">
        <v>97</v>
      </c>
    </row>
    <row r="303" spans="1:14" x14ac:dyDescent="0.3">
      <c r="A303">
        <v>921</v>
      </c>
      <c r="B303" s="1">
        <v>40584</v>
      </c>
      <c r="C303">
        <v>2</v>
      </c>
      <c r="D303">
        <v>21</v>
      </c>
      <c r="E303" t="b">
        <v>0</v>
      </c>
      <c r="F303">
        <v>4</v>
      </c>
      <c r="G303">
        <v>1</v>
      </c>
      <c r="H303">
        <v>0.14000000000000001</v>
      </c>
      <c r="I303">
        <v>0.21210000000000001</v>
      </c>
      <c r="J303">
        <v>0.39</v>
      </c>
      <c r="K303">
        <v>0</v>
      </c>
      <c r="L303">
        <v>2</v>
      </c>
      <c r="M303">
        <v>70</v>
      </c>
      <c r="N303">
        <v>72</v>
      </c>
    </row>
    <row r="304" spans="1:14" x14ac:dyDescent="0.3">
      <c r="A304">
        <v>922</v>
      </c>
      <c r="B304" s="1">
        <v>40584</v>
      </c>
      <c r="C304">
        <v>2</v>
      </c>
      <c r="D304">
        <v>22</v>
      </c>
      <c r="E304" t="b">
        <v>0</v>
      </c>
      <c r="F304">
        <v>4</v>
      </c>
      <c r="G304">
        <v>1</v>
      </c>
      <c r="H304">
        <v>0.12</v>
      </c>
      <c r="I304">
        <v>0.19700000000000001</v>
      </c>
      <c r="J304">
        <v>0.39</v>
      </c>
      <c r="K304">
        <v>0</v>
      </c>
      <c r="L304">
        <v>4</v>
      </c>
      <c r="M304">
        <v>47</v>
      </c>
      <c r="N304">
        <v>51</v>
      </c>
    </row>
    <row r="305" spans="1:14" x14ac:dyDescent="0.3">
      <c r="A305">
        <v>923</v>
      </c>
      <c r="B305" s="1">
        <v>40584</v>
      </c>
      <c r="C305">
        <v>2</v>
      </c>
      <c r="D305">
        <v>23</v>
      </c>
      <c r="E305" t="b">
        <v>0</v>
      </c>
      <c r="F305">
        <v>4</v>
      </c>
      <c r="G305">
        <v>1</v>
      </c>
      <c r="H305">
        <v>0.12</v>
      </c>
      <c r="I305">
        <v>0.1515</v>
      </c>
      <c r="J305">
        <v>0.42</v>
      </c>
      <c r="K305">
        <v>0.1045</v>
      </c>
      <c r="L305">
        <v>1</v>
      </c>
      <c r="M305">
        <v>33</v>
      </c>
      <c r="N305">
        <v>34</v>
      </c>
    </row>
    <row r="306" spans="1:14" x14ac:dyDescent="0.3">
      <c r="A306">
        <v>924</v>
      </c>
      <c r="B306" s="1">
        <v>40585</v>
      </c>
      <c r="C306">
        <v>2</v>
      </c>
      <c r="D306">
        <v>0</v>
      </c>
      <c r="E306" t="b">
        <v>0</v>
      </c>
      <c r="F306">
        <v>5</v>
      </c>
      <c r="G306">
        <v>1</v>
      </c>
      <c r="H306">
        <v>0.1</v>
      </c>
      <c r="I306">
        <v>0.13639999999999999</v>
      </c>
      <c r="J306">
        <v>0.49</v>
      </c>
      <c r="K306">
        <v>0.1045</v>
      </c>
      <c r="L306">
        <v>2</v>
      </c>
      <c r="M306">
        <v>12</v>
      </c>
      <c r="N306">
        <v>14</v>
      </c>
    </row>
    <row r="307" spans="1:14" x14ac:dyDescent="0.3">
      <c r="A307">
        <v>925</v>
      </c>
      <c r="B307" s="1">
        <v>40585</v>
      </c>
      <c r="C307">
        <v>2</v>
      </c>
      <c r="D307">
        <v>1</v>
      </c>
      <c r="E307" t="b">
        <v>0</v>
      </c>
      <c r="F307">
        <v>5</v>
      </c>
      <c r="G307">
        <v>1</v>
      </c>
      <c r="H307">
        <v>0.1</v>
      </c>
      <c r="I307">
        <v>0.13639999999999999</v>
      </c>
      <c r="J307">
        <v>0.54</v>
      </c>
      <c r="K307">
        <v>8.9599999999999999E-2</v>
      </c>
      <c r="L307">
        <v>1</v>
      </c>
      <c r="M307">
        <v>6</v>
      </c>
      <c r="N307">
        <v>7</v>
      </c>
    </row>
    <row r="308" spans="1:14" x14ac:dyDescent="0.3">
      <c r="A308">
        <v>926</v>
      </c>
      <c r="B308" s="1">
        <v>40585</v>
      </c>
      <c r="C308">
        <v>2</v>
      </c>
      <c r="D308">
        <v>2</v>
      </c>
      <c r="E308" t="b">
        <v>0</v>
      </c>
      <c r="F308">
        <v>5</v>
      </c>
      <c r="G308">
        <v>1</v>
      </c>
      <c r="H308">
        <v>0.1</v>
      </c>
      <c r="I308">
        <v>0.13639999999999999</v>
      </c>
      <c r="J308">
        <v>0.54</v>
      </c>
      <c r="K308">
        <v>8.9599999999999999E-2</v>
      </c>
      <c r="L308">
        <v>0</v>
      </c>
      <c r="M308">
        <v>3</v>
      </c>
      <c r="N308">
        <v>3</v>
      </c>
    </row>
    <row r="309" spans="1:14" x14ac:dyDescent="0.3">
      <c r="A309">
        <v>927</v>
      </c>
      <c r="B309" s="1">
        <v>40585</v>
      </c>
      <c r="C309">
        <v>2</v>
      </c>
      <c r="D309">
        <v>5</v>
      </c>
      <c r="E309" t="b">
        <v>0</v>
      </c>
      <c r="F309">
        <v>5</v>
      </c>
      <c r="G309">
        <v>1</v>
      </c>
      <c r="H309">
        <v>0.08</v>
      </c>
      <c r="I309">
        <v>0.1212</v>
      </c>
      <c r="J309">
        <v>0.63</v>
      </c>
      <c r="K309">
        <v>8.9599999999999999E-2</v>
      </c>
      <c r="L309">
        <v>0</v>
      </c>
      <c r="M309">
        <v>4</v>
      </c>
      <c r="N309">
        <v>4</v>
      </c>
    </row>
    <row r="310" spans="1:14" x14ac:dyDescent="0.3">
      <c r="A310">
        <v>928</v>
      </c>
      <c r="B310" s="1">
        <v>40585</v>
      </c>
      <c r="C310">
        <v>2</v>
      </c>
      <c r="D310">
        <v>6</v>
      </c>
      <c r="E310" t="b">
        <v>0</v>
      </c>
      <c r="F310">
        <v>5</v>
      </c>
      <c r="G310">
        <v>1</v>
      </c>
      <c r="H310">
        <v>0.1</v>
      </c>
      <c r="I310">
        <v>0.18179999999999999</v>
      </c>
      <c r="J310">
        <v>0.68</v>
      </c>
      <c r="K310">
        <v>0</v>
      </c>
      <c r="L310">
        <v>1</v>
      </c>
      <c r="M310">
        <v>23</v>
      </c>
      <c r="N310">
        <v>24</v>
      </c>
    </row>
    <row r="311" spans="1:14" x14ac:dyDescent="0.3">
      <c r="A311">
        <v>929</v>
      </c>
      <c r="B311" s="1">
        <v>40585</v>
      </c>
      <c r="C311">
        <v>2</v>
      </c>
      <c r="D311">
        <v>7</v>
      </c>
      <c r="E311" t="b">
        <v>0</v>
      </c>
      <c r="F311">
        <v>5</v>
      </c>
      <c r="G311">
        <v>1</v>
      </c>
      <c r="H311">
        <v>0.08</v>
      </c>
      <c r="I311">
        <v>0.16669999999999999</v>
      </c>
      <c r="J311">
        <v>0.73</v>
      </c>
      <c r="K311">
        <v>0</v>
      </c>
      <c r="L311">
        <v>1</v>
      </c>
      <c r="M311">
        <v>73</v>
      </c>
      <c r="N311">
        <v>74</v>
      </c>
    </row>
    <row r="312" spans="1:14" x14ac:dyDescent="0.3">
      <c r="A312">
        <v>930</v>
      </c>
      <c r="B312" s="1">
        <v>40585</v>
      </c>
      <c r="C312">
        <v>2</v>
      </c>
      <c r="D312">
        <v>8</v>
      </c>
      <c r="E312" t="b">
        <v>0</v>
      </c>
      <c r="F312">
        <v>5</v>
      </c>
      <c r="G312">
        <v>1</v>
      </c>
      <c r="H312">
        <v>0.1</v>
      </c>
      <c r="I312">
        <v>0.1212</v>
      </c>
      <c r="J312">
        <v>0.74</v>
      </c>
      <c r="K312">
        <v>0.16420000000000001</v>
      </c>
      <c r="L312">
        <v>4</v>
      </c>
      <c r="M312">
        <v>212</v>
      </c>
      <c r="N312">
        <v>216</v>
      </c>
    </row>
    <row r="313" spans="1:14" x14ac:dyDescent="0.3">
      <c r="A313">
        <v>931</v>
      </c>
      <c r="B313" s="1">
        <v>40585</v>
      </c>
      <c r="C313">
        <v>2</v>
      </c>
      <c r="D313">
        <v>9</v>
      </c>
      <c r="E313" t="b">
        <v>0</v>
      </c>
      <c r="F313">
        <v>5</v>
      </c>
      <c r="G313">
        <v>1</v>
      </c>
      <c r="H313">
        <v>0.12</v>
      </c>
      <c r="I313">
        <v>0.1212</v>
      </c>
      <c r="J313">
        <v>0.74</v>
      </c>
      <c r="K313">
        <v>0.22389999999999999</v>
      </c>
      <c r="L313">
        <v>8</v>
      </c>
      <c r="M313">
        <v>132</v>
      </c>
      <c r="N313">
        <v>140</v>
      </c>
    </row>
    <row r="314" spans="1:14" x14ac:dyDescent="0.3">
      <c r="A314">
        <v>932</v>
      </c>
      <c r="B314" s="1">
        <v>40585</v>
      </c>
      <c r="C314">
        <v>2</v>
      </c>
      <c r="D314">
        <v>10</v>
      </c>
      <c r="E314" t="b">
        <v>0</v>
      </c>
      <c r="F314">
        <v>5</v>
      </c>
      <c r="G314">
        <v>1</v>
      </c>
      <c r="H314">
        <v>0.14000000000000001</v>
      </c>
      <c r="I314">
        <v>0.13639999999999999</v>
      </c>
      <c r="J314">
        <v>0.69</v>
      </c>
      <c r="K314">
        <v>0.19400000000000001</v>
      </c>
      <c r="L314">
        <v>5</v>
      </c>
      <c r="M314">
        <v>39</v>
      </c>
      <c r="N314">
        <v>44</v>
      </c>
    </row>
    <row r="315" spans="1:14" x14ac:dyDescent="0.3">
      <c r="A315">
        <v>933</v>
      </c>
      <c r="B315" s="1">
        <v>40585</v>
      </c>
      <c r="C315">
        <v>2</v>
      </c>
      <c r="D315">
        <v>11</v>
      </c>
      <c r="E315" t="b">
        <v>0</v>
      </c>
      <c r="F315">
        <v>5</v>
      </c>
      <c r="G315">
        <v>1</v>
      </c>
      <c r="H315">
        <v>0.22</v>
      </c>
      <c r="I315">
        <v>0.2273</v>
      </c>
      <c r="J315">
        <v>0.47</v>
      </c>
      <c r="K315">
        <v>0.1343</v>
      </c>
      <c r="L315">
        <v>12</v>
      </c>
      <c r="M315">
        <v>52</v>
      </c>
      <c r="N315">
        <v>64</v>
      </c>
    </row>
    <row r="316" spans="1:14" x14ac:dyDescent="0.3">
      <c r="A316">
        <v>934</v>
      </c>
      <c r="B316" s="1">
        <v>40585</v>
      </c>
      <c r="C316">
        <v>2</v>
      </c>
      <c r="D316">
        <v>12</v>
      </c>
      <c r="E316" t="b">
        <v>0</v>
      </c>
      <c r="F316">
        <v>5</v>
      </c>
      <c r="G316">
        <v>1</v>
      </c>
      <c r="H316">
        <v>0.22</v>
      </c>
      <c r="I316">
        <v>0.2273</v>
      </c>
      <c r="J316">
        <v>0.47</v>
      </c>
      <c r="K316">
        <v>0.1343</v>
      </c>
      <c r="L316">
        <v>7</v>
      </c>
      <c r="M316">
        <v>64</v>
      </c>
      <c r="N316">
        <v>71</v>
      </c>
    </row>
    <row r="317" spans="1:14" x14ac:dyDescent="0.3">
      <c r="A317">
        <v>935</v>
      </c>
      <c r="B317" s="1">
        <v>40585</v>
      </c>
      <c r="C317">
        <v>2</v>
      </c>
      <c r="D317">
        <v>13</v>
      </c>
      <c r="E317" t="b">
        <v>0</v>
      </c>
      <c r="F317">
        <v>5</v>
      </c>
      <c r="G317">
        <v>1</v>
      </c>
      <c r="H317">
        <v>0.24</v>
      </c>
      <c r="I317">
        <v>0.2273</v>
      </c>
      <c r="J317">
        <v>0.35</v>
      </c>
      <c r="K317">
        <v>0.19400000000000001</v>
      </c>
      <c r="L317">
        <v>21</v>
      </c>
      <c r="M317">
        <v>89</v>
      </c>
      <c r="N317">
        <v>110</v>
      </c>
    </row>
    <row r="318" spans="1:14" x14ac:dyDescent="0.3">
      <c r="A318">
        <v>936</v>
      </c>
      <c r="B318" s="1">
        <v>40585</v>
      </c>
      <c r="C318">
        <v>2</v>
      </c>
      <c r="D318">
        <v>14</v>
      </c>
      <c r="E318" t="b">
        <v>0</v>
      </c>
      <c r="F318">
        <v>5</v>
      </c>
      <c r="G318">
        <v>1</v>
      </c>
      <c r="H318">
        <v>0.3</v>
      </c>
      <c r="I318">
        <v>0.28789999999999999</v>
      </c>
      <c r="J318">
        <v>0.26</v>
      </c>
      <c r="K318">
        <v>0.25369999999999998</v>
      </c>
      <c r="L318">
        <v>17</v>
      </c>
      <c r="M318">
        <v>67</v>
      </c>
      <c r="N318">
        <v>84</v>
      </c>
    </row>
    <row r="319" spans="1:14" x14ac:dyDescent="0.3">
      <c r="A319">
        <v>937</v>
      </c>
      <c r="B319" s="1">
        <v>40585</v>
      </c>
      <c r="C319">
        <v>2</v>
      </c>
      <c r="D319">
        <v>15</v>
      </c>
      <c r="E319" t="b">
        <v>0</v>
      </c>
      <c r="F319">
        <v>5</v>
      </c>
      <c r="G319">
        <v>1</v>
      </c>
      <c r="H319">
        <v>0.32</v>
      </c>
      <c r="I319">
        <v>0.31819999999999998</v>
      </c>
      <c r="J319">
        <v>0.21</v>
      </c>
      <c r="K319">
        <v>0.16420000000000001</v>
      </c>
      <c r="L319">
        <v>12</v>
      </c>
      <c r="M319">
        <v>62</v>
      </c>
      <c r="N319">
        <v>74</v>
      </c>
    </row>
    <row r="320" spans="1:14" x14ac:dyDescent="0.3">
      <c r="A320">
        <v>938</v>
      </c>
      <c r="B320" s="1">
        <v>40585</v>
      </c>
      <c r="C320">
        <v>2</v>
      </c>
      <c r="D320">
        <v>16</v>
      </c>
      <c r="E320" t="b">
        <v>0</v>
      </c>
      <c r="F320">
        <v>5</v>
      </c>
      <c r="G320">
        <v>1</v>
      </c>
      <c r="H320">
        <v>0.3</v>
      </c>
      <c r="I320">
        <v>0.28789999999999999</v>
      </c>
      <c r="J320">
        <v>0.28000000000000003</v>
      </c>
      <c r="K320">
        <v>0.19400000000000001</v>
      </c>
      <c r="L320">
        <v>14</v>
      </c>
      <c r="M320">
        <v>111</v>
      </c>
      <c r="N320">
        <v>125</v>
      </c>
    </row>
    <row r="321" spans="1:14" x14ac:dyDescent="0.3">
      <c r="A321">
        <v>939</v>
      </c>
      <c r="B321" s="1">
        <v>40585</v>
      </c>
      <c r="C321">
        <v>2</v>
      </c>
      <c r="D321">
        <v>17</v>
      </c>
      <c r="E321" t="b">
        <v>0</v>
      </c>
      <c r="F321">
        <v>5</v>
      </c>
      <c r="G321">
        <v>1</v>
      </c>
      <c r="H321">
        <v>0.3</v>
      </c>
      <c r="I321">
        <v>0.33329999999999999</v>
      </c>
      <c r="J321">
        <v>0.24</v>
      </c>
      <c r="K321">
        <v>0</v>
      </c>
      <c r="L321">
        <v>18</v>
      </c>
      <c r="M321">
        <v>193</v>
      </c>
      <c r="N321">
        <v>211</v>
      </c>
    </row>
    <row r="322" spans="1:14" x14ac:dyDescent="0.3">
      <c r="A322">
        <v>940</v>
      </c>
      <c r="B322" s="1">
        <v>40585</v>
      </c>
      <c r="C322">
        <v>2</v>
      </c>
      <c r="D322">
        <v>18</v>
      </c>
      <c r="E322" t="b">
        <v>0</v>
      </c>
      <c r="F322">
        <v>5</v>
      </c>
      <c r="G322">
        <v>1</v>
      </c>
      <c r="H322">
        <v>0.28000000000000003</v>
      </c>
      <c r="I322">
        <v>0.31819999999999998</v>
      </c>
      <c r="J322">
        <v>0.28000000000000003</v>
      </c>
      <c r="K322">
        <v>0</v>
      </c>
      <c r="L322">
        <v>9</v>
      </c>
      <c r="M322">
        <v>165</v>
      </c>
      <c r="N322">
        <v>174</v>
      </c>
    </row>
    <row r="323" spans="1:14" x14ac:dyDescent="0.3">
      <c r="A323">
        <v>941</v>
      </c>
      <c r="B323" s="1">
        <v>40585</v>
      </c>
      <c r="C323">
        <v>2</v>
      </c>
      <c r="D323">
        <v>19</v>
      </c>
      <c r="E323" t="b">
        <v>0</v>
      </c>
      <c r="F323">
        <v>5</v>
      </c>
      <c r="G323">
        <v>1</v>
      </c>
      <c r="H323">
        <v>0.26</v>
      </c>
      <c r="I323">
        <v>0.30299999999999999</v>
      </c>
      <c r="J323">
        <v>0.33</v>
      </c>
      <c r="K323">
        <v>0</v>
      </c>
      <c r="L323">
        <v>7</v>
      </c>
      <c r="M323">
        <v>94</v>
      </c>
      <c r="N323">
        <v>101</v>
      </c>
    </row>
    <row r="324" spans="1:14" x14ac:dyDescent="0.3">
      <c r="A324">
        <v>942</v>
      </c>
      <c r="B324" s="1">
        <v>40585</v>
      </c>
      <c r="C324">
        <v>2</v>
      </c>
      <c r="D324">
        <v>20</v>
      </c>
      <c r="E324" t="b">
        <v>0</v>
      </c>
      <c r="F324">
        <v>5</v>
      </c>
      <c r="G324">
        <v>1</v>
      </c>
      <c r="H324">
        <v>0.22</v>
      </c>
      <c r="I324">
        <v>0.2273</v>
      </c>
      <c r="J324">
        <v>0.55000000000000004</v>
      </c>
      <c r="K324">
        <v>0.1343</v>
      </c>
      <c r="L324">
        <v>2</v>
      </c>
      <c r="M324">
        <v>61</v>
      </c>
      <c r="N324">
        <v>63</v>
      </c>
    </row>
    <row r="325" spans="1:14" x14ac:dyDescent="0.3">
      <c r="A325">
        <v>943</v>
      </c>
      <c r="B325" s="1">
        <v>40585</v>
      </c>
      <c r="C325">
        <v>2</v>
      </c>
      <c r="D325">
        <v>21</v>
      </c>
      <c r="E325" t="b">
        <v>0</v>
      </c>
      <c r="F325">
        <v>5</v>
      </c>
      <c r="G325">
        <v>1</v>
      </c>
      <c r="H325">
        <v>0.2</v>
      </c>
      <c r="I325">
        <v>0.21210000000000001</v>
      </c>
      <c r="J325">
        <v>0.59</v>
      </c>
      <c r="K325">
        <v>0.1343</v>
      </c>
      <c r="L325">
        <v>1</v>
      </c>
      <c r="M325">
        <v>46</v>
      </c>
      <c r="N325">
        <v>47</v>
      </c>
    </row>
    <row r="326" spans="1:14" x14ac:dyDescent="0.3">
      <c r="A326">
        <v>944</v>
      </c>
      <c r="B326" s="1">
        <v>40585</v>
      </c>
      <c r="C326">
        <v>2</v>
      </c>
      <c r="D326">
        <v>22</v>
      </c>
      <c r="E326" t="b">
        <v>0</v>
      </c>
      <c r="F326">
        <v>5</v>
      </c>
      <c r="G326">
        <v>1</v>
      </c>
      <c r="H326">
        <v>0.2</v>
      </c>
      <c r="I326">
        <v>0.2273</v>
      </c>
      <c r="J326">
        <v>0.64</v>
      </c>
      <c r="K326">
        <v>8.9599999999999999E-2</v>
      </c>
      <c r="L326">
        <v>2</v>
      </c>
      <c r="M326">
        <v>41</v>
      </c>
      <c r="N326">
        <v>43</v>
      </c>
    </row>
    <row r="327" spans="1:14" x14ac:dyDescent="0.3">
      <c r="A327">
        <v>945</v>
      </c>
      <c r="B327" s="1">
        <v>40585</v>
      </c>
      <c r="C327">
        <v>2</v>
      </c>
      <c r="D327">
        <v>23</v>
      </c>
      <c r="E327" t="b">
        <v>0</v>
      </c>
      <c r="F327">
        <v>5</v>
      </c>
      <c r="G327">
        <v>1</v>
      </c>
      <c r="H327">
        <v>0.18</v>
      </c>
      <c r="I327">
        <v>0.2424</v>
      </c>
      <c r="J327">
        <v>0.69</v>
      </c>
      <c r="K327">
        <v>0</v>
      </c>
      <c r="L327">
        <v>5</v>
      </c>
      <c r="M327">
        <v>48</v>
      </c>
      <c r="N327">
        <v>53</v>
      </c>
    </row>
    <row r="328" spans="1:14" x14ac:dyDescent="0.3">
      <c r="A328">
        <v>946</v>
      </c>
      <c r="B328" s="1">
        <v>40586</v>
      </c>
      <c r="C328">
        <v>2</v>
      </c>
      <c r="D328">
        <v>0</v>
      </c>
      <c r="E328" t="b">
        <v>0</v>
      </c>
      <c r="F328">
        <v>6</v>
      </c>
      <c r="G328">
        <v>1</v>
      </c>
      <c r="H328">
        <v>0.16</v>
      </c>
      <c r="I328">
        <v>0.19700000000000001</v>
      </c>
      <c r="J328">
        <v>0.69</v>
      </c>
      <c r="K328">
        <v>8.9599999999999999E-2</v>
      </c>
      <c r="L328">
        <v>3</v>
      </c>
      <c r="M328">
        <v>27</v>
      </c>
      <c r="N328">
        <v>30</v>
      </c>
    </row>
    <row r="329" spans="1:14" x14ac:dyDescent="0.3">
      <c r="A329">
        <v>947</v>
      </c>
      <c r="B329" s="1">
        <v>40586</v>
      </c>
      <c r="C329">
        <v>2</v>
      </c>
      <c r="D329">
        <v>1</v>
      </c>
      <c r="E329" t="b">
        <v>0</v>
      </c>
      <c r="F329">
        <v>6</v>
      </c>
      <c r="G329">
        <v>1</v>
      </c>
      <c r="H329">
        <v>0.14000000000000001</v>
      </c>
      <c r="I329">
        <v>0.21210000000000001</v>
      </c>
      <c r="J329">
        <v>0.86</v>
      </c>
      <c r="K329">
        <v>0</v>
      </c>
      <c r="L329">
        <v>2</v>
      </c>
      <c r="M329">
        <v>22</v>
      </c>
      <c r="N329">
        <v>24</v>
      </c>
    </row>
    <row r="330" spans="1:14" x14ac:dyDescent="0.3">
      <c r="A330">
        <v>948</v>
      </c>
      <c r="B330" s="1">
        <v>40586</v>
      </c>
      <c r="C330">
        <v>2</v>
      </c>
      <c r="D330">
        <v>2</v>
      </c>
      <c r="E330" t="b">
        <v>0</v>
      </c>
      <c r="F330">
        <v>6</v>
      </c>
      <c r="G330">
        <v>1</v>
      </c>
      <c r="H330">
        <v>0.14000000000000001</v>
      </c>
      <c r="I330">
        <v>0.21210000000000001</v>
      </c>
      <c r="J330">
        <v>0.8</v>
      </c>
      <c r="K330">
        <v>0</v>
      </c>
      <c r="L330">
        <v>2</v>
      </c>
      <c r="M330">
        <v>13</v>
      </c>
      <c r="N330">
        <v>15</v>
      </c>
    </row>
    <row r="331" spans="1:14" x14ac:dyDescent="0.3">
      <c r="A331">
        <v>949</v>
      </c>
      <c r="B331" s="1">
        <v>40586</v>
      </c>
      <c r="C331">
        <v>2</v>
      </c>
      <c r="D331">
        <v>3</v>
      </c>
      <c r="E331" t="b">
        <v>0</v>
      </c>
      <c r="F331">
        <v>6</v>
      </c>
      <c r="G331">
        <v>1</v>
      </c>
      <c r="H331">
        <v>0.12</v>
      </c>
      <c r="I331">
        <v>0.19700000000000001</v>
      </c>
      <c r="J331">
        <v>0.8</v>
      </c>
      <c r="K331">
        <v>0</v>
      </c>
      <c r="L331">
        <v>3</v>
      </c>
      <c r="M331">
        <v>7</v>
      </c>
      <c r="N331">
        <v>10</v>
      </c>
    </row>
    <row r="332" spans="1:14" x14ac:dyDescent="0.3">
      <c r="A332">
        <v>950</v>
      </c>
      <c r="B332" s="1">
        <v>40586</v>
      </c>
      <c r="C332">
        <v>2</v>
      </c>
      <c r="D332">
        <v>4</v>
      </c>
      <c r="E332" t="b">
        <v>0</v>
      </c>
      <c r="F332">
        <v>6</v>
      </c>
      <c r="G332">
        <v>1</v>
      </c>
      <c r="H332">
        <v>0.12</v>
      </c>
      <c r="I332">
        <v>0.16669999999999999</v>
      </c>
      <c r="J332">
        <v>0.74</v>
      </c>
      <c r="K332">
        <v>8.9599999999999999E-2</v>
      </c>
      <c r="L332">
        <v>0</v>
      </c>
      <c r="M332">
        <v>4</v>
      </c>
      <c r="N332">
        <v>4</v>
      </c>
    </row>
    <row r="333" spans="1:14" x14ac:dyDescent="0.3">
      <c r="A333">
        <v>951</v>
      </c>
      <c r="B333" s="1">
        <v>40586</v>
      </c>
      <c r="C333">
        <v>2</v>
      </c>
      <c r="D333">
        <v>5</v>
      </c>
      <c r="E333" t="b">
        <v>0</v>
      </c>
      <c r="F333">
        <v>6</v>
      </c>
      <c r="G333">
        <v>1</v>
      </c>
      <c r="H333">
        <v>0.12</v>
      </c>
      <c r="I333">
        <v>0.16669999999999999</v>
      </c>
      <c r="J333">
        <v>0.74</v>
      </c>
      <c r="K333">
        <v>8.9599999999999999E-2</v>
      </c>
      <c r="L333">
        <v>0</v>
      </c>
      <c r="M333">
        <v>1</v>
      </c>
      <c r="N333">
        <v>1</v>
      </c>
    </row>
    <row r="334" spans="1:14" x14ac:dyDescent="0.3">
      <c r="A334">
        <v>952</v>
      </c>
      <c r="B334" s="1">
        <v>40586</v>
      </c>
      <c r="C334">
        <v>2</v>
      </c>
      <c r="D334">
        <v>6</v>
      </c>
      <c r="E334" t="b">
        <v>0</v>
      </c>
      <c r="F334">
        <v>6</v>
      </c>
      <c r="G334">
        <v>1</v>
      </c>
      <c r="H334">
        <v>0.12</v>
      </c>
      <c r="I334">
        <v>0.13639999999999999</v>
      </c>
      <c r="J334">
        <v>0.93</v>
      </c>
      <c r="K334">
        <v>0.19400000000000001</v>
      </c>
      <c r="L334">
        <v>1</v>
      </c>
      <c r="M334">
        <v>1</v>
      </c>
      <c r="N334">
        <v>2</v>
      </c>
    </row>
    <row r="335" spans="1:14" x14ac:dyDescent="0.3">
      <c r="A335">
        <v>953</v>
      </c>
      <c r="B335" s="1">
        <v>40586</v>
      </c>
      <c r="C335">
        <v>2</v>
      </c>
      <c r="D335">
        <v>7</v>
      </c>
      <c r="E335" t="b">
        <v>0</v>
      </c>
      <c r="F335">
        <v>6</v>
      </c>
      <c r="G335">
        <v>1</v>
      </c>
      <c r="H335">
        <v>0.12</v>
      </c>
      <c r="I335">
        <v>0.1515</v>
      </c>
      <c r="J335">
        <v>0.8</v>
      </c>
      <c r="K335">
        <v>0.1045</v>
      </c>
      <c r="L335">
        <v>2</v>
      </c>
      <c r="M335">
        <v>9</v>
      </c>
      <c r="N335">
        <v>11</v>
      </c>
    </row>
    <row r="336" spans="1:14" x14ac:dyDescent="0.3">
      <c r="A336">
        <v>954</v>
      </c>
      <c r="B336" s="1">
        <v>40586</v>
      </c>
      <c r="C336">
        <v>2</v>
      </c>
      <c r="D336">
        <v>8</v>
      </c>
      <c r="E336" t="b">
        <v>0</v>
      </c>
      <c r="F336">
        <v>6</v>
      </c>
      <c r="G336">
        <v>1</v>
      </c>
      <c r="H336">
        <v>0.14000000000000001</v>
      </c>
      <c r="I336">
        <v>0.1515</v>
      </c>
      <c r="J336">
        <v>0.86</v>
      </c>
      <c r="K336">
        <v>0.1343</v>
      </c>
      <c r="L336">
        <v>2</v>
      </c>
      <c r="M336">
        <v>28</v>
      </c>
      <c r="N336">
        <v>30</v>
      </c>
    </row>
    <row r="337" spans="1:14" x14ac:dyDescent="0.3">
      <c r="A337">
        <v>955</v>
      </c>
      <c r="B337" s="1">
        <v>40586</v>
      </c>
      <c r="C337">
        <v>2</v>
      </c>
      <c r="D337">
        <v>9</v>
      </c>
      <c r="E337" t="b">
        <v>0</v>
      </c>
      <c r="F337">
        <v>6</v>
      </c>
      <c r="G337">
        <v>1</v>
      </c>
      <c r="H337">
        <v>0.16</v>
      </c>
      <c r="I337">
        <v>0.18179999999999999</v>
      </c>
      <c r="J337">
        <v>0.64</v>
      </c>
      <c r="K337">
        <v>0.1343</v>
      </c>
      <c r="L337">
        <v>5</v>
      </c>
      <c r="M337">
        <v>38</v>
      </c>
      <c r="N337">
        <v>43</v>
      </c>
    </row>
    <row r="338" spans="1:14" x14ac:dyDescent="0.3">
      <c r="A338">
        <v>956</v>
      </c>
      <c r="B338" s="1">
        <v>40586</v>
      </c>
      <c r="C338">
        <v>2</v>
      </c>
      <c r="D338">
        <v>10</v>
      </c>
      <c r="E338" t="b">
        <v>0</v>
      </c>
      <c r="F338">
        <v>6</v>
      </c>
      <c r="G338">
        <v>1</v>
      </c>
      <c r="H338">
        <v>0.22</v>
      </c>
      <c r="I338">
        <v>0.21210000000000001</v>
      </c>
      <c r="J338">
        <v>0.41</v>
      </c>
      <c r="K338">
        <v>0.25369999999999998</v>
      </c>
      <c r="L338">
        <v>13</v>
      </c>
      <c r="M338">
        <v>71</v>
      </c>
      <c r="N338">
        <v>84</v>
      </c>
    </row>
    <row r="339" spans="1:14" x14ac:dyDescent="0.3">
      <c r="A339">
        <v>957</v>
      </c>
      <c r="B339" s="1">
        <v>40586</v>
      </c>
      <c r="C339">
        <v>2</v>
      </c>
      <c r="D339">
        <v>11</v>
      </c>
      <c r="E339" t="b">
        <v>0</v>
      </c>
      <c r="F339">
        <v>6</v>
      </c>
      <c r="G339">
        <v>1</v>
      </c>
      <c r="H339">
        <v>0.3</v>
      </c>
      <c r="I339">
        <v>0.2727</v>
      </c>
      <c r="J339">
        <v>0.28000000000000003</v>
      </c>
      <c r="K339">
        <v>0.32840000000000003</v>
      </c>
      <c r="L339">
        <v>30</v>
      </c>
      <c r="M339">
        <v>84</v>
      </c>
      <c r="N339">
        <v>114</v>
      </c>
    </row>
    <row r="340" spans="1:14" x14ac:dyDescent="0.3">
      <c r="A340">
        <v>958</v>
      </c>
      <c r="B340" s="1">
        <v>40586</v>
      </c>
      <c r="C340">
        <v>2</v>
      </c>
      <c r="D340">
        <v>12</v>
      </c>
      <c r="E340" t="b">
        <v>0</v>
      </c>
      <c r="F340">
        <v>6</v>
      </c>
      <c r="G340">
        <v>1</v>
      </c>
      <c r="H340">
        <v>0.3</v>
      </c>
      <c r="I340">
        <v>0.2727</v>
      </c>
      <c r="J340">
        <v>0.39</v>
      </c>
      <c r="K340">
        <v>0.4627</v>
      </c>
      <c r="L340">
        <v>27</v>
      </c>
      <c r="M340">
        <v>93</v>
      </c>
      <c r="N340">
        <v>120</v>
      </c>
    </row>
    <row r="341" spans="1:14" x14ac:dyDescent="0.3">
      <c r="A341">
        <v>959</v>
      </c>
      <c r="B341" s="1">
        <v>40586</v>
      </c>
      <c r="C341">
        <v>2</v>
      </c>
      <c r="D341">
        <v>13</v>
      </c>
      <c r="E341" t="b">
        <v>0</v>
      </c>
      <c r="F341">
        <v>6</v>
      </c>
      <c r="G341">
        <v>1</v>
      </c>
      <c r="H341">
        <v>0.3</v>
      </c>
      <c r="I341">
        <v>0.2727</v>
      </c>
      <c r="J341">
        <v>0.39</v>
      </c>
      <c r="K341">
        <v>0.41789999999999999</v>
      </c>
      <c r="L341">
        <v>32</v>
      </c>
      <c r="M341">
        <v>103</v>
      </c>
      <c r="N341">
        <v>135</v>
      </c>
    </row>
    <row r="342" spans="1:14" x14ac:dyDescent="0.3">
      <c r="A342">
        <v>960</v>
      </c>
      <c r="B342" s="1">
        <v>40586</v>
      </c>
      <c r="C342">
        <v>2</v>
      </c>
      <c r="D342">
        <v>14</v>
      </c>
      <c r="E342" t="b">
        <v>0</v>
      </c>
      <c r="F342">
        <v>6</v>
      </c>
      <c r="G342">
        <v>1</v>
      </c>
      <c r="H342">
        <v>0.34</v>
      </c>
      <c r="I342">
        <v>0.31819999999999998</v>
      </c>
      <c r="J342">
        <v>0.31</v>
      </c>
      <c r="K342">
        <v>0.28360000000000002</v>
      </c>
      <c r="L342">
        <v>30</v>
      </c>
      <c r="M342">
        <v>90</v>
      </c>
      <c r="N342">
        <v>120</v>
      </c>
    </row>
    <row r="343" spans="1:14" x14ac:dyDescent="0.3">
      <c r="A343">
        <v>961</v>
      </c>
      <c r="B343" s="1">
        <v>40586</v>
      </c>
      <c r="C343">
        <v>2</v>
      </c>
      <c r="D343">
        <v>15</v>
      </c>
      <c r="E343" t="b">
        <v>0</v>
      </c>
      <c r="F343">
        <v>6</v>
      </c>
      <c r="G343">
        <v>1</v>
      </c>
      <c r="H343">
        <v>0.34</v>
      </c>
      <c r="I343">
        <v>0.30299999999999999</v>
      </c>
      <c r="J343">
        <v>0.28999999999999998</v>
      </c>
      <c r="K343">
        <v>0.41789999999999999</v>
      </c>
      <c r="L343">
        <v>47</v>
      </c>
      <c r="M343">
        <v>127</v>
      </c>
      <c r="N343">
        <v>174</v>
      </c>
    </row>
    <row r="344" spans="1:14" x14ac:dyDescent="0.3">
      <c r="A344">
        <v>962</v>
      </c>
      <c r="B344" s="1">
        <v>40586</v>
      </c>
      <c r="C344">
        <v>2</v>
      </c>
      <c r="D344">
        <v>16</v>
      </c>
      <c r="E344" t="b">
        <v>0</v>
      </c>
      <c r="F344">
        <v>6</v>
      </c>
      <c r="G344">
        <v>1</v>
      </c>
      <c r="H344">
        <v>0.34</v>
      </c>
      <c r="I344">
        <v>0.30299999999999999</v>
      </c>
      <c r="J344">
        <v>0.28999999999999998</v>
      </c>
      <c r="K344">
        <v>0.41789999999999999</v>
      </c>
      <c r="L344">
        <v>42</v>
      </c>
      <c r="M344">
        <v>103</v>
      </c>
      <c r="N344">
        <v>145</v>
      </c>
    </row>
    <row r="345" spans="1:14" x14ac:dyDescent="0.3">
      <c r="A345">
        <v>963</v>
      </c>
      <c r="B345" s="1">
        <v>40586</v>
      </c>
      <c r="C345">
        <v>2</v>
      </c>
      <c r="D345">
        <v>17</v>
      </c>
      <c r="E345" t="b">
        <v>0</v>
      </c>
      <c r="F345">
        <v>6</v>
      </c>
      <c r="G345">
        <v>1</v>
      </c>
      <c r="H345">
        <v>0.32</v>
      </c>
      <c r="I345">
        <v>0.28789999999999999</v>
      </c>
      <c r="J345">
        <v>0.31</v>
      </c>
      <c r="K345">
        <v>0.52239999999999998</v>
      </c>
      <c r="L345">
        <v>24</v>
      </c>
      <c r="M345">
        <v>113</v>
      </c>
      <c r="N345">
        <v>137</v>
      </c>
    </row>
    <row r="346" spans="1:14" x14ac:dyDescent="0.3">
      <c r="A346">
        <v>964</v>
      </c>
      <c r="B346" s="1">
        <v>40586</v>
      </c>
      <c r="C346">
        <v>2</v>
      </c>
      <c r="D346">
        <v>18</v>
      </c>
      <c r="E346" t="b">
        <v>0</v>
      </c>
      <c r="F346">
        <v>6</v>
      </c>
      <c r="G346">
        <v>1</v>
      </c>
      <c r="H346">
        <v>0.28000000000000003</v>
      </c>
      <c r="I346">
        <v>0.2576</v>
      </c>
      <c r="J346">
        <v>0.38</v>
      </c>
      <c r="K346">
        <v>0.32840000000000003</v>
      </c>
      <c r="L346">
        <v>4</v>
      </c>
      <c r="M346">
        <v>60</v>
      </c>
      <c r="N346">
        <v>64</v>
      </c>
    </row>
    <row r="347" spans="1:14" x14ac:dyDescent="0.3">
      <c r="A347">
        <v>965</v>
      </c>
      <c r="B347" s="1">
        <v>40586</v>
      </c>
      <c r="C347">
        <v>2</v>
      </c>
      <c r="D347">
        <v>19</v>
      </c>
      <c r="E347" t="b">
        <v>0</v>
      </c>
      <c r="F347">
        <v>6</v>
      </c>
      <c r="G347">
        <v>1</v>
      </c>
      <c r="H347">
        <v>0.28000000000000003</v>
      </c>
      <c r="I347">
        <v>0.2727</v>
      </c>
      <c r="J347">
        <v>0.38</v>
      </c>
      <c r="K347">
        <v>0.16420000000000001</v>
      </c>
      <c r="L347">
        <v>2</v>
      </c>
      <c r="M347">
        <v>39</v>
      </c>
      <c r="N347">
        <v>41</v>
      </c>
    </row>
    <row r="348" spans="1:14" x14ac:dyDescent="0.3">
      <c r="A348">
        <v>966</v>
      </c>
      <c r="B348" s="1">
        <v>40586</v>
      </c>
      <c r="C348">
        <v>2</v>
      </c>
      <c r="D348">
        <v>20</v>
      </c>
      <c r="E348" t="b">
        <v>0</v>
      </c>
      <c r="F348">
        <v>6</v>
      </c>
      <c r="G348">
        <v>1</v>
      </c>
      <c r="H348">
        <v>0.26</v>
      </c>
      <c r="I348">
        <v>0.2576</v>
      </c>
      <c r="J348">
        <v>0.41</v>
      </c>
      <c r="K348">
        <v>0.22389999999999999</v>
      </c>
      <c r="L348">
        <v>1</v>
      </c>
      <c r="M348">
        <v>39</v>
      </c>
      <c r="N348">
        <v>40</v>
      </c>
    </row>
    <row r="349" spans="1:14" x14ac:dyDescent="0.3">
      <c r="A349">
        <v>967</v>
      </c>
      <c r="B349" s="1">
        <v>40586</v>
      </c>
      <c r="C349">
        <v>2</v>
      </c>
      <c r="D349">
        <v>21</v>
      </c>
      <c r="E349" t="b">
        <v>0</v>
      </c>
      <c r="F349">
        <v>6</v>
      </c>
      <c r="G349">
        <v>1</v>
      </c>
      <c r="H349">
        <v>0.26</v>
      </c>
      <c r="I349">
        <v>0.30299999999999999</v>
      </c>
      <c r="J349">
        <v>0.41</v>
      </c>
      <c r="K349">
        <v>0</v>
      </c>
      <c r="L349">
        <v>9</v>
      </c>
      <c r="M349">
        <v>42</v>
      </c>
      <c r="N349">
        <v>51</v>
      </c>
    </row>
    <row r="350" spans="1:14" x14ac:dyDescent="0.3">
      <c r="A350">
        <v>968</v>
      </c>
      <c r="B350" s="1">
        <v>40586</v>
      </c>
      <c r="C350">
        <v>2</v>
      </c>
      <c r="D350">
        <v>22</v>
      </c>
      <c r="E350" t="b">
        <v>0</v>
      </c>
      <c r="F350">
        <v>6</v>
      </c>
      <c r="G350">
        <v>1</v>
      </c>
      <c r="H350">
        <v>0.24</v>
      </c>
      <c r="I350">
        <v>0.2576</v>
      </c>
      <c r="J350">
        <v>0.44</v>
      </c>
      <c r="K350">
        <v>8.9599999999999999E-2</v>
      </c>
      <c r="L350">
        <v>6</v>
      </c>
      <c r="M350">
        <v>39</v>
      </c>
      <c r="N350">
        <v>45</v>
      </c>
    </row>
    <row r="351" spans="1:14" x14ac:dyDescent="0.3">
      <c r="A351">
        <v>969</v>
      </c>
      <c r="B351" s="1">
        <v>40586</v>
      </c>
      <c r="C351">
        <v>2</v>
      </c>
      <c r="D351">
        <v>23</v>
      </c>
      <c r="E351" t="b">
        <v>0</v>
      </c>
      <c r="F351">
        <v>6</v>
      </c>
      <c r="G351">
        <v>1</v>
      </c>
      <c r="H351">
        <v>0.22</v>
      </c>
      <c r="I351">
        <v>0.2273</v>
      </c>
      <c r="J351">
        <v>0.51</v>
      </c>
      <c r="K351">
        <v>0.1343</v>
      </c>
      <c r="L351">
        <v>1</v>
      </c>
      <c r="M351">
        <v>31</v>
      </c>
      <c r="N351">
        <v>32</v>
      </c>
    </row>
    <row r="352" spans="1:14" x14ac:dyDescent="0.3">
      <c r="A352">
        <v>970</v>
      </c>
      <c r="B352" s="1">
        <v>40587</v>
      </c>
      <c r="C352">
        <v>2</v>
      </c>
      <c r="D352">
        <v>0</v>
      </c>
      <c r="E352" t="b">
        <v>0</v>
      </c>
      <c r="F352">
        <v>0</v>
      </c>
      <c r="G352">
        <v>1</v>
      </c>
      <c r="H352">
        <v>0.2</v>
      </c>
      <c r="I352">
        <v>0.2273</v>
      </c>
      <c r="J352">
        <v>0.64</v>
      </c>
      <c r="K352">
        <v>0.1045</v>
      </c>
      <c r="L352">
        <v>5</v>
      </c>
      <c r="M352">
        <v>34</v>
      </c>
      <c r="N352">
        <v>39</v>
      </c>
    </row>
    <row r="353" spans="1:14" x14ac:dyDescent="0.3">
      <c r="A353">
        <v>971</v>
      </c>
      <c r="B353" s="1">
        <v>40587</v>
      </c>
      <c r="C353">
        <v>2</v>
      </c>
      <c r="D353">
        <v>1</v>
      </c>
      <c r="E353" t="b">
        <v>0</v>
      </c>
      <c r="F353">
        <v>0</v>
      </c>
      <c r="G353">
        <v>1</v>
      </c>
      <c r="H353">
        <v>0.2</v>
      </c>
      <c r="I353">
        <v>0.2273</v>
      </c>
      <c r="J353">
        <v>0.59</v>
      </c>
      <c r="K353">
        <v>8.9599999999999999E-2</v>
      </c>
      <c r="L353">
        <v>1</v>
      </c>
      <c r="M353">
        <v>23</v>
      </c>
      <c r="N353">
        <v>24</v>
      </c>
    </row>
    <row r="354" spans="1:14" x14ac:dyDescent="0.3">
      <c r="A354">
        <v>972</v>
      </c>
      <c r="B354" s="1">
        <v>40587</v>
      </c>
      <c r="C354">
        <v>2</v>
      </c>
      <c r="D354">
        <v>2</v>
      </c>
      <c r="E354" t="b">
        <v>0</v>
      </c>
      <c r="F354">
        <v>0</v>
      </c>
      <c r="G354">
        <v>2</v>
      </c>
      <c r="H354">
        <v>0.2</v>
      </c>
      <c r="I354">
        <v>0.2273</v>
      </c>
      <c r="J354">
        <v>0.75</v>
      </c>
      <c r="K354">
        <v>8.9599999999999999E-2</v>
      </c>
      <c r="L354">
        <v>1</v>
      </c>
      <c r="M354">
        <v>19</v>
      </c>
      <c r="N354">
        <v>20</v>
      </c>
    </row>
    <row r="355" spans="1:14" x14ac:dyDescent="0.3">
      <c r="A355">
        <v>973</v>
      </c>
      <c r="B355" s="1">
        <v>40587</v>
      </c>
      <c r="C355">
        <v>2</v>
      </c>
      <c r="D355">
        <v>3</v>
      </c>
      <c r="E355" t="b">
        <v>0</v>
      </c>
      <c r="F355">
        <v>0</v>
      </c>
      <c r="G355">
        <v>2</v>
      </c>
      <c r="H355">
        <v>0.2</v>
      </c>
      <c r="I355">
        <v>0.2273</v>
      </c>
      <c r="J355">
        <v>0.69</v>
      </c>
      <c r="K355">
        <v>0.1045</v>
      </c>
      <c r="L355">
        <v>4</v>
      </c>
      <c r="M355">
        <v>8</v>
      </c>
      <c r="N355">
        <v>12</v>
      </c>
    </row>
    <row r="356" spans="1:14" x14ac:dyDescent="0.3">
      <c r="A356">
        <v>974</v>
      </c>
      <c r="B356" s="1">
        <v>40587</v>
      </c>
      <c r="C356">
        <v>2</v>
      </c>
      <c r="D356">
        <v>4</v>
      </c>
      <c r="E356" t="b">
        <v>0</v>
      </c>
      <c r="F356">
        <v>0</v>
      </c>
      <c r="G356">
        <v>2</v>
      </c>
      <c r="H356">
        <v>0.2</v>
      </c>
      <c r="I356">
        <v>0.21210000000000001</v>
      </c>
      <c r="J356">
        <v>0.69</v>
      </c>
      <c r="K356">
        <v>0.16420000000000001</v>
      </c>
      <c r="L356">
        <v>0</v>
      </c>
      <c r="M356">
        <v>2</v>
      </c>
      <c r="N356">
        <v>2</v>
      </c>
    </row>
    <row r="357" spans="1:14" x14ac:dyDescent="0.3">
      <c r="A357">
        <v>975</v>
      </c>
      <c r="B357" s="1">
        <v>40587</v>
      </c>
      <c r="C357">
        <v>2</v>
      </c>
      <c r="D357">
        <v>6</v>
      </c>
      <c r="E357" t="b">
        <v>0</v>
      </c>
      <c r="F357">
        <v>0</v>
      </c>
      <c r="G357">
        <v>2</v>
      </c>
      <c r="H357">
        <v>0.2</v>
      </c>
      <c r="I357">
        <v>0.21210000000000001</v>
      </c>
      <c r="J357">
        <v>0.69</v>
      </c>
      <c r="K357">
        <v>0.1343</v>
      </c>
      <c r="L357">
        <v>2</v>
      </c>
      <c r="M357">
        <v>3</v>
      </c>
      <c r="N357">
        <v>5</v>
      </c>
    </row>
    <row r="358" spans="1:14" x14ac:dyDescent="0.3">
      <c r="A358">
        <v>976</v>
      </c>
      <c r="B358" s="1">
        <v>40587</v>
      </c>
      <c r="C358">
        <v>2</v>
      </c>
      <c r="D358">
        <v>7</v>
      </c>
      <c r="E358" t="b">
        <v>0</v>
      </c>
      <c r="F358">
        <v>0</v>
      </c>
      <c r="G358">
        <v>2</v>
      </c>
      <c r="H358">
        <v>0.22</v>
      </c>
      <c r="I358">
        <v>0.2727</v>
      </c>
      <c r="J358">
        <v>0.55000000000000004</v>
      </c>
      <c r="K358">
        <v>0</v>
      </c>
      <c r="L358">
        <v>0</v>
      </c>
      <c r="M358">
        <v>3</v>
      </c>
      <c r="N358">
        <v>3</v>
      </c>
    </row>
    <row r="359" spans="1:14" x14ac:dyDescent="0.3">
      <c r="A359">
        <v>977</v>
      </c>
      <c r="B359" s="1">
        <v>40587</v>
      </c>
      <c r="C359">
        <v>2</v>
      </c>
      <c r="D359">
        <v>8</v>
      </c>
      <c r="E359" t="b">
        <v>0</v>
      </c>
      <c r="F359">
        <v>0</v>
      </c>
      <c r="G359">
        <v>2</v>
      </c>
      <c r="H359">
        <v>0.22</v>
      </c>
      <c r="I359">
        <v>0.2273</v>
      </c>
      <c r="J359">
        <v>0.64</v>
      </c>
      <c r="K359">
        <v>0.19400000000000001</v>
      </c>
      <c r="L359">
        <v>1</v>
      </c>
      <c r="M359">
        <v>11</v>
      </c>
      <c r="N359">
        <v>12</v>
      </c>
    </row>
    <row r="360" spans="1:14" x14ac:dyDescent="0.3">
      <c r="A360">
        <v>978</v>
      </c>
      <c r="B360" s="1">
        <v>40587</v>
      </c>
      <c r="C360">
        <v>2</v>
      </c>
      <c r="D360">
        <v>9</v>
      </c>
      <c r="E360" t="b">
        <v>0</v>
      </c>
      <c r="F360">
        <v>0</v>
      </c>
      <c r="G360">
        <v>2</v>
      </c>
      <c r="H360">
        <v>0.24</v>
      </c>
      <c r="I360">
        <v>0.2273</v>
      </c>
      <c r="J360">
        <v>0.6</v>
      </c>
      <c r="K360">
        <v>0.22389999999999999</v>
      </c>
      <c r="L360">
        <v>12</v>
      </c>
      <c r="M360">
        <v>35</v>
      </c>
      <c r="N360">
        <v>47</v>
      </c>
    </row>
    <row r="361" spans="1:14" x14ac:dyDescent="0.3">
      <c r="A361">
        <v>979</v>
      </c>
      <c r="B361" s="1">
        <v>40587</v>
      </c>
      <c r="C361">
        <v>2</v>
      </c>
      <c r="D361">
        <v>10</v>
      </c>
      <c r="E361" t="b">
        <v>0</v>
      </c>
      <c r="F361">
        <v>0</v>
      </c>
      <c r="G361">
        <v>1</v>
      </c>
      <c r="H361">
        <v>0.3</v>
      </c>
      <c r="I361">
        <v>0.2727</v>
      </c>
      <c r="J361">
        <v>0.45</v>
      </c>
      <c r="K361">
        <v>0.32840000000000003</v>
      </c>
      <c r="L361">
        <v>19</v>
      </c>
      <c r="M361">
        <v>86</v>
      </c>
      <c r="N361">
        <v>105</v>
      </c>
    </row>
    <row r="362" spans="1:14" x14ac:dyDescent="0.3">
      <c r="A362">
        <v>980</v>
      </c>
      <c r="B362" s="1">
        <v>40587</v>
      </c>
      <c r="C362">
        <v>2</v>
      </c>
      <c r="D362">
        <v>11</v>
      </c>
      <c r="E362" t="b">
        <v>0</v>
      </c>
      <c r="F362">
        <v>0</v>
      </c>
      <c r="G362">
        <v>1</v>
      </c>
      <c r="H362">
        <v>0.32</v>
      </c>
      <c r="I362">
        <v>0.28789999999999999</v>
      </c>
      <c r="J362">
        <v>0.39</v>
      </c>
      <c r="K362">
        <v>0.44779999999999998</v>
      </c>
      <c r="L362">
        <v>26</v>
      </c>
      <c r="M362">
        <v>86</v>
      </c>
      <c r="N362">
        <v>112</v>
      </c>
    </row>
    <row r="363" spans="1:14" x14ac:dyDescent="0.3">
      <c r="A363">
        <v>981</v>
      </c>
      <c r="B363" s="1">
        <v>40587</v>
      </c>
      <c r="C363">
        <v>2</v>
      </c>
      <c r="D363">
        <v>12</v>
      </c>
      <c r="E363" t="b">
        <v>0</v>
      </c>
      <c r="F363">
        <v>0</v>
      </c>
      <c r="G363">
        <v>1</v>
      </c>
      <c r="H363">
        <v>0.36</v>
      </c>
      <c r="I363">
        <v>0.31819999999999998</v>
      </c>
      <c r="J363">
        <v>0.32</v>
      </c>
      <c r="K363">
        <v>0.4627</v>
      </c>
      <c r="L363">
        <v>58</v>
      </c>
      <c r="M363">
        <v>94</v>
      </c>
      <c r="N363">
        <v>152</v>
      </c>
    </row>
    <row r="364" spans="1:14" x14ac:dyDescent="0.3">
      <c r="A364">
        <v>982</v>
      </c>
      <c r="B364" s="1">
        <v>40587</v>
      </c>
      <c r="C364">
        <v>2</v>
      </c>
      <c r="D364">
        <v>13</v>
      </c>
      <c r="E364" t="b">
        <v>0</v>
      </c>
      <c r="F364">
        <v>0</v>
      </c>
      <c r="G364">
        <v>1</v>
      </c>
      <c r="H364">
        <v>0.38</v>
      </c>
      <c r="I364">
        <v>0.39389999999999997</v>
      </c>
      <c r="J364">
        <v>0.28999999999999998</v>
      </c>
      <c r="K364">
        <v>0.35820000000000002</v>
      </c>
      <c r="L364">
        <v>62</v>
      </c>
      <c r="M364">
        <v>92</v>
      </c>
      <c r="N364">
        <v>154</v>
      </c>
    </row>
    <row r="365" spans="1:14" x14ac:dyDescent="0.3">
      <c r="A365">
        <v>983</v>
      </c>
      <c r="B365" s="1">
        <v>40587</v>
      </c>
      <c r="C365">
        <v>2</v>
      </c>
      <c r="D365">
        <v>14</v>
      </c>
      <c r="E365" t="b">
        <v>0</v>
      </c>
      <c r="F365">
        <v>0</v>
      </c>
      <c r="G365">
        <v>2</v>
      </c>
      <c r="H365">
        <v>0.4</v>
      </c>
      <c r="I365">
        <v>0.40910000000000002</v>
      </c>
      <c r="J365">
        <v>0.3</v>
      </c>
      <c r="K365">
        <v>0.41789999999999999</v>
      </c>
      <c r="L365">
        <v>51</v>
      </c>
      <c r="M365">
        <v>110</v>
      </c>
      <c r="N365">
        <v>161</v>
      </c>
    </row>
    <row r="366" spans="1:14" x14ac:dyDescent="0.3">
      <c r="A366">
        <v>984</v>
      </c>
      <c r="B366" s="1">
        <v>40587</v>
      </c>
      <c r="C366">
        <v>2</v>
      </c>
      <c r="D366">
        <v>15</v>
      </c>
      <c r="E366" t="b">
        <v>0</v>
      </c>
      <c r="F366">
        <v>0</v>
      </c>
      <c r="G366">
        <v>2</v>
      </c>
      <c r="H366">
        <v>0.4</v>
      </c>
      <c r="I366">
        <v>0.40910000000000002</v>
      </c>
      <c r="J366">
        <v>0.3</v>
      </c>
      <c r="K366">
        <v>0.29849999999999999</v>
      </c>
      <c r="L366">
        <v>40</v>
      </c>
      <c r="M366">
        <v>122</v>
      </c>
      <c r="N366">
        <v>162</v>
      </c>
    </row>
    <row r="367" spans="1:14" x14ac:dyDescent="0.3">
      <c r="A367">
        <v>985</v>
      </c>
      <c r="B367" s="1">
        <v>40587</v>
      </c>
      <c r="C367">
        <v>2</v>
      </c>
      <c r="D367">
        <v>16</v>
      </c>
      <c r="E367" t="b">
        <v>0</v>
      </c>
      <c r="F367">
        <v>0</v>
      </c>
      <c r="G367">
        <v>2</v>
      </c>
      <c r="H367">
        <v>0.42</v>
      </c>
      <c r="I367">
        <v>0.42420000000000002</v>
      </c>
      <c r="J367">
        <v>0.28000000000000003</v>
      </c>
      <c r="K367">
        <v>0.32840000000000003</v>
      </c>
      <c r="L367">
        <v>28</v>
      </c>
      <c r="M367">
        <v>106</v>
      </c>
      <c r="N367">
        <v>134</v>
      </c>
    </row>
    <row r="368" spans="1:14" x14ac:dyDescent="0.3">
      <c r="A368">
        <v>986</v>
      </c>
      <c r="B368" s="1">
        <v>40587</v>
      </c>
      <c r="C368">
        <v>2</v>
      </c>
      <c r="D368">
        <v>17</v>
      </c>
      <c r="E368" t="b">
        <v>0</v>
      </c>
      <c r="F368">
        <v>0</v>
      </c>
      <c r="G368">
        <v>1</v>
      </c>
      <c r="H368">
        <v>0.42</v>
      </c>
      <c r="I368">
        <v>0.42420000000000002</v>
      </c>
      <c r="J368">
        <v>0.28000000000000003</v>
      </c>
      <c r="K368">
        <v>0.32840000000000003</v>
      </c>
      <c r="L368">
        <v>30</v>
      </c>
      <c r="M368">
        <v>95</v>
      </c>
      <c r="N368">
        <v>125</v>
      </c>
    </row>
    <row r="369" spans="1:14" x14ac:dyDescent="0.3">
      <c r="A369">
        <v>987</v>
      </c>
      <c r="B369" s="1">
        <v>40587</v>
      </c>
      <c r="C369">
        <v>2</v>
      </c>
      <c r="D369">
        <v>18</v>
      </c>
      <c r="E369" t="b">
        <v>0</v>
      </c>
      <c r="F369">
        <v>0</v>
      </c>
      <c r="G369">
        <v>1</v>
      </c>
      <c r="H369">
        <v>0.4</v>
      </c>
      <c r="I369">
        <v>0.40910000000000002</v>
      </c>
      <c r="J369">
        <v>0.32</v>
      </c>
      <c r="K369">
        <v>0.29849999999999999</v>
      </c>
      <c r="L369">
        <v>17</v>
      </c>
      <c r="M369">
        <v>78</v>
      </c>
      <c r="N369">
        <v>95</v>
      </c>
    </row>
    <row r="370" spans="1:14" x14ac:dyDescent="0.3">
      <c r="A370">
        <v>988</v>
      </c>
      <c r="B370" s="1">
        <v>40587</v>
      </c>
      <c r="C370">
        <v>2</v>
      </c>
      <c r="D370">
        <v>19</v>
      </c>
      <c r="E370" t="b">
        <v>0</v>
      </c>
      <c r="F370">
        <v>0</v>
      </c>
      <c r="G370">
        <v>1</v>
      </c>
      <c r="H370">
        <v>0.4</v>
      </c>
      <c r="I370">
        <v>0.40910000000000002</v>
      </c>
      <c r="J370">
        <v>0.35</v>
      </c>
      <c r="K370">
        <v>0.28360000000000002</v>
      </c>
      <c r="L370">
        <v>11</v>
      </c>
      <c r="M370">
        <v>50</v>
      </c>
      <c r="N370">
        <v>61</v>
      </c>
    </row>
    <row r="371" spans="1:14" x14ac:dyDescent="0.3">
      <c r="A371">
        <v>989</v>
      </c>
      <c r="B371" s="1">
        <v>40587</v>
      </c>
      <c r="C371">
        <v>2</v>
      </c>
      <c r="D371">
        <v>20</v>
      </c>
      <c r="E371" t="b">
        <v>0</v>
      </c>
      <c r="F371">
        <v>0</v>
      </c>
      <c r="G371">
        <v>1</v>
      </c>
      <c r="H371">
        <v>0.4</v>
      </c>
      <c r="I371">
        <v>0.40910000000000002</v>
      </c>
      <c r="J371">
        <v>0.35</v>
      </c>
      <c r="K371">
        <v>0.32840000000000003</v>
      </c>
      <c r="L371">
        <v>15</v>
      </c>
      <c r="M371">
        <v>32</v>
      </c>
      <c r="N371">
        <v>47</v>
      </c>
    </row>
    <row r="372" spans="1:14" x14ac:dyDescent="0.3">
      <c r="A372">
        <v>990</v>
      </c>
      <c r="B372" s="1">
        <v>40587</v>
      </c>
      <c r="C372">
        <v>2</v>
      </c>
      <c r="D372">
        <v>21</v>
      </c>
      <c r="E372" t="b">
        <v>0</v>
      </c>
      <c r="F372">
        <v>0</v>
      </c>
      <c r="G372">
        <v>1</v>
      </c>
      <c r="H372">
        <v>0.4</v>
      </c>
      <c r="I372">
        <v>0.40910000000000002</v>
      </c>
      <c r="J372">
        <v>0.35</v>
      </c>
      <c r="K372">
        <v>0.35820000000000002</v>
      </c>
      <c r="L372">
        <v>6</v>
      </c>
      <c r="M372">
        <v>45</v>
      </c>
      <c r="N372">
        <v>51</v>
      </c>
    </row>
    <row r="373" spans="1:14" x14ac:dyDescent="0.3">
      <c r="A373">
        <v>991</v>
      </c>
      <c r="B373" s="1">
        <v>40587</v>
      </c>
      <c r="C373">
        <v>2</v>
      </c>
      <c r="D373">
        <v>22</v>
      </c>
      <c r="E373" t="b">
        <v>0</v>
      </c>
      <c r="F373">
        <v>0</v>
      </c>
      <c r="G373">
        <v>1</v>
      </c>
      <c r="H373">
        <v>0.4</v>
      </c>
      <c r="I373">
        <v>0.40910000000000002</v>
      </c>
      <c r="J373">
        <v>0.35</v>
      </c>
      <c r="K373">
        <v>0.29849999999999999</v>
      </c>
      <c r="L373">
        <v>5</v>
      </c>
      <c r="M373">
        <v>31</v>
      </c>
      <c r="N373">
        <v>36</v>
      </c>
    </row>
    <row r="374" spans="1:14" x14ac:dyDescent="0.3">
      <c r="A374">
        <v>992</v>
      </c>
      <c r="B374" s="1">
        <v>40587</v>
      </c>
      <c r="C374">
        <v>2</v>
      </c>
      <c r="D374">
        <v>23</v>
      </c>
      <c r="E374" t="b">
        <v>0</v>
      </c>
      <c r="F374">
        <v>0</v>
      </c>
      <c r="G374">
        <v>1</v>
      </c>
      <c r="H374">
        <v>0.4</v>
      </c>
      <c r="I374">
        <v>0.40910000000000002</v>
      </c>
      <c r="J374">
        <v>0.35</v>
      </c>
      <c r="K374">
        <v>0.35820000000000002</v>
      </c>
      <c r="L374">
        <v>3</v>
      </c>
      <c r="M374">
        <v>27</v>
      </c>
      <c r="N374">
        <v>30</v>
      </c>
    </row>
    <row r="375" spans="1:14" x14ac:dyDescent="0.3">
      <c r="A375">
        <v>993</v>
      </c>
      <c r="B375" s="1">
        <v>40588</v>
      </c>
      <c r="C375">
        <v>2</v>
      </c>
      <c r="D375">
        <v>0</v>
      </c>
      <c r="E375" t="b">
        <v>0</v>
      </c>
      <c r="F375">
        <v>1</v>
      </c>
      <c r="G375">
        <v>1</v>
      </c>
      <c r="H375">
        <v>0.38</v>
      </c>
      <c r="I375">
        <v>0.39389999999999997</v>
      </c>
      <c r="J375">
        <v>0.37</v>
      </c>
      <c r="K375">
        <v>0.35820000000000002</v>
      </c>
      <c r="L375">
        <v>3</v>
      </c>
      <c r="M375">
        <v>8</v>
      </c>
      <c r="N375">
        <v>11</v>
      </c>
    </row>
    <row r="376" spans="1:14" x14ac:dyDescent="0.3">
      <c r="A376">
        <v>994</v>
      </c>
      <c r="B376" s="1">
        <v>40588</v>
      </c>
      <c r="C376">
        <v>2</v>
      </c>
      <c r="D376">
        <v>1</v>
      </c>
      <c r="E376" t="b">
        <v>0</v>
      </c>
      <c r="F376">
        <v>1</v>
      </c>
      <c r="G376">
        <v>1</v>
      </c>
      <c r="H376">
        <v>0.38</v>
      </c>
      <c r="I376">
        <v>0.39389999999999997</v>
      </c>
      <c r="J376">
        <v>0.37</v>
      </c>
      <c r="K376">
        <v>0.35820000000000002</v>
      </c>
      <c r="L376">
        <v>1</v>
      </c>
      <c r="M376">
        <v>6</v>
      </c>
      <c r="N376">
        <v>7</v>
      </c>
    </row>
    <row r="377" spans="1:14" x14ac:dyDescent="0.3">
      <c r="A377">
        <v>995</v>
      </c>
      <c r="B377" s="1">
        <v>40588</v>
      </c>
      <c r="C377">
        <v>2</v>
      </c>
      <c r="D377">
        <v>2</v>
      </c>
      <c r="E377" t="b">
        <v>0</v>
      </c>
      <c r="F377">
        <v>1</v>
      </c>
      <c r="G377">
        <v>1</v>
      </c>
      <c r="H377">
        <v>0.36</v>
      </c>
      <c r="I377">
        <v>0.33329999999999999</v>
      </c>
      <c r="J377">
        <v>0.4</v>
      </c>
      <c r="K377">
        <v>0.29849999999999999</v>
      </c>
      <c r="L377">
        <v>0</v>
      </c>
      <c r="M377">
        <v>2</v>
      </c>
      <c r="N377">
        <v>2</v>
      </c>
    </row>
    <row r="378" spans="1:14" x14ac:dyDescent="0.3">
      <c r="A378">
        <v>996</v>
      </c>
      <c r="B378" s="1">
        <v>40588</v>
      </c>
      <c r="C378">
        <v>2</v>
      </c>
      <c r="D378">
        <v>3</v>
      </c>
      <c r="E378" t="b">
        <v>0</v>
      </c>
      <c r="F378">
        <v>1</v>
      </c>
      <c r="G378">
        <v>1</v>
      </c>
      <c r="H378">
        <v>0.34</v>
      </c>
      <c r="I378">
        <v>0.31819999999999998</v>
      </c>
      <c r="J378">
        <v>0.46</v>
      </c>
      <c r="K378">
        <v>0.22389999999999999</v>
      </c>
      <c r="L378">
        <v>1</v>
      </c>
      <c r="M378">
        <v>1</v>
      </c>
      <c r="N378">
        <v>2</v>
      </c>
    </row>
    <row r="379" spans="1:14" x14ac:dyDescent="0.3">
      <c r="A379">
        <v>997</v>
      </c>
      <c r="B379" s="1">
        <v>40588</v>
      </c>
      <c r="C379">
        <v>2</v>
      </c>
      <c r="D379">
        <v>4</v>
      </c>
      <c r="E379" t="b">
        <v>0</v>
      </c>
      <c r="F379">
        <v>1</v>
      </c>
      <c r="G379">
        <v>1</v>
      </c>
      <c r="H379">
        <v>0.32</v>
      </c>
      <c r="I379">
        <v>0.30299999999999999</v>
      </c>
      <c r="J379">
        <v>0.53</v>
      </c>
      <c r="K379">
        <v>0.28360000000000002</v>
      </c>
      <c r="L379">
        <v>0</v>
      </c>
      <c r="M379">
        <v>2</v>
      </c>
      <c r="N379">
        <v>2</v>
      </c>
    </row>
    <row r="380" spans="1:14" x14ac:dyDescent="0.3">
      <c r="A380">
        <v>998</v>
      </c>
      <c r="B380" s="1">
        <v>40588</v>
      </c>
      <c r="C380">
        <v>2</v>
      </c>
      <c r="D380">
        <v>5</v>
      </c>
      <c r="E380" t="b">
        <v>0</v>
      </c>
      <c r="F380">
        <v>1</v>
      </c>
      <c r="G380">
        <v>1</v>
      </c>
      <c r="H380">
        <v>0.32</v>
      </c>
      <c r="I380">
        <v>0.30299999999999999</v>
      </c>
      <c r="J380">
        <v>0.53</v>
      </c>
      <c r="K380">
        <v>0.28360000000000002</v>
      </c>
      <c r="L380">
        <v>0</v>
      </c>
      <c r="M380">
        <v>3</v>
      </c>
      <c r="N380">
        <v>3</v>
      </c>
    </row>
    <row r="381" spans="1:14" x14ac:dyDescent="0.3">
      <c r="A381">
        <v>999</v>
      </c>
      <c r="B381" s="1">
        <v>40588</v>
      </c>
      <c r="C381">
        <v>2</v>
      </c>
      <c r="D381">
        <v>6</v>
      </c>
      <c r="E381" t="b">
        <v>0</v>
      </c>
      <c r="F381">
        <v>1</v>
      </c>
      <c r="G381">
        <v>1</v>
      </c>
      <c r="H381">
        <v>0.34</v>
      </c>
      <c r="I381">
        <v>0.30299999999999999</v>
      </c>
      <c r="J381">
        <v>0.46</v>
      </c>
      <c r="K381">
        <v>0.29849999999999999</v>
      </c>
      <c r="L381">
        <v>1</v>
      </c>
      <c r="M381">
        <v>25</v>
      </c>
      <c r="N381">
        <v>26</v>
      </c>
    </row>
    <row r="382" spans="1:14" x14ac:dyDescent="0.3">
      <c r="A382">
        <v>1000</v>
      </c>
      <c r="B382" s="1">
        <v>40588</v>
      </c>
      <c r="C382">
        <v>2</v>
      </c>
      <c r="D382">
        <v>7</v>
      </c>
      <c r="E382" t="b">
        <v>0</v>
      </c>
      <c r="F382">
        <v>1</v>
      </c>
      <c r="G382">
        <v>1</v>
      </c>
      <c r="H382">
        <v>0.34</v>
      </c>
      <c r="I382">
        <v>0.30299999999999999</v>
      </c>
      <c r="J382">
        <v>0.46</v>
      </c>
      <c r="K382">
        <v>0.29849999999999999</v>
      </c>
      <c r="L382">
        <v>2</v>
      </c>
      <c r="M382">
        <v>96</v>
      </c>
      <c r="N382">
        <v>98</v>
      </c>
    </row>
    <row r="383" spans="1:14" x14ac:dyDescent="0.3">
      <c r="A383">
        <v>611</v>
      </c>
      <c r="B383" s="1">
        <v>40571</v>
      </c>
      <c r="C383">
        <v>1</v>
      </c>
      <c r="D383">
        <v>16</v>
      </c>
      <c r="E383" t="b">
        <v>0</v>
      </c>
      <c r="F383">
        <v>5</v>
      </c>
      <c r="G383">
        <v>1</v>
      </c>
      <c r="H383">
        <v>0.22</v>
      </c>
      <c r="I383">
        <v>0.2727</v>
      </c>
      <c r="J383">
        <v>0.8</v>
      </c>
      <c r="K383">
        <v>0</v>
      </c>
      <c r="L383">
        <v>10</v>
      </c>
      <c r="M383">
        <v>70</v>
      </c>
      <c r="N383">
        <v>80</v>
      </c>
    </row>
    <row r="384" spans="1:14" x14ac:dyDescent="0.3">
      <c r="A384">
        <v>612</v>
      </c>
      <c r="B384" s="1">
        <v>40571</v>
      </c>
      <c r="C384">
        <v>1</v>
      </c>
      <c r="D384">
        <v>17</v>
      </c>
      <c r="E384" t="b">
        <v>0</v>
      </c>
      <c r="F384">
        <v>5</v>
      </c>
      <c r="G384">
        <v>1</v>
      </c>
      <c r="H384">
        <v>0.24</v>
      </c>
      <c r="I384">
        <v>0.2424</v>
      </c>
      <c r="J384">
        <v>0.75</v>
      </c>
      <c r="K384">
        <v>0.1343</v>
      </c>
      <c r="L384">
        <v>2</v>
      </c>
      <c r="M384">
        <v>147</v>
      </c>
      <c r="N384">
        <v>149</v>
      </c>
    </row>
    <row r="385" spans="1:14" x14ac:dyDescent="0.3">
      <c r="A385">
        <v>613</v>
      </c>
      <c r="B385" s="1">
        <v>40571</v>
      </c>
      <c r="C385">
        <v>1</v>
      </c>
      <c r="D385">
        <v>18</v>
      </c>
      <c r="E385" t="b">
        <v>0</v>
      </c>
      <c r="F385">
        <v>5</v>
      </c>
      <c r="G385">
        <v>1</v>
      </c>
      <c r="H385">
        <v>0.24</v>
      </c>
      <c r="I385">
        <v>0.2273</v>
      </c>
      <c r="J385">
        <v>0.75</v>
      </c>
      <c r="K385">
        <v>0.19400000000000001</v>
      </c>
      <c r="L385">
        <v>2</v>
      </c>
      <c r="M385">
        <v>107</v>
      </c>
      <c r="N385">
        <v>109</v>
      </c>
    </row>
    <row r="386" spans="1:14" x14ac:dyDescent="0.3">
      <c r="A386">
        <v>614</v>
      </c>
      <c r="B386" s="1">
        <v>40571</v>
      </c>
      <c r="C386">
        <v>1</v>
      </c>
      <c r="D386">
        <v>19</v>
      </c>
      <c r="E386" t="b">
        <v>0</v>
      </c>
      <c r="F386">
        <v>5</v>
      </c>
      <c r="G386">
        <v>2</v>
      </c>
      <c r="H386">
        <v>0.24</v>
      </c>
      <c r="I386">
        <v>0.2424</v>
      </c>
      <c r="J386">
        <v>0.75</v>
      </c>
      <c r="K386">
        <v>0.1343</v>
      </c>
      <c r="L386">
        <v>5</v>
      </c>
      <c r="M386">
        <v>84</v>
      </c>
      <c r="N386">
        <v>89</v>
      </c>
    </row>
    <row r="387" spans="1:14" x14ac:dyDescent="0.3">
      <c r="A387">
        <v>615</v>
      </c>
      <c r="B387" s="1">
        <v>40571</v>
      </c>
      <c r="C387">
        <v>1</v>
      </c>
      <c r="D387">
        <v>20</v>
      </c>
      <c r="E387" t="b">
        <v>0</v>
      </c>
      <c r="F387">
        <v>5</v>
      </c>
      <c r="G387">
        <v>2</v>
      </c>
      <c r="H387">
        <v>0.24</v>
      </c>
      <c r="I387">
        <v>0.2273</v>
      </c>
      <c r="J387">
        <v>0.7</v>
      </c>
      <c r="K387">
        <v>0.19400000000000001</v>
      </c>
      <c r="L387">
        <v>1</v>
      </c>
      <c r="M387">
        <v>61</v>
      </c>
      <c r="N387">
        <v>62</v>
      </c>
    </row>
    <row r="388" spans="1:14" x14ac:dyDescent="0.3">
      <c r="A388">
        <v>616</v>
      </c>
      <c r="B388" s="1">
        <v>40571</v>
      </c>
      <c r="C388">
        <v>1</v>
      </c>
      <c r="D388">
        <v>21</v>
      </c>
      <c r="E388" t="b">
        <v>0</v>
      </c>
      <c r="F388">
        <v>5</v>
      </c>
      <c r="G388">
        <v>2</v>
      </c>
      <c r="H388">
        <v>0.22</v>
      </c>
      <c r="I388">
        <v>0.2273</v>
      </c>
      <c r="J388">
        <v>0.75</v>
      </c>
      <c r="K388">
        <v>0.1343</v>
      </c>
      <c r="L388">
        <v>1</v>
      </c>
      <c r="M388">
        <v>57</v>
      </c>
      <c r="N388">
        <v>58</v>
      </c>
    </row>
    <row r="389" spans="1:14" x14ac:dyDescent="0.3">
      <c r="A389">
        <v>617</v>
      </c>
      <c r="B389" s="1">
        <v>40571</v>
      </c>
      <c r="C389">
        <v>1</v>
      </c>
      <c r="D389">
        <v>22</v>
      </c>
      <c r="E389" t="b">
        <v>0</v>
      </c>
      <c r="F389">
        <v>5</v>
      </c>
      <c r="G389">
        <v>1</v>
      </c>
      <c r="H389">
        <v>0.24</v>
      </c>
      <c r="I389">
        <v>0.21210000000000001</v>
      </c>
      <c r="J389">
        <v>0.65</v>
      </c>
      <c r="K389">
        <v>0.35820000000000002</v>
      </c>
      <c r="L389">
        <v>0</v>
      </c>
      <c r="M389">
        <v>26</v>
      </c>
      <c r="N389">
        <v>26</v>
      </c>
    </row>
    <row r="390" spans="1:14" x14ac:dyDescent="0.3">
      <c r="A390">
        <v>618</v>
      </c>
      <c r="B390" s="1">
        <v>40571</v>
      </c>
      <c r="C390">
        <v>1</v>
      </c>
      <c r="D390">
        <v>23</v>
      </c>
      <c r="E390" t="b">
        <v>0</v>
      </c>
      <c r="F390">
        <v>5</v>
      </c>
      <c r="G390">
        <v>1</v>
      </c>
      <c r="H390">
        <v>0.24</v>
      </c>
      <c r="I390">
        <v>0.2273</v>
      </c>
      <c r="J390">
        <v>0.6</v>
      </c>
      <c r="K390">
        <v>0.22389999999999999</v>
      </c>
      <c r="L390">
        <v>1</v>
      </c>
      <c r="M390">
        <v>22</v>
      </c>
      <c r="N390">
        <v>23</v>
      </c>
    </row>
    <row r="391" spans="1:14" x14ac:dyDescent="0.3">
      <c r="A391">
        <v>619</v>
      </c>
      <c r="B391" s="1">
        <v>40572</v>
      </c>
      <c r="C391">
        <v>1</v>
      </c>
      <c r="D391">
        <v>0</v>
      </c>
      <c r="E391" t="b">
        <v>0</v>
      </c>
      <c r="F391">
        <v>6</v>
      </c>
      <c r="G391">
        <v>1</v>
      </c>
      <c r="H391">
        <v>0.22</v>
      </c>
      <c r="I391">
        <v>0.19700000000000001</v>
      </c>
      <c r="J391">
        <v>0.64</v>
      </c>
      <c r="K391">
        <v>0.35820000000000002</v>
      </c>
      <c r="L391">
        <v>2</v>
      </c>
      <c r="M391">
        <v>26</v>
      </c>
      <c r="N391">
        <v>28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3F42A-D5BE-4285-8A9C-A754D792F5F7}">
  <sheetPr codeName="Sheet16"/>
  <dimension ref="A1:N611"/>
  <sheetViews>
    <sheetView workbookViewId="0"/>
  </sheetViews>
  <sheetFormatPr defaultRowHeight="14.4" x14ac:dyDescent="0.3"/>
  <cols>
    <col min="1" max="1" width="9" bestFit="1" customWidth="1"/>
    <col min="2" max="2" width="10.33203125" bestFit="1" customWidth="1"/>
    <col min="3" max="3" width="7.77734375" bestFit="1" customWidth="1"/>
    <col min="4" max="4" width="5" bestFit="1" customWidth="1"/>
    <col min="5" max="5" width="9.44140625" bestFit="1" customWidth="1"/>
    <col min="6" max="6" width="10.77734375" bestFit="1" customWidth="1"/>
    <col min="7" max="7" width="12" bestFit="1" customWidth="1"/>
    <col min="8" max="8" width="7.6640625" bestFit="1" customWidth="1"/>
    <col min="9" max="9" width="8.6640625" bestFit="1" customWidth="1"/>
    <col min="10" max="10" width="7.109375" bestFit="1" customWidth="1"/>
    <col min="11" max="11" width="12.33203125" bestFit="1" customWidth="1"/>
    <col min="12" max="12" width="8.44140625" bestFit="1" customWidth="1"/>
    <col min="13" max="13" width="11.5546875" bestFit="1" customWidth="1"/>
    <col min="14" max="14" width="5.88671875" bestFit="1" customWidth="1"/>
  </cols>
  <sheetData>
    <row r="1" spans="1:14" x14ac:dyDescent="0.3">
      <c r="A1" t="s">
        <v>0</v>
      </c>
      <c r="B1" t="s">
        <v>1</v>
      </c>
      <c r="C1" t="s">
        <v>2</v>
      </c>
      <c r="D1" t="s">
        <v>3</v>
      </c>
      <c r="E1" t="s">
        <v>4</v>
      </c>
      <c r="F1" t="s">
        <v>5</v>
      </c>
      <c r="G1" t="s">
        <v>6</v>
      </c>
      <c r="H1" t="s">
        <v>7</v>
      </c>
      <c r="I1" t="s">
        <v>8</v>
      </c>
      <c r="J1" t="s">
        <v>9</v>
      </c>
      <c r="K1" t="s">
        <v>10</v>
      </c>
      <c r="L1" t="s">
        <v>11</v>
      </c>
      <c r="M1" t="s">
        <v>12</v>
      </c>
      <c r="N1" t="s">
        <v>13</v>
      </c>
    </row>
    <row r="2" spans="1:14" x14ac:dyDescent="0.3">
      <c r="A2">
        <v>1</v>
      </c>
      <c r="B2" s="1">
        <v>40544</v>
      </c>
      <c r="C2">
        <v>1</v>
      </c>
      <c r="D2">
        <v>0</v>
      </c>
      <c r="E2" t="b">
        <v>0</v>
      </c>
      <c r="F2">
        <v>6</v>
      </c>
      <c r="G2">
        <v>1</v>
      </c>
      <c r="H2">
        <v>0.24</v>
      </c>
      <c r="I2">
        <v>0.28789999999999999</v>
      </c>
      <c r="J2">
        <v>0.81</v>
      </c>
      <c r="K2">
        <v>0</v>
      </c>
      <c r="L2">
        <v>3</v>
      </c>
      <c r="M2">
        <v>13</v>
      </c>
      <c r="N2">
        <v>16</v>
      </c>
    </row>
    <row r="3" spans="1:14" x14ac:dyDescent="0.3">
      <c r="A3">
        <v>2</v>
      </c>
      <c r="B3" s="1">
        <v>40544</v>
      </c>
      <c r="C3">
        <v>1</v>
      </c>
      <c r="D3">
        <v>1</v>
      </c>
      <c r="E3" t="b">
        <v>0</v>
      </c>
      <c r="F3">
        <v>6</v>
      </c>
      <c r="G3">
        <v>1</v>
      </c>
      <c r="H3">
        <v>0.22</v>
      </c>
      <c r="I3">
        <v>0.2727</v>
      </c>
      <c r="J3">
        <v>0.8</v>
      </c>
      <c r="K3">
        <v>0</v>
      </c>
      <c r="L3">
        <v>8</v>
      </c>
      <c r="M3">
        <v>32</v>
      </c>
      <c r="N3">
        <v>40</v>
      </c>
    </row>
    <row r="4" spans="1:14" x14ac:dyDescent="0.3">
      <c r="A4">
        <v>3</v>
      </c>
      <c r="B4" s="1">
        <v>40544</v>
      </c>
      <c r="C4">
        <v>1</v>
      </c>
      <c r="D4">
        <v>2</v>
      </c>
      <c r="E4" t="b">
        <v>0</v>
      </c>
      <c r="F4">
        <v>6</v>
      </c>
      <c r="G4">
        <v>1</v>
      </c>
      <c r="H4">
        <v>0.22</v>
      </c>
      <c r="I4">
        <v>0.2727</v>
      </c>
      <c r="J4">
        <v>0.8</v>
      </c>
      <c r="K4">
        <v>0</v>
      </c>
      <c r="L4">
        <v>5</v>
      </c>
      <c r="M4">
        <v>27</v>
      </c>
      <c r="N4">
        <v>32</v>
      </c>
    </row>
    <row r="5" spans="1:14" x14ac:dyDescent="0.3">
      <c r="A5">
        <v>4</v>
      </c>
      <c r="B5" s="1">
        <v>40544</v>
      </c>
      <c r="C5">
        <v>1</v>
      </c>
      <c r="D5">
        <v>3</v>
      </c>
      <c r="E5" t="b">
        <v>0</v>
      </c>
      <c r="F5">
        <v>6</v>
      </c>
      <c r="G5">
        <v>1</v>
      </c>
      <c r="H5">
        <v>0.24</v>
      </c>
      <c r="I5">
        <v>0.28789999999999999</v>
      </c>
      <c r="J5">
        <v>0.75</v>
      </c>
      <c r="K5">
        <v>0</v>
      </c>
      <c r="L5">
        <v>3</v>
      </c>
      <c r="M5">
        <v>10</v>
      </c>
      <c r="N5">
        <v>13</v>
      </c>
    </row>
    <row r="6" spans="1:14" x14ac:dyDescent="0.3">
      <c r="A6">
        <v>5</v>
      </c>
      <c r="B6" s="1">
        <v>40544</v>
      </c>
      <c r="C6">
        <v>1</v>
      </c>
      <c r="D6">
        <v>4</v>
      </c>
      <c r="E6" t="b">
        <v>0</v>
      </c>
      <c r="F6">
        <v>6</v>
      </c>
      <c r="G6">
        <v>1</v>
      </c>
      <c r="H6">
        <v>0.24</v>
      </c>
      <c r="I6">
        <v>0.28789999999999999</v>
      </c>
      <c r="J6">
        <v>0.75</v>
      </c>
      <c r="K6">
        <v>0</v>
      </c>
      <c r="L6">
        <v>0</v>
      </c>
      <c r="M6">
        <v>1</v>
      </c>
      <c r="N6">
        <v>1</v>
      </c>
    </row>
    <row r="7" spans="1:14" x14ac:dyDescent="0.3">
      <c r="A7">
        <v>6</v>
      </c>
      <c r="B7" s="1">
        <v>40544</v>
      </c>
      <c r="C7">
        <v>1</v>
      </c>
      <c r="D7">
        <v>5</v>
      </c>
      <c r="E7" t="b">
        <v>0</v>
      </c>
      <c r="F7">
        <v>6</v>
      </c>
      <c r="G7">
        <v>2</v>
      </c>
      <c r="H7">
        <v>0.24</v>
      </c>
      <c r="I7">
        <v>0.2576</v>
      </c>
      <c r="J7">
        <v>0.75</v>
      </c>
      <c r="K7">
        <v>8.9599999999999999E-2</v>
      </c>
      <c r="L7">
        <v>0</v>
      </c>
      <c r="M7">
        <v>1</v>
      </c>
      <c r="N7">
        <v>1</v>
      </c>
    </row>
    <row r="8" spans="1:14" x14ac:dyDescent="0.3">
      <c r="A8">
        <v>7</v>
      </c>
      <c r="B8" s="1">
        <v>40544</v>
      </c>
      <c r="C8">
        <v>1</v>
      </c>
      <c r="D8">
        <v>6</v>
      </c>
      <c r="E8" t="b">
        <v>0</v>
      </c>
      <c r="F8">
        <v>6</v>
      </c>
      <c r="G8">
        <v>1</v>
      </c>
      <c r="H8">
        <v>0.22</v>
      </c>
      <c r="I8">
        <v>0.2727</v>
      </c>
      <c r="J8">
        <v>0.8</v>
      </c>
      <c r="K8">
        <v>0</v>
      </c>
      <c r="L8">
        <v>2</v>
      </c>
      <c r="M8">
        <v>0</v>
      </c>
      <c r="N8">
        <v>2</v>
      </c>
    </row>
    <row r="9" spans="1:14" x14ac:dyDescent="0.3">
      <c r="A9">
        <v>8</v>
      </c>
      <c r="B9" s="1">
        <v>40544</v>
      </c>
      <c r="C9">
        <v>1</v>
      </c>
      <c r="D9">
        <v>7</v>
      </c>
      <c r="E9" t="b">
        <v>0</v>
      </c>
      <c r="F9">
        <v>6</v>
      </c>
      <c r="G9">
        <v>1</v>
      </c>
      <c r="H9">
        <v>0.2</v>
      </c>
      <c r="I9">
        <v>0.2576</v>
      </c>
      <c r="J9">
        <v>0.86</v>
      </c>
      <c r="K9">
        <v>0</v>
      </c>
      <c r="L9">
        <v>1</v>
      </c>
      <c r="M9">
        <v>2</v>
      </c>
      <c r="N9">
        <v>3</v>
      </c>
    </row>
    <row r="10" spans="1:14" x14ac:dyDescent="0.3">
      <c r="A10">
        <v>9</v>
      </c>
      <c r="B10" s="1">
        <v>40544</v>
      </c>
      <c r="C10">
        <v>1</v>
      </c>
      <c r="D10">
        <v>8</v>
      </c>
      <c r="E10" t="b">
        <v>0</v>
      </c>
      <c r="F10">
        <v>6</v>
      </c>
      <c r="G10">
        <v>1</v>
      </c>
      <c r="H10">
        <v>0.24</v>
      </c>
      <c r="J10">
        <v>0.75</v>
      </c>
      <c r="K10">
        <v>0</v>
      </c>
      <c r="L10">
        <v>1</v>
      </c>
      <c r="M10">
        <v>7</v>
      </c>
      <c r="N10">
        <v>8</v>
      </c>
    </row>
    <row r="11" spans="1:14" x14ac:dyDescent="0.3">
      <c r="A11">
        <v>10</v>
      </c>
      <c r="B11" s="1">
        <v>40544</v>
      </c>
      <c r="C11">
        <v>1</v>
      </c>
      <c r="D11">
        <v>9</v>
      </c>
      <c r="E11" t="b">
        <v>0</v>
      </c>
      <c r="F11">
        <v>6</v>
      </c>
      <c r="G11">
        <v>1</v>
      </c>
      <c r="H11">
        <v>0.32</v>
      </c>
      <c r="I11">
        <v>0.34849999999999998</v>
      </c>
      <c r="J11">
        <v>0.76</v>
      </c>
      <c r="K11">
        <v>0</v>
      </c>
      <c r="L11">
        <v>8</v>
      </c>
      <c r="M11">
        <v>6</v>
      </c>
      <c r="N11">
        <v>14</v>
      </c>
    </row>
    <row r="12" spans="1:14" x14ac:dyDescent="0.3">
      <c r="A12">
        <v>11</v>
      </c>
      <c r="B12" s="1">
        <v>40544</v>
      </c>
      <c r="C12">
        <v>1</v>
      </c>
      <c r="D12">
        <v>10</v>
      </c>
      <c r="E12" t="b">
        <v>0</v>
      </c>
      <c r="F12">
        <v>6</v>
      </c>
      <c r="G12">
        <v>1</v>
      </c>
      <c r="H12">
        <v>0.38</v>
      </c>
      <c r="I12">
        <v>0.39389999999999997</v>
      </c>
      <c r="J12">
        <v>0.76</v>
      </c>
      <c r="K12">
        <v>0.25369999999999998</v>
      </c>
      <c r="L12">
        <v>12</v>
      </c>
      <c r="M12">
        <v>24</v>
      </c>
      <c r="N12">
        <v>36</v>
      </c>
    </row>
    <row r="13" spans="1:14" x14ac:dyDescent="0.3">
      <c r="A13">
        <v>12</v>
      </c>
      <c r="B13" s="1">
        <v>40544</v>
      </c>
      <c r="C13">
        <v>1</v>
      </c>
      <c r="D13">
        <v>11</v>
      </c>
      <c r="E13" t="b">
        <v>0</v>
      </c>
      <c r="F13">
        <v>6</v>
      </c>
      <c r="G13">
        <v>1</v>
      </c>
      <c r="H13">
        <v>0.36</v>
      </c>
      <c r="I13">
        <v>0.33329999999999999</v>
      </c>
      <c r="J13">
        <v>0.81</v>
      </c>
      <c r="K13">
        <v>0.28360000000000002</v>
      </c>
      <c r="L13">
        <v>26</v>
      </c>
      <c r="M13">
        <v>30</v>
      </c>
      <c r="N13">
        <v>56</v>
      </c>
    </row>
    <row r="14" spans="1:14" x14ac:dyDescent="0.3">
      <c r="A14">
        <v>13</v>
      </c>
      <c r="B14" s="1">
        <v>40544</v>
      </c>
      <c r="C14">
        <v>1</v>
      </c>
      <c r="D14">
        <v>12</v>
      </c>
      <c r="E14" t="b">
        <v>0</v>
      </c>
      <c r="F14">
        <v>6</v>
      </c>
      <c r="G14">
        <v>1</v>
      </c>
      <c r="H14">
        <v>0.42</v>
      </c>
      <c r="I14">
        <v>0.42420000000000002</v>
      </c>
      <c r="J14">
        <v>0.77</v>
      </c>
      <c r="K14">
        <v>0.28360000000000002</v>
      </c>
      <c r="L14">
        <v>29</v>
      </c>
      <c r="M14">
        <v>55</v>
      </c>
      <c r="N14">
        <v>84</v>
      </c>
    </row>
    <row r="15" spans="1:14" x14ac:dyDescent="0.3">
      <c r="A15">
        <v>14</v>
      </c>
      <c r="B15" s="1">
        <v>40544</v>
      </c>
      <c r="C15">
        <v>1</v>
      </c>
      <c r="D15">
        <v>13</v>
      </c>
      <c r="E15" t="b">
        <v>0</v>
      </c>
      <c r="F15">
        <v>6</v>
      </c>
      <c r="G15">
        <v>2</v>
      </c>
      <c r="H15">
        <v>0.46</v>
      </c>
      <c r="I15">
        <v>0.45450000000000002</v>
      </c>
      <c r="J15">
        <v>0.72</v>
      </c>
      <c r="K15">
        <v>0.29849999999999999</v>
      </c>
      <c r="L15">
        <v>47</v>
      </c>
      <c r="M15">
        <v>47</v>
      </c>
      <c r="N15">
        <v>94</v>
      </c>
    </row>
    <row r="16" spans="1:14" x14ac:dyDescent="0.3">
      <c r="A16">
        <v>15</v>
      </c>
      <c r="B16" s="1">
        <v>40544</v>
      </c>
      <c r="C16">
        <v>1</v>
      </c>
      <c r="D16">
        <v>14</v>
      </c>
      <c r="E16" t="b">
        <v>0</v>
      </c>
      <c r="F16">
        <v>6</v>
      </c>
      <c r="G16">
        <v>2</v>
      </c>
      <c r="H16">
        <v>0.46</v>
      </c>
      <c r="I16">
        <v>0.45450000000000002</v>
      </c>
      <c r="J16">
        <v>0.72</v>
      </c>
      <c r="K16">
        <v>0.28360000000000002</v>
      </c>
      <c r="L16">
        <v>35</v>
      </c>
      <c r="M16">
        <v>71</v>
      </c>
      <c r="N16">
        <v>106</v>
      </c>
    </row>
    <row r="17" spans="1:14" x14ac:dyDescent="0.3">
      <c r="A17">
        <v>16</v>
      </c>
      <c r="B17" s="1">
        <v>40544</v>
      </c>
      <c r="C17">
        <v>1</v>
      </c>
      <c r="D17">
        <v>15</v>
      </c>
      <c r="E17" t="b">
        <v>0</v>
      </c>
      <c r="F17">
        <v>6</v>
      </c>
      <c r="G17">
        <v>2</v>
      </c>
      <c r="H17">
        <v>0.44</v>
      </c>
      <c r="I17">
        <v>0.43940000000000001</v>
      </c>
      <c r="J17">
        <v>0.77</v>
      </c>
      <c r="K17">
        <v>0.29849999999999999</v>
      </c>
      <c r="L17">
        <v>40</v>
      </c>
      <c r="M17">
        <v>70</v>
      </c>
      <c r="N17">
        <v>110</v>
      </c>
    </row>
    <row r="18" spans="1:14" x14ac:dyDescent="0.3">
      <c r="A18">
        <v>17</v>
      </c>
      <c r="B18" s="1">
        <v>40544</v>
      </c>
      <c r="C18">
        <v>1</v>
      </c>
      <c r="D18">
        <v>16</v>
      </c>
      <c r="E18" t="b">
        <v>0</v>
      </c>
      <c r="F18">
        <v>6</v>
      </c>
      <c r="G18">
        <v>2</v>
      </c>
      <c r="H18">
        <v>0.42</v>
      </c>
      <c r="I18">
        <v>0.42420000000000002</v>
      </c>
      <c r="J18">
        <v>0.82</v>
      </c>
      <c r="K18">
        <v>0.29849999999999999</v>
      </c>
      <c r="L18">
        <v>41</v>
      </c>
      <c r="M18">
        <v>52</v>
      </c>
      <c r="N18">
        <v>93</v>
      </c>
    </row>
    <row r="19" spans="1:14" x14ac:dyDescent="0.3">
      <c r="A19">
        <v>18</v>
      </c>
      <c r="B19" s="1">
        <v>40544</v>
      </c>
      <c r="C19">
        <v>1</v>
      </c>
      <c r="D19">
        <v>17</v>
      </c>
      <c r="E19" t="b">
        <v>0</v>
      </c>
      <c r="F19">
        <v>6</v>
      </c>
      <c r="G19">
        <v>2</v>
      </c>
      <c r="H19">
        <v>0.44</v>
      </c>
      <c r="J19">
        <v>0.82</v>
      </c>
      <c r="K19">
        <v>0.28360000000000002</v>
      </c>
      <c r="L19">
        <v>15</v>
      </c>
      <c r="M19">
        <v>52</v>
      </c>
      <c r="N19">
        <v>67</v>
      </c>
    </row>
    <row r="20" spans="1:14" x14ac:dyDescent="0.3">
      <c r="A20">
        <v>19</v>
      </c>
      <c r="B20" s="1">
        <v>40544</v>
      </c>
      <c r="C20">
        <v>1</v>
      </c>
      <c r="D20">
        <v>18</v>
      </c>
      <c r="E20" t="b">
        <v>0</v>
      </c>
      <c r="F20">
        <v>6</v>
      </c>
      <c r="G20">
        <v>3</v>
      </c>
      <c r="H20">
        <v>0.42</v>
      </c>
      <c r="I20">
        <v>0.42420000000000002</v>
      </c>
      <c r="J20">
        <v>0.88</v>
      </c>
      <c r="K20">
        <v>0.25369999999999998</v>
      </c>
      <c r="L20">
        <v>9</v>
      </c>
      <c r="M20">
        <v>26</v>
      </c>
      <c r="N20">
        <v>35</v>
      </c>
    </row>
    <row r="21" spans="1:14" x14ac:dyDescent="0.3">
      <c r="A21">
        <v>20</v>
      </c>
      <c r="B21" s="1">
        <v>40544</v>
      </c>
      <c r="C21">
        <v>1</v>
      </c>
      <c r="D21">
        <v>19</v>
      </c>
      <c r="E21" t="b">
        <v>0</v>
      </c>
      <c r="F21">
        <v>6</v>
      </c>
      <c r="G21">
        <v>3</v>
      </c>
      <c r="H21">
        <v>0.42</v>
      </c>
      <c r="I21">
        <v>0.42420000000000002</v>
      </c>
      <c r="J21">
        <v>0.88</v>
      </c>
      <c r="K21">
        <v>0.25369999999999998</v>
      </c>
      <c r="L21">
        <v>6</v>
      </c>
      <c r="M21">
        <v>31</v>
      </c>
      <c r="N21">
        <v>37</v>
      </c>
    </row>
    <row r="22" spans="1:14" x14ac:dyDescent="0.3">
      <c r="A22">
        <v>21</v>
      </c>
      <c r="B22" s="1">
        <v>40544</v>
      </c>
      <c r="C22">
        <v>1</v>
      </c>
      <c r="D22">
        <v>20</v>
      </c>
      <c r="E22" t="b">
        <v>0</v>
      </c>
      <c r="F22">
        <v>6</v>
      </c>
      <c r="G22">
        <v>2</v>
      </c>
      <c r="H22">
        <v>0.4</v>
      </c>
      <c r="I22">
        <v>0.40910000000000002</v>
      </c>
      <c r="J22">
        <v>0.87</v>
      </c>
      <c r="K22">
        <v>0.25369999999999998</v>
      </c>
      <c r="L22">
        <v>11</v>
      </c>
      <c r="M22">
        <v>25</v>
      </c>
      <c r="N22">
        <v>36</v>
      </c>
    </row>
    <row r="23" spans="1:14" x14ac:dyDescent="0.3">
      <c r="A23">
        <v>22</v>
      </c>
      <c r="B23" s="1">
        <v>40544</v>
      </c>
      <c r="C23">
        <v>1</v>
      </c>
      <c r="D23">
        <v>21</v>
      </c>
      <c r="E23" t="b">
        <v>0</v>
      </c>
      <c r="F23">
        <v>6</v>
      </c>
      <c r="G23">
        <v>2</v>
      </c>
      <c r="H23">
        <v>0.4</v>
      </c>
      <c r="I23">
        <v>0.40910000000000002</v>
      </c>
      <c r="J23">
        <v>0.87</v>
      </c>
      <c r="K23">
        <v>0.19400000000000001</v>
      </c>
      <c r="L23">
        <v>3</v>
      </c>
      <c r="M23">
        <v>31</v>
      </c>
      <c r="N23">
        <v>34</v>
      </c>
    </row>
    <row r="24" spans="1:14" x14ac:dyDescent="0.3">
      <c r="A24">
        <v>23</v>
      </c>
      <c r="B24" s="1">
        <v>40544</v>
      </c>
      <c r="C24">
        <v>1</v>
      </c>
      <c r="D24">
        <v>22</v>
      </c>
      <c r="E24" t="b">
        <v>0</v>
      </c>
      <c r="F24">
        <v>6</v>
      </c>
      <c r="G24">
        <v>2</v>
      </c>
      <c r="H24">
        <v>0.4</v>
      </c>
      <c r="I24">
        <v>0.40910000000000002</v>
      </c>
      <c r="J24">
        <v>0.94</v>
      </c>
      <c r="K24">
        <v>0.22389999999999999</v>
      </c>
      <c r="L24">
        <v>11</v>
      </c>
      <c r="M24">
        <v>17</v>
      </c>
      <c r="N24">
        <v>28</v>
      </c>
    </row>
    <row r="25" spans="1:14" x14ac:dyDescent="0.3">
      <c r="A25">
        <v>24</v>
      </c>
      <c r="B25" s="1">
        <v>40544</v>
      </c>
      <c r="C25">
        <v>1</v>
      </c>
      <c r="D25">
        <v>23</v>
      </c>
      <c r="E25" t="b">
        <v>0</v>
      </c>
      <c r="F25">
        <v>6</v>
      </c>
      <c r="G25">
        <v>2</v>
      </c>
      <c r="H25">
        <v>0.46</v>
      </c>
      <c r="J25">
        <v>0.88</v>
      </c>
      <c r="K25">
        <v>0.29849999999999999</v>
      </c>
      <c r="L25">
        <v>15</v>
      </c>
      <c r="M25">
        <v>24</v>
      </c>
      <c r="N25">
        <v>39</v>
      </c>
    </row>
    <row r="26" spans="1:14" x14ac:dyDescent="0.3">
      <c r="A26">
        <v>25</v>
      </c>
      <c r="B26" s="1">
        <v>40545</v>
      </c>
      <c r="C26">
        <v>1</v>
      </c>
      <c r="D26">
        <v>0</v>
      </c>
      <c r="E26" t="b">
        <v>0</v>
      </c>
      <c r="F26">
        <v>0</v>
      </c>
      <c r="G26">
        <v>2</v>
      </c>
      <c r="H26">
        <v>0.46</v>
      </c>
      <c r="I26">
        <v>0.45450000000000002</v>
      </c>
      <c r="J26">
        <v>0.88</v>
      </c>
      <c r="K26">
        <v>0.29849999999999999</v>
      </c>
      <c r="L26">
        <v>4</v>
      </c>
      <c r="M26">
        <v>13</v>
      </c>
      <c r="N26">
        <v>17</v>
      </c>
    </row>
    <row r="27" spans="1:14" x14ac:dyDescent="0.3">
      <c r="A27">
        <v>26</v>
      </c>
      <c r="B27" s="1">
        <v>40545</v>
      </c>
      <c r="C27">
        <v>1</v>
      </c>
      <c r="D27">
        <v>1</v>
      </c>
      <c r="E27" t="b">
        <v>0</v>
      </c>
      <c r="F27">
        <v>0</v>
      </c>
      <c r="G27">
        <v>2</v>
      </c>
      <c r="H27">
        <v>0.44</v>
      </c>
      <c r="I27">
        <v>0.43940000000000001</v>
      </c>
      <c r="J27">
        <v>0.94</v>
      </c>
      <c r="K27">
        <v>0.25369999999999998</v>
      </c>
      <c r="L27">
        <v>1</v>
      </c>
      <c r="M27">
        <v>16</v>
      </c>
      <c r="N27">
        <v>17</v>
      </c>
    </row>
    <row r="28" spans="1:14" x14ac:dyDescent="0.3">
      <c r="A28">
        <v>27</v>
      </c>
      <c r="B28" s="1">
        <v>40545</v>
      </c>
      <c r="C28">
        <v>1</v>
      </c>
      <c r="D28">
        <v>2</v>
      </c>
      <c r="E28" t="b">
        <v>0</v>
      </c>
      <c r="F28">
        <v>0</v>
      </c>
      <c r="G28">
        <v>2</v>
      </c>
      <c r="H28">
        <v>0.42</v>
      </c>
      <c r="I28">
        <v>0.42420000000000002</v>
      </c>
      <c r="J28">
        <v>1</v>
      </c>
      <c r="K28">
        <v>0.28360000000000002</v>
      </c>
      <c r="L28">
        <v>1</v>
      </c>
      <c r="M28">
        <v>8</v>
      </c>
      <c r="N28">
        <v>9</v>
      </c>
    </row>
    <row r="29" spans="1:14" x14ac:dyDescent="0.3">
      <c r="A29">
        <v>28</v>
      </c>
      <c r="B29" s="1">
        <v>40545</v>
      </c>
      <c r="C29">
        <v>1</v>
      </c>
      <c r="D29">
        <v>3</v>
      </c>
      <c r="E29" t="b">
        <v>0</v>
      </c>
      <c r="F29">
        <v>0</v>
      </c>
      <c r="G29">
        <v>2</v>
      </c>
      <c r="H29">
        <v>0.46</v>
      </c>
      <c r="I29">
        <v>0.45450000000000002</v>
      </c>
      <c r="J29">
        <v>0.94</v>
      </c>
      <c r="K29">
        <v>0.19400000000000001</v>
      </c>
      <c r="L29">
        <v>2</v>
      </c>
      <c r="M29">
        <v>4</v>
      </c>
      <c r="N29">
        <v>6</v>
      </c>
    </row>
    <row r="30" spans="1:14" x14ac:dyDescent="0.3">
      <c r="A30">
        <v>29</v>
      </c>
      <c r="B30" s="1">
        <v>40545</v>
      </c>
      <c r="C30">
        <v>1</v>
      </c>
      <c r="D30">
        <v>4</v>
      </c>
      <c r="E30" t="b">
        <v>0</v>
      </c>
      <c r="F30">
        <v>0</v>
      </c>
      <c r="G30">
        <v>2</v>
      </c>
      <c r="H30">
        <v>0.46</v>
      </c>
      <c r="J30">
        <v>0.94</v>
      </c>
      <c r="K30">
        <v>0.19400000000000001</v>
      </c>
      <c r="L30">
        <v>2</v>
      </c>
      <c r="M30">
        <v>1</v>
      </c>
      <c r="N30">
        <v>3</v>
      </c>
    </row>
    <row r="31" spans="1:14" x14ac:dyDescent="0.3">
      <c r="A31">
        <v>30</v>
      </c>
      <c r="B31" s="1">
        <v>40545</v>
      </c>
      <c r="C31">
        <v>1</v>
      </c>
      <c r="D31">
        <v>6</v>
      </c>
      <c r="E31" t="b">
        <v>0</v>
      </c>
      <c r="F31">
        <v>0</v>
      </c>
      <c r="G31">
        <v>3</v>
      </c>
      <c r="H31">
        <v>0.42</v>
      </c>
      <c r="I31">
        <v>0.42420000000000002</v>
      </c>
      <c r="J31">
        <v>0.77</v>
      </c>
      <c r="K31">
        <v>0.29849999999999999</v>
      </c>
      <c r="L31">
        <v>0</v>
      </c>
      <c r="M31">
        <v>2</v>
      </c>
      <c r="N31">
        <v>2</v>
      </c>
    </row>
    <row r="32" spans="1:14" x14ac:dyDescent="0.3">
      <c r="A32">
        <v>31</v>
      </c>
      <c r="B32" s="1">
        <v>40545</v>
      </c>
      <c r="C32">
        <v>1</v>
      </c>
      <c r="D32">
        <v>7</v>
      </c>
      <c r="E32" t="b">
        <v>0</v>
      </c>
      <c r="F32">
        <v>0</v>
      </c>
      <c r="G32">
        <v>2</v>
      </c>
      <c r="H32">
        <v>0.4</v>
      </c>
      <c r="I32">
        <v>0.40910000000000002</v>
      </c>
      <c r="J32">
        <v>0.76</v>
      </c>
      <c r="K32">
        <v>0.19400000000000001</v>
      </c>
      <c r="L32">
        <v>0</v>
      </c>
      <c r="M32">
        <v>1</v>
      </c>
      <c r="N32">
        <v>1</v>
      </c>
    </row>
    <row r="33" spans="1:14" x14ac:dyDescent="0.3">
      <c r="A33">
        <v>32</v>
      </c>
      <c r="B33" s="1">
        <v>40545</v>
      </c>
      <c r="C33">
        <v>1</v>
      </c>
      <c r="D33">
        <v>8</v>
      </c>
      <c r="E33" t="b">
        <v>0</v>
      </c>
      <c r="F33">
        <v>0</v>
      </c>
      <c r="G33">
        <v>3</v>
      </c>
      <c r="H33">
        <v>0.4</v>
      </c>
      <c r="I33">
        <v>0.40910000000000002</v>
      </c>
      <c r="J33">
        <v>0.71</v>
      </c>
      <c r="K33">
        <v>0.22389999999999999</v>
      </c>
      <c r="L33">
        <v>0</v>
      </c>
      <c r="M33">
        <v>8</v>
      </c>
      <c r="N33">
        <v>8</v>
      </c>
    </row>
    <row r="34" spans="1:14" x14ac:dyDescent="0.3">
      <c r="A34">
        <v>33</v>
      </c>
      <c r="B34" s="1">
        <v>40545</v>
      </c>
      <c r="C34">
        <v>1</v>
      </c>
      <c r="D34">
        <v>9</v>
      </c>
      <c r="E34" t="b">
        <v>0</v>
      </c>
      <c r="F34">
        <v>0</v>
      </c>
      <c r="G34">
        <v>2</v>
      </c>
      <c r="H34">
        <v>0.38</v>
      </c>
      <c r="J34">
        <v>0.76</v>
      </c>
      <c r="K34">
        <v>0.22389999999999999</v>
      </c>
      <c r="L34">
        <v>1</v>
      </c>
      <c r="M34">
        <v>19</v>
      </c>
      <c r="N34">
        <v>20</v>
      </c>
    </row>
    <row r="35" spans="1:14" x14ac:dyDescent="0.3">
      <c r="A35">
        <v>34</v>
      </c>
      <c r="B35" s="1">
        <v>40545</v>
      </c>
      <c r="C35">
        <v>1</v>
      </c>
      <c r="D35">
        <v>10</v>
      </c>
      <c r="E35" t="b">
        <v>0</v>
      </c>
      <c r="F35">
        <v>0</v>
      </c>
      <c r="G35">
        <v>2</v>
      </c>
      <c r="H35">
        <v>0.36</v>
      </c>
      <c r="I35">
        <v>0.34849999999999998</v>
      </c>
      <c r="J35">
        <v>0.81</v>
      </c>
      <c r="K35">
        <v>0.22389999999999999</v>
      </c>
      <c r="L35">
        <v>7</v>
      </c>
      <c r="M35">
        <v>46</v>
      </c>
      <c r="N35">
        <v>53</v>
      </c>
    </row>
    <row r="36" spans="1:14" x14ac:dyDescent="0.3">
      <c r="A36">
        <v>35</v>
      </c>
      <c r="B36" s="1">
        <v>40545</v>
      </c>
      <c r="C36">
        <v>1</v>
      </c>
      <c r="D36">
        <v>11</v>
      </c>
      <c r="E36" t="b">
        <v>0</v>
      </c>
      <c r="F36">
        <v>0</v>
      </c>
      <c r="G36">
        <v>2</v>
      </c>
      <c r="H36">
        <v>0.36</v>
      </c>
      <c r="I36">
        <v>0.33329999999999999</v>
      </c>
      <c r="J36">
        <v>0.71</v>
      </c>
      <c r="K36">
        <v>0.25369999999999998</v>
      </c>
      <c r="L36">
        <v>16</v>
      </c>
      <c r="M36">
        <v>54</v>
      </c>
      <c r="N36">
        <v>70</v>
      </c>
    </row>
    <row r="37" spans="1:14" x14ac:dyDescent="0.3">
      <c r="A37">
        <v>36</v>
      </c>
      <c r="B37" s="1">
        <v>40545</v>
      </c>
      <c r="C37">
        <v>1</v>
      </c>
      <c r="D37">
        <v>12</v>
      </c>
      <c r="E37" t="b">
        <v>0</v>
      </c>
      <c r="F37">
        <v>0</v>
      </c>
      <c r="G37">
        <v>2</v>
      </c>
      <c r="H37">
        <v>0.36</v>
      </c>
      <c r="I37">
        <v>0.33329999999999999</v>
      </c>
      <c r="J37">
        <v>0.66</v>
      </c>
      <c r="K37">
        <v>0.29849999999999999</v>
      </c>
      <c r="L37">
        <v>20</v>
      </c>
      <c r="M37">
        <v>73</v>
      </c>
      <c r="N37">
        <v>93</v>
      </c>
    </row>
    <row r="38" spans="1:14" x14ac:dyDescent="0.3">
      <c r="A38">
        <v>37</v>
      </c>
      <c r="B38" s="1">
        <v>40545</v>
      </c>
      <c r="C38">
        <v>1</v>
      </c>
      <c r="D38">
        <v>13</v>
      </c>
      <c r="E38" t="b">
        <v>0</v>
      </c>
      <c r="F38">
        <v>0</v>
      </c>
      <c r="G38">
        <v>2</v>
      </c>
      <c r="H38">
        <v>0.36</v>
      </c>
      <c r="I38">
        <v>0.34849999999999998</v>
      </c>
      <c r="J38">
        <v>0.66</v>
      </c>
      <c r="K38">
        <v>0.1343</v>
      </c>
      <c r="L38">
        <v>11</v>
      </c>
      <c r="M38">
        <v>64</v>
      </c>
      <c r="N38">
        <v>75</v>
      </c>
    </row>
    <row r="39" spans="1:14" x14ac:dyDescent="0.3">
      <c r="A39">
        <v>38</v>
      </c>
      <c r="B39" s="1">
        <v>40545</v>
      </c>
      <c r="C39">
        <v>1</v>
      </c>
      <c r="D39">
        <v>14</v>
      </c>
      <c r="E39" t="b">
        <v>0</v>
      </c>
      <c r="F39">
        <v>0</v>
      </c>
      <c r="G39">
        <v>3</v>
      </c>
      <c r="H39">
        <v>0.36</v>
      </c>
      <c r="J39">
        <v>0.76</v>
      </c>
      <c r="K39">
        <v>0.19400000000000001</v>
      </c>
      <c r="L39">
        <v>4</v>
      </c>
      <c r="M39">
        <v>55</v>
      </c>
      <c r="N39">
        <v>59</v>
      </c>
    </row>
    <row r="40" spans="1:14" x14ac:dyDescent="0.3">
      <c r="A40">
        <v>39</v>
      </c>
      <c r="B40" s="1">
        <v>40545</v>
      </c>
      <c r="C40">
        <v>1</v>
      </c>
      <c r="D40">
        <v>15</v>
      </c>
      <c r="E40" t="b">
        <v>0</v>
      </c>
      <c r="F40">
        <v>0</v>
      </c>
      <c r="G40">
        <v>3</v>
      </c>
      <c r="H40">
        <v>0.34</v>
      </c>
      <c r="I40">
        <v>0.33329999999999999</v>
      </c>
      <c r="J40">
        <v>0.81</v>
      </c>
      <c r="K40">
        <v>0.16420000000000001</v>
      </c>
      <c r="L40">
        <v>19</v>
      </c>
      <c r="M40">
        <v>55</v>
      </c>
      <c r="N40">
        <v>74</v>
      </c>
    </row>
    <row r="41" spans="1:14" x14ac:dyDescent="0.3">
      <c r="A41">
        <v>40</v>
      </c>
      <c r="B41" s="1">
        <v>40545</v>
      </c>
      <c r="C41">
        <v>1</v>
      </c>
      <c r="D41">
        <v>16</v>
      </c>
      <c r="E41" t="b">
        <v>0</v>
      </c>
      <c r="F41">
        <v>0</v>
      </c>
      <c r="G41">
        <v>3</v>
      </c>
      <c r="H41">
        <v>0.34</v>
      </c>
      <c r="I41">
        <v>0.33329999999999999</v>
      </c>
      <c r="J41">
        <v>0.71</v>
      </c>
      <c r="K41">
        <v>0.16420000000000001</v>
      </c>
      <c r="L41">
        <v>9</v>
      </c>
      <c r="M41">
        <v>67</v>
      </c>
      <c r="N41">
        <v>76</v>
      </c>
    </row>
    <row r="42" spans="1:14" x14ac:dyDescent="0.3">
      <c r="A42">
        <v>41</v>
      </c>
      <c r="B42" s="1">
        <v>40545</v>
      </c>
      <c r="C42">
        <v>1</v>
      </c>
      <c r="D42">
        <v>17</v>
      </c>
      <c r="E42" t="b">
        <v>0</v>
      </c>
      <c r="F42">
        <v>0</v>
      </c>
      <c r="G42">
        <v>1</v>
      </c>
      <c r="H42">
        <v>0.34</v>
      </c>
      <c r="I42">
        <v>0.33329999999999999</v>
      </c>
      <c r="J42">
        <v>0.56999999999999995</v>
      </c>
      <c r="K42">
        <v>0.19400000000000001</v>
      </c>
      <c r="L42">
        <v>7</v>
      </c>
      <c r="M42">
        <v>58</v>
      </c>
      <c r="N42">
        <v>65</v>
      </c>
    </row>
    <row r="43" spans="1:14" x14ac:dyDescent="0.3">
      <c r="A43">
        <v>42</v>
      </c>
      <c r="B43" s="1">
        <v>40545</v>
      </c>
      <c r="C43">
        <v>1</v>
      </c>
      <c r="D43">
        <v>18</v>
      </c>
      <c r="E43" t="b">
        <v>0</v>
      </c>
      <c r="F43">
        <v>0</v>
      </c>
      <c r="G43">
        <v>2</v>
      </c>
      <c r="H43">
        <v>0.36</v>
      </c>
      <c r="I43">
        <v>0.33329999999999999</v>
      </c>
      <c r="J43">
        <v>0.46</v>
      </c>
      <c r="K43">
        <v>0.32840000000000003</v>
      </c>
      <c r="L43">
        <v>10</v>
      </c>
      <c r="M43">
        <v>43</v>
      </c>
      <c r="N43">
        <v>53</v>
      </c>
    </row>
    <row r="44" spans="1:14" x14ac:dyDescent="0.3">
      <c r="A44">
        <v>43</v>
      </c>
      <c r="B44" s="1">
        <v>40545</v>
      </c>
      <c r="C44">
        <v>1</v>
      </c>
      <c r="D44">
        <v>19</v>
      </c>
      <c r="E44" t="b">
        <v>0</v>
      </c>
      <c r="F44">
        <v>0</v>
      </c>
      <c r="G44">
        <v>1</v>
      </c>
      <c r="H44">
        <v>0.32</v>
      </c>
      <c r="I44">
        <v>0.28789999999999999</v>
      </c>
      <c r="J44">
        <v>0.42</v>
      </c>
      <c r="K44">
        <v>0.44779999999999998</v>
      </c>
      <c r="L44">
        <v>1</v>
      </c>
      <c r="M44">
        <v>29</v>
      </c>
      <c r="N44">
        <v>30</v>
      </c>
    </row>
    <row r="45" spans="1:14" x14ac:dyDescent="0.3">
      <c r="A45">
        <v>44</v>
      </c>
      <c r="B45" s="1">
        <v>40545</v>
      </c>
      <c r="C45">
        <v>1</v>
      </c>
      <c r="D45">
        <v>20</v>
      </c>
      <c r="E45" t="b">
        <v>0</v>
      </c>
      <c r="F45">
        <v>0</v>
      </c>
      <c r="G45">
        <v>1</v>
      </c>
      <c r="H45">
        <v>0.3</v>
      </c>
      <c r="J45">
        <v>0.39</v>
      </c>
      <c r="K45">
        <v>0.35820000000000002</v>
      </c>
      <c r="L45">
        <v>5</v>
      </c>
      <c r="M45">
        <v>17</v>
      </c>
      <c r="N45">
        <v>22</v>
      </c>
    </row>
    <row r="46" spans="1:14" x14ac:dyDescent="0.3">
      <c r="A46">
        <v>45</v>
      </c>
      <c r="B46" s="1">
        <v>40545</v>
      </c>
      <c r="C46">
        <v>1</v>
      </c>
      <c r="D46">
        <v>21</v>
      </c>
      <c r="E46" t="b">
        <v>0</v>
      </c>
      <c r="F46">
        <v>0</v>
      </c>
      <c r="G46">
        <v>1</v>
      </c>
      <c r="H46">
        <v>0.26</v>
      </c>
      <c r="I46">
        <v>0.2273</v>
      </c>
      <c r="J46">
        <v>0.44</v>
      </c>
      <c r="K46">
        <v>0.32840000000000003</v>
      </c>
      <c r="L46">
        <v>11</v>
      </c>
      <c r="M46">
        <v>20</v>
      </c>
      <c r="N46">
        <v>31</v>
      </c>
    </row>
    <row r="47" spans="1:14" x14ac:dyDescent="0.3">
      <c r="A47">
        <v>46</v>
      </c>
      <c r="B47" s="1">
        <v>40545</v>
      </c>
      <c r="C47">
        <v>1</v>
      </c>
      <c r="D47">
        <v>22</v>
      </c>
      <c r="E47" t="b">
        <v>0</v>
      </c>
      <c r="F47">
        <v>0</v>
      </c>
      <c r="G47">
        <v>1</v>
      </c>
      <c r="H47">
        <v>0.24</v>
      </c>
      <c r="I47">
        <v>0.21210000000000001</v>
      </c>
      <c r="J47">
        <v>0.44</v>
      </c>
      <c r="K47">
        <v>0.29849999999999999</v>
      </c>
      <c r="L47">
        <v>0</v>
      </c>
      <c r="M47">
        <v>9</v>
      </c>
      <c r="N47">
        <v>9</v>
      </c>
    </row>
    <row r="48" spans="1:14" x14ac:dyDescent="0.3">
      <c r="A48">
        <v>47</v>
      </c>
      <c r="B48" s="1">
        <v>40545</v>
      </c>
      <c r="C48">
        <v>1</v>
      </c>
      <c r="D48">
        <v>23</v>
      </c>
      <c r="E48" t="b">
        <v>0</v>
      </c>
      <c r="F48">
        <v>0</v>
      </c>
      <c r="G48">
        <v>1</v>
      </c>
      <c r="H48">
        <v>0.22</v>
      </c>
      <c r="I48">
        <v>0.2273</v>
      </c>
      <c r="J48">
        <v>0.47</v>
      </c>
      <c r="K48">
        <v>0.16420000000000001</v>
      </c>
      <c r="L48">
        <v>0</v>
      </c>
      <c r="M48">
        <v>8</v>
      </c>
      <c r="N48">
        <v>8</v>
      </c>
    </row>
    <row r="49" spans="1:14" x14ac:dyDescent="0.3">
      <c r="A49">
        <v>48</v>
      </c>
      <c r="B49" s="1">
        <v>40546</v>
      </c>
      <c r="C49">
        <v>1</v>
      </c>
      <c r="D49">
        <v>0</v>
      </c>
      <c r="E49" t="b">
        <v>0</v>
      </c>
      <c r="F49">
        <v>1</v>
      </c>
      <c r="G49">
        <v>1</v>
      </c>
      <c r="H49">
        <v>0.22</v>
      </c>
      <c r="I49">
        <v>0.19700000000000001</v>
      </c>
      <c r="J49">
        <v>0.44</v>
      </c>
      <c r="K49">
        <v>0.35820000000000002</v>
      </c>
      <c r="L49">
        <v>0</v>
      </c>
      <c r="M49">
        <v>5</v>
      </c>
      <c r="N49">
        <v>5</v>
      </c>
    </row>
    <row r="50" spans="1:14" x14ac:dyDescent="0.3">
      <c r="A50">
        <v>49</v>
      </c>
      <c r="B50" s="1">
        <v>40546</v>
      </c>
      <c r="C50">
        <v>1</v>
      </c>
      <c r="D50">
        <v>1</v>
      </c>
      <c r="E50" t="b">
        <v>0</v>
      </c>
      <c r="F50">
        <v>1</v>
      </c>
      <c r="G50">
        <v>1</v>
      </c>
      <c r="H50">
        <v>0.2</v>
      </c>
      <c r="J50">
        <v>0.44</v>
      </c>
      <c r="K50">
        <v>0.41789999999999999</v>
      </c>
      <c r="L50">
        <v>0</v>
      </c>
      <c r="M50">
        <v>2</v>
      </c>
      <c r="N50">
        <v>2</v>
      </c>
    </row>
    <row r="51" spans="1:14" x14ac:dyDescent="0.3">
      <c r="A51">
        <v>50</v>
      </c>
      <c r="B51" s="1">
        <v>40546</v>
      </c>
      <c r="C51">
        <v>1</v>
      </c>
      <c r="D51">
        <v>4</v>
      </c>
      <c r="E51" t="b">
        <v>0</v>
      </c>
      <c r="F51">
        <v>1</v>
      </c>
      <c r="G51">
        <v>1</v>
      </c>
      <c r="H51">
        <v>0.16</v>
      </c>
      <c r="I51">
        <v>0.13639999999999999</v>
      </c>
      <c r="J51">
        <v>0.47</v>
      </c>
      <c r="K51">
        <v>0.3881</v>
      </c>
      <c r="L51">
        <v>0</v>
      </c>
      <c r="M51">
        <v>1</v>
      </c>
      <c r="N51">
        <v>1</v>
      </c>
    </row>
    <row r="52" spans="1:14" x14ac:dyDescent="0.3">
      <c r="A52">
        <v>51</v>
      </c>
      <c r="B52" s="1">
        <v>40546</v>
      </c>
      <c r="C52">
        <v>1</v>
      </c>
      <c r="D52">
        <v>5</v>
      </c>
      <c r="E52" t="b">
        <v>0</v>
      </c>
      <c r="F52">
        <v>1</v>
      </c>
      <c r="G52">
        <v>1</v>
      </c>
      <c r="H52">
        <v>0.16</v>
      </c>
      <c r="I52">
        <v>0.13639999999999999</v>
      </c>
      <c r="J52">
        <v>0.47</v>
      </c>
      <c r="K52">
        <v>0.28360000000000002</v>
      </c>
      <c r="L52">
        <v>0</v>
      </c>
      <c r="M52">
        <v>3</v>
      </c>
      <c r="N52">
        <v>3</v>
      </c>
    </row>
    <row r="53" spans="1:14" x14ac:dyDescent="0.3">
      <c r="A53">
        <v>52</v>
      </c>
      <c r="B53" s="1">
        <v>40546</v>
      </c>
      <c r="C53">
        <v>1</v>
      </c>
      <c r="D53">
        <v>6</v>
      </c>
      <c r="E53" t="b">
        <v>0</v>
      </c>
      <c r="F53">
        <v>1</v>
      </c>
      <c r="G53">
        <v>1</v>
      </c>
      <c r="H53">
        <v>0.14000000000000001</v>
      </c>
      <c r="I53">
        <v>0.1061</v>
      </c>
      <c r="J53">
        <v>0.5</v>
      </c>
      <c r="K53">
        <v>0.3881</v>
      </c>
      <c r="L53">
        <v>0</v>
      </c>
      <c r="M53">
        <v>30</v>
      </c>
      <c r="N53">
        <v>30</v>
      </c>
    </row>
    <row r="54" spans="1:14" x14ac:dyDescent="0.3">
      <c r="A54">
        <v>53</v>
      </c>
      <c r="B54" s="1">
        <v>40546</v>
      </c>
      <c r="C54">
        <v>1</v>
      </c>
      <c r="D54">
        <v>7</v>
      </c>
      <c r="E54" t="b">
        <v>0</v>
      </c>
      <c r="F54">
        <v>1</v>
      </c>
      <c r="G54">
        <v>1</v>
      </c>
      <c r="H54">
        <v>0.14000000000000001</v>
      </c>
      <c r="I54">
        <v>0.13639999999999999</v>
      </c>
      <c r="J54">
        <v>0.5</v>
      </c>
      <c r="K54">
        <v>0.19400000000000001</v>
      </c>
      <c r="L54">
        <v>1</v>
      </c>
      <c r="M54">
        <v>63</v>
      </c>
      <c r="N54">
        <v>64</v>
      </c>
    </row>
    <row r="55" spans="1:14" x14ac:dyDescent="0.3">
      <c r="A55">
        <v>54</v>
      </c>
      <c r="B55" s="1">
        <v>40546</v>
      </c>
      <c r="C55">
        <v>1</v>
      </c>
      <c r="D55">
        <v>8</v>
      </c>
      <c r="E55" t="b">
        <v>0</v>
      </c>
      <c r="F55">
        <v>1</v>
      </c>
      <c r="G55">
        <v>1</v>
      </c>
      <c r="H55">
        <v>0.14000000000000001</v>
      </c>
      <c r="I55">
        <v>0.1212</v>
      </c>
      <c r="J55">
        <v>0.5</v>
      </c>
      <c r="K55">
        <v>0.28360000000000002</v>
      </c>
      <c r="L55">
        <v>1</v>
      </c>
      <c r="M55">
        <v>153</v>
      </c>
      <c r="N55">
        <v>154</v>
      </c>
    </row>
    <row r="56" spans="1:14" x14ac:dyDescent="0.3">
      <c r="A56">
        <v>55</v>
      </c>
      <c r="B56" s="1">
        <v>40546</v>
      </c>
      <c r="C56">
        <v>1</v>
      </c>
      <c r="D56">
        <v>9</v>
      </c>
      <c r="E56" t="b">
        <v>0</v>
      </c>
      <c r="F56">
        <v>1</v>
      </c>
      <c r="G56">
        <v>1</v>
      </c>
      <c r="H56">
        <v>0.16</v>
      </c>
      <c r="I56">
        <v>0.13639999999999999</v>
      </c>
      <c r="J56">
        <v>0.43</v>
      </c>
      <c r="K56">
        <v>0.3881</v>
      </c>
      <c r="L56">
        <v>7</v>
      </c>
      <c r="M56">
        <v>81</v>
      </c>
      <c r="N56">
        <v>88</v>
      </c>
    </row>
    <row r="57" spans="1:14" x14ac:dyDescent="0.3">
      <c r="A57">
        <v>56</v>
      </c>
      <c r="B57" s="1">
        <v>40546</v>
      </c>
      <c r="C57">
        <v>1</v>
      </c>
      <c r="D57">
        <v>10</v>
      </c>
      <c r="E57" t="b">
        <v>0</v>
      </c>
      <c r="F57">
        <v>1</v>
      </c>
      <c r="G57">
        <v>1</v>
      </c>
      <c r="H57">
        <v>0.18</v>
      </c>
      <c r="I57">
        <v>0.16669999999999999</v>
      </c>
      <c r="J57">
        <v>0.43</v>
      </c>
      <c r="K57">
        <v>0.25369999999999998</v>
      </c>
      <c r="L57">
        <v>11</v>
      </c>
      <c r="M57">
        <v>33</v>
      </c>
      <c r="N57">
        <v>44</v>
      </c>
    </row>
    <row r="58" spans="1:14" x14ac:dyDescent="0.3">
      <c r="A58">
        <v>57</v>
      </c>
      <c r="B58" s="1">
        <v>40546</v>
      </c>
      <c r="C58">
        <v>1</v>
      </c>
      <c r="D58">
        <v>11</v>
      </c>
      <c r="E58" t="b">
        <v>0</v>
      </c>
      <c r="F58">
        <v>1</v>
      </c>
      <c r="G58">
        <v>1</v>
      </c>
      <c r="H58">
        <v>0.2</v>
      </c>
      <c r="I58">
        <v>0.18179999999999999</v>
      </c>
      <c r="J58">
        <v>0.4</v>
      </c>
      <c r="K58">
        <v>0.32840000000000003</v>
      </c>
      <c r="L58">
        <v>10</v>
      </c>
      <c r="M58">
        <v>41</v>
      </c>
      <c r="N58">
        <v>51</v>
      </c>
    </row>
    <row r="59" spans="1:14" x14ac:dyDescent="0.3">
      <c r="A59">
        <v>58</v>
      </c>
      <c r="B59" s="1">
        <v>40546</v>
      </c>
      <c r="C59">
        <v>1</v>
      </c>
      <c r="D59">
        <v>12</v>
      </c>
      <c r="E59" t="b">
        <v>0</v>
      </c>
      <c r="F59">
        <v>1</v>
      </c>
      <c r="G59">
        <v>1</v>
      </c>
      <c r="H59">
        <v>0.22</v>
      </c>
      <c r="I59">
        <v>0.21210000000000001</v>
      </c>
      <c r="J59">
        <v>0.35</v>
      </c>
      <c r="K59">
        <v>0.29849999999999999</v>
      </c>
      <c r="L59">
        <v>13</v>
      </c>
      <c r="M59">
        <v>48</v>
      </c>
      <c r="N59">
        <v>61</v>
      </c>
    </row>
    <row r="60" spans="1:14" x14ac:dyDescent="0.3">
      <c r="A60">
        <v>59</v>
      </c>
      <c r="B60" s="1">
        <v>40546</v>
      </c>
      <c r="C60">
        <v>1</v>
      </c>
      <c r="D60">
        <v>13</v>
      </c>
      <c r="E60" t="b">
        <v>0</v>
      </c>
      <c r="F60">
        <v>1</v>
      </c>
      <c r="G60">
        <v>1</v>
      </c>
      <c r="H60">
        <v>0.24</v>
      </c>
      <c r="J60">
        <v>0.35</v>
      </c>
      <c r="K60">
        <v>0.28360000000000002</v>
      </c>
      <c r="L60">
        <v>8</v>
      </c>
      <c r="M60">
        <v>53</v>
      </c>
      <c r="N60">
        <v>61</v>
      </c>
    </row>
    <row r="61" spans="1:14" x14ac:dyDescent="0.3">
      <c r="A61">
        <v>60</v>
      </c>
      <c r="B61" s="1">
        <v>40546</v>
      </c>
      <c r="C61">
        <v>1</v>
      </c>
      <c r="D61">
        <v>14</v>
      </c>
      <c r="E61" t="b">
        <v>0</v>
      </c>
      <c r="F61">
        <v>1</v>
      </c>
      <c r="G61">
        <v>1</v>
      </c>
      <c r="H61">
        <v>0.26</v>
      </c>
      <c r="I61">
        <v>0.2424</v>
      </c>
      <c r="J61">
        <v>0.3</v>
      </c>
      <c r="K61">
        <v>0.28360000000000002</v>
      </c>
      <c r="L61">
        <v>11</v>
      </c>
      <c r="M61">
        <v>66</v>
      </c>
      <c r="N61">
        <v>77</v>
      </c>
    </row>
    <row r="62" spans="1:14" x14ac:dyDescent="0.3">
      <c r="A62">
        <v>61</v>
      </c>
      <c r="B62" s="1">
        <v>40546</v>
      </c>
      <c r="C62">
        <v>1</v>
      </c>
      <c r="D62">
        <v>15</v>
      </c>
      <c r="E62" t="b">
        <v>0</v>
      </c>
      <c r="F62">
        <v>1</v>
      </c>
      <c r="G62">
        <v>1</v>
      </c>
      <c r="H62">
        <v>0.26</v>
      </c>
      <c r="I62">
        <v>0.2424</v>
      </c>
      <c r="J62">
        <v>0.3</v>
      </c>
      <c r="K62">
        <v>0.25369999999999998</v>
      </c>
      <c r="L62">
        <v>14</v>
      </c>
      <c r="M62">
        <v>58</v>
      </c>
      <c r="N62">
        <v>72</v>
      </c>
    </row>
    <row r="63" spans="1:14" x14ac:dyDescent="0.3">
      <c r="A63">
        <v>62</v>
      </c>
      <c r="B63" s="1">
        <v>40546</v>
      </c>
      <c r="C63">
        <v>1</v>
      </c>
      <c r="D63">
        <v>16</v>
      </c>
      <c r="E63" t="b">
        <v>0</v>
      </c>
      <c r="F63">
        <v>1</v>
      </c>
      <c r="G63">
        <v>1</v>
      </c>
      <c r="H63">
        <v>0.26</v>
      </c>
      <c r="I63">
        <v>0.2424</v>
      </c>
      <c r="J63">
        <v>0.3</v>
      </c>
      <c r="K63">
        <v>0.25369999999999998</v>
      </c>
      <c r="L63">
        <v>9</v>
      </c>
      <c r="M63">
        <v>67</v>
      </c>
      <c r="N63">
        <v>76</v>
      </c>
    </row>
    <row r="64" spans="1:14" x14ac:dyDescent="0.3">
      <c r="A64">
        <v>63</v>
      </c>
      <c r="B64" s="1">
        <v>40546</v>
      </c>
      <c r="C64">
        <v>1</v>
      </c>
      <c r="D64">
        <v>17</v>
      </c>
      <c r="E64" t="b">
        <v>0</v>
      </c>
      <c r="F64">
        <v>1</v>
      </c>
      <c r="G64">
        <v>1</v>
      </c>
      <c r="H64">
        <v>0.24</v>
      </c>
      <c r="I64">
        <v>0.2273</v>
      </c>
      <c r="J64">
        <v>0.3</v>
      </c>
      <c r="K64">
        <v>0.22389999999999999</v>
      </c>
      <c r="L64">
        <v>11</v>
      </c>
      <c r="M64">
        <v>146</v>
      </c>
      <c r="N64">
        <v>157</v>
      </c>
    </row>
    <row r="65" spans="1:14" x14ac:dyDescent="0.3">
      <c r="A65">
        <v>64</v>
      </c>
      <c r="B65" s="1">
        <v>40546</v>
      </c>
      <c r="C65">
        <v>1</v>
      </c>
      <c r="D65">
        <v>18</v>
      </c>
      <c r="E65" t="b">
        <v>0</v>
      </c>
      <c r="F65">
        <v>1</v>
      </c>
      <c r="G65">
        <v>1</v>
      </c>
      <c r="H65">
        <v>0.24</v>
      </c>
      <c r="I65">
        <v>0.2576</v>
      </c>
      <c r="J65">
        <v>0.32</v>
      </c>
      <c r="K65">
        <v>0.1045</v>
      </c>
      <c r="L65">
        <v>9</v>
      </c>
      <c r="M65">
        <v>148</v>
      </c>
      <c r="N65">
        <v>157</v>
      </c>
    </row>
    <row r="66" spans="1:14" x14ac:dyDescent="0.3">
      <c r="A66">
        <v>65</v>
      </c>
      <c r="B66" s="1">
        <v>40546</v>
      </c>
      <c r="C66">
        <v>1</v>
      </c>
      <c r="D66">
        <v>19</v>
      </c>
      <c r="E66" t="b">
        <v>0</v>
      </c>
      <c r="F66">
        <v>1</v>
      </c>
      <c r="G66">
        <v>1</v>
      </c>
      <c r="H66">
        <v>0.2</v>
      </c>
      <c r="I66">
        <v>0.2576</v>
      </c>
      <c r="J66">
        <v>0.47</v>
      </c>
      <c r="K66">
        <v>0</v>
      </c>
      <c r="L66">
        <v>8</v>
      </c>
      <c r="M66">
        <v>102</v>
      </c>
      <c r="N66">
        <v>110</v>
      </c>
    </row>
    <row r="67" spans="1:14" x14ac:dyDescent="0.3">
      <c r="A67">
        <v>66</v>
      </c>
      <c r="B67" s="1">
        <v>40546</v>
      </c>
      <c r="C67">
        <v>1</v>
      </c>
      <c r="D67">
        <v>20</v>
      </c>
      <c r="E67" t="b">
        <v>0</v>
      </c>
      <c r="F67">
        <v>1</v>
      </c>
      <c r="G67">
        <v>1</v>
      </c>
      <c r="H67">
        <v>0.2</v>
      </c>
      <c r="J67">
        <v>0.47</v>
      </c>
      <c r="K67">
        <v>0.1045</v>
      </c>
      <c r="L67">
        <v>3</v>
      </c>
      <c r="M67">
        <v>49</v>
      </c>
      <c r="N67">
        <v>52</v>
      </c>
    </row>
    <row r="68" spans="1:14" x14ac:dyDescent="0.3">
      <c r="A68">
        <v>67</v>
      </c>
      <c r="B68" s="1">
        <v>40546</v>
      </c>
      <c r="C68">
        <v>1</v>
      </c>
      <c r="D68">
        <v>21</v>
      </c>
      <c r="E68" t="b">
        <v>0</v>
      </c>
      <c r="F68">
        <v>1</v>
      </c>
      <c r="G68">
        <v>1</v>
      </c>
      <c r="H68">
        <v>0.18</v>
      </c>
      <c r="I68">
        <v>0.19700000000000001</v>
      </c>
      <c r="J68">
        <v>0.64</v>
      </c>
      <c r="K68">
        <v>0.1343</v>
      </c>
      <c r="L68">
        <v>3</v>
      </c>
      <c r="M68">
        <v>49</v>
      </c>
      <c r="N68">
        <v>52</v>
      </c>
    </row>
    <row r="69" spans="1:14" x14ac:dyDescent="0.3">
      <c r="A69">
        <v>68</v>
      </c>
      <c r="B69" s="1">
        <v>40546</v>
      </c>
      <c r="C69">
        <v>1</v>
      </c>
      <c r="D69">
        <v>22</v>
      </c>
      <c r="E69" t="b">
        <v>0</v>
      </c>
      <c r="F69">
        <v>1</v>
      </c>
      <c r="G69">
        <v>1</v>
      </c>
      <c r="H69">
        <v>0.14000000000000001</v>
      </c>
      <c r="I69">
        <v>0.1515</v>
      </c>
      <c r="J69">
        <v>0.69</v>
      </c>
      <c r="K69">
        <v>0.1343</v>
      </c>
      <c r="L69">
        <v>0</v>
      </c>
      <c r="M69">
        <v>20</v>
      </c>
      <c r="N69">
        <v>20</v>
      </c>
    </row>
    <row r="70" spans="1:14" x14ac:dyDescent="0.3">
      <c r="A70">
        <v>69</v>
      </c>
      <c r="B70" s="1">
        <v>40546</v>
      </c>
      <c r="C70">
        <v>1</v>
      </c>
      <c r="D70">
        <v>23</v>
      </c>
      <c r="E70" t="b">
        <v>0</v>
      </c>
      <c r="F70">
        <v>1</v>
      </c>
      <c r="G70">
        <v>1</v>
      </c>
      <c r="H70">
        <v>0.18</v>
      </c>
      <c r="I70">
        <v>0.21210000000000001</v>
      </c>
      <c r="J70">
        <v>0.55000000000000004</v>
      </c>
      <c r="K70">
        <v>0.1045</v>
      </c>
      <c r="L70">
        <v>1</v>
      </c>
      <c r="M70">
        <v>11</v>
      </c>
      <c r="N70">
        <v>12</v>
      </c>
    </row>
    <row r="71" spans="1:14" x14ac:dyDescent="0.3">
      <c r="A71">
        <v>70</v>
      </c>
      <c r="B71" s="1">
        <v>40547</v>
      </c>
      <c r="C71">
        <v>1</v>
      </c>
      <c r="D71">
        <v>0</v>
      </c>
      <c r="E71" t="b">
        <v>0</v>
      </c>
      <c r="F71">
        <v>2</v>
      </c>
      <c r="G71">
        <v>1</v>
      </c>
      <c r="H71">
        <v>0.16</v>
      </c>
      <c r="J71">
        <v>0.55000000000000004</v>
      </c>
      <c r="K71">
        <v>0.1045</v>
      </c>
      <c r="L71">
        <v>0</v>
      </c>
      <c r="M71">
        <v>5</v>
      </c>
      <c r="N71">
        <v>5</v>
      </c>
    </row>
    <row r="72" spans="1:14" x14ac:dyDescent="0.3">
      <c r="A72">
        <v>71</v>
      </c>
      <c r="B72" s="1">
        <v>40547</v>
      </c>
      <c r="C72">
        <v>1</v>
      </c>
      <c r="D72">
        <v>1</v>
      </c>
      <c r="E72" t="b">
        <v>0</v>
      </c>
      <c r="F72">
        <v>2</v>
      </c>
      <c r="G72">
        <v>1</v>
      </c>
      <c r="H72">
        <v>0.16</v>
      </c>
      <c r="I72">
        <v>0.18179999999999999</v>
      </c>
      <c r="J72">
        <v>0.59</v>
      </c>
      <c r="K72">
        <v>0.1045</v>
      </c>
      <c r="L72">
        <v>0</v>
      </c>
      <c r="M72">
        <v>2</v>
      </c>
      <c r="N72">
        <v>2</v>
      </c>
    </row>
    <row r="73" spans="1:14" x14ac:dyDescent="0.3">
      <c r="A73">
        <v>72</v>
      </c>
      <c r="B73" s="1">
        <v>40547</v>
      </c>
      <c r="C73">
        <v>1</v>
      </c>
      <c r="D73">
        <v>2</v>
      </c>
      <c r="E73" t="b">
        <v>0</v>
      </c>
      <c r="F73">
        <v>2</v>
      </c>
      <c r="G73">
        <v>1</v>
      </c>
      <c r="H73">
        <v>0.14000000000000001</v>
      </c>
      <c r="I73">
        <v>0.1515</v>
      </c>
      <c r="J73">
        <v>0.63</v>
      </c>
      <c r="K73">
        <v>0.1343</v>
      </c>
      <c r="L73">
        <v>0</v>
      </c>
      <c r="M73">
        <v>1</v>
      </c>
      <c r="N73">
        <v>1</v>
      </c>
    </row>
    <row r="74" spans="1:14" x14ac:dyDescent="0.3">
      <c r="A74">
        <v>73</v>
      </c>
      <c r="B74" s="1">
        <v>40547</v>
      </c>
      <c r="C74">
        <v>1</v>
      </c>
      <c r="D74">
        <v>4</v>
      </c>
      <c r="E74" t="b">
        <v>0</v>
      </c>
      <c r="F74">
        <v>2</v>
      </c>
      <c r="G74">
        <v>1</v>
      </c>
      <c r="H74">
        <v>0.14000000000000001</v>
      </c>
      <c r="I74">
        <v>0.18179999999999999</v>
      </c>
      <c r="J74">
        <v>0.63</v>
      </c>
      <c r="K74">
        <v>8.9599999999999999E-2</v>
      </c>
      <c r="L74">
        <v>0</v>
      </c>
      <c r="M74">
        <v>2</v>
      </c>
      <c r="N74">
        <v>2</v>
      </c>
    </row>
    <row r="75" spans="1:14" x14ac:dyDescent="0.3">
      <c r="A75">
        <v>74</v>
      </c>
      <c r="B75" s="1">
        <v>40547</v>
      </c>
      <c r="C75">
        <v>1</v>
      </c>
      <c r="D75">
        <v>5</v>
      </c>
      <c r="E75" t="b">
        <v>0</v>
      </c>
      <c r="F75">
        <v>2</v>
      </c>
      <c r="G75">
        <v>1</v>
      </c>
      <c r="H75">
        <v>0.12</v>
      </c>
      <c r="I75">
        <v>0.1515</v>
      </c>
      <c r="J75">
        <v>0.68</v>
      </c>
      <c r="K75">
        <v>0.1045</v>
      </c>
      <c r="L75">
        <v>0</v>
      </c>
      <c r="M75">
        <v>4</v>
      </c>
      <c r="N75">
        <v>4</v>
      </c>
    </row>
    <row r="76" spans="1:14" x14ac:dyDescent="0.3">
      <c r="A76">
        <v>75</v>
      </c>
      <c r="B76" s="1">
        <v>40547</v>
      </c>
      <c r="C76">
        <v>1</v>
      </c>
      <c r="D76">
        <v>6</v>
      </c>
      <c r="E76" t="b">
        <v>0</v>
      </c>
      <c r="F76">
        <v>2</v>
      </c>
      <c r="G76">
        <v>1</v>
      </c>
      <c r="H76">
        <v>0.12</v>
      </c>
      <c r="I76">
        <v>0.1515</v>
      </c>
      <c r="J76">
        <v>0.74</v>
      </c>
      <c r="K76">
        <v>0.1045</v>
      </c>
      <c r="L76">
        <v>0</v>
      </c>
      <c r="M76">
        <v>36</v>
      </c>
      <c r="N76">
        <v>36</v>
      </c>
    </row>
    <row r="77" spans="1:14" x14ac:dyDescent="0.3">
      <c r="A77">
        <v>76</v>
      </c>
      <c r="B77" s="1">
        <v>40547</v>
      </c>
      <c r="C77">
        <v>1</v>
      </c>
      <c r="D77">
        <v>7</v>
      </c>
      <c r="E77" t="b">
        <v>0</v>
      </c>
      <c r="F77">
        <v>2</v>
      </c>
      <c r="G77">
        <v>1</v>
      </c>
      <c r="H77">
        <v>0.12</v>
      </c>
      <c r="I77">
        <v>0.1515</v>
      </c>
      <c r="J77">
        <v>0.74</v>
      </c>
      <c r="K77">
        <v>0.1343</v>
      </c>
      <c r="L77">
        <v>2</v>
      </c>
      <c r="M77">
        <v>92</v>
      </c>
      <c r="N77">
        <v>94</v>
      </c>
    </row>
    <row r="78" spans="1:14" x14ac:dyDescent="0.3">
      <c r="A78">
        <v>77</v>
      </c>
      <c r="B78" s="1">
        <v>40547</v>
      </c>
      <c r="C78">
        <v>1</v>
      </c>
      <c r="D78">
        <v>8</v>
      </c>
      <c r="E78" t="b">
        <v>0</v>
      </c>
      <c r="F78">
        <v>2</v>
      </c>
      <c r="G78">
        <v>1</v>
      </c>
      <c r="H78">
        <v>0.14000000000000001</v>
      </c>
      <c r="I78">
        <v>0.1515</v>
      </c>
      <c r="J78">
        <v>0.69</v>
      </c>
      <c r="K78">
        <v>0.16420000000000001</v>
      </c>
      <c r="L78">
        <v>2</v>
      </c>
      <c r="M78">
        <v>177</v>
      </c>
      <c r="N78">
        <v>179</v>
      </c>
    </row>
    <row r="79" spans="1:14" x14ac:dyDescent="0.3">
      <c r="A79">
        <v>78</v>
      </c>
      <c r="B79" s="1">
        <v>40547</v>
      </c>
      <c r="C79">
        <v>1</v>
      </c>
      <c r="D79">
        <v>9</v>
      </c>
      <c r="E79" t="b">
        <v>0</v>
      </c>
      <c r="F79">
        <v>2</v>
      </c>
      <c r="G79">
        <v>1</v>
      </c>
      <c r="H79">
        <v>0.16</v>
      </c>
      <c r="I79">
        <v>0.1515</v>
      </c>
      <c r="J79">
        <v>0.64</v>
      </c>
      <c r="K79">
        <v>0.22389999999999999</v>
      </c>
      <c r="L79">
        <v>2</v>
      </c>
      <c r="M79">
        <v>98</v>
      </c>
      <c r="N79">
        <v>100</v>
      </c>
    </row>
    <row r="80" spans="1:14" x14ac:dyDescent="0.3">
      <c r="A80">
        <v>79</v>
      </c>
      <c r="B80" s="1">
        <v>40547</v>
      </c>
      <c r="C80">
        <v>1</v>
      </c>
      <c r="D80">
        <v>10</v>
      </c>
      <c r="E80" t="b">
        <v>0</v>
      </c>
      <c r="F80">
        <v>2</v>
      </c>
      <c r="G80">
        <v>2</v>
      </c>
      <c r="H80">
        <v>0.16</v>
      </c>
      <c r="I80">
        <v>0.13639999999999999</v>
      </c>
      <c r="J80">
        <v>0.69</v>
      </c>
      <c r="K80">
        <v>0.32840000000000003</v>
      </c>
      <c r="L80">
        <v>5</v>
      </c>
      <c r="M80">
        <v>37</v>
      </c>
      <c r="N80">
        <v>42</v>
      </c>
    </row>
    <row r="81" spans="1:14" x14ac:dyDescent="0.3">
      <c r="A81">
        <v>80</v>
      </c>
      <c r="B81" s="1">
        <v>40547</v>
      </c>
      <c r="C81">
        <v>1</v>
      </c>
      <c r="D81">
        <v>11</v>
      </c>
      <c r="E81" t="b">
        <v>0</v>
      </c>
      <c r="F81">
        <v>2</v>
      </c>
      <c r="G81">
        <v>1</v>
      </c>
      <c r="H81">
        <v>0.22</v>
      </c>
      <c r="I81">
        <v>0.21210000000000001</v>
      </c>
      <c r="J81">
        <v>0.51</v>
      </c>
      <c r="K81">
        <v>0.29849999999999999</v>
      </c>
      <c r="L81">
        <v>7</v>
      </c>
      <c r="M81">
        <v>50</v>
      </c>
      <c r="N81">
        <v>57</v>
      </c>
    </row>
    <row r="82" spans="1:14" x14ac:dyDescent="0.3">
      <c r="A82">
        <v>81</v>
      </c>
      <c r="B82" s="1">
        <v>40547</v>
      </c>
      <c r="C82">
        <v>1</v>
      </c>
      <c r="D82">
        <v>12</v>
      </c>
      <c r="E82" t="b">
        <v>0</v>
      </c>
      <c r="F82">
        <v>2</v>
      </c>
      <c r="G82">
        <v>1</v>
      </c>
      <c r="H82">
        <v>0.22</v>
      </c>
      <c r="I82">
        <v>0.2273</v>
      </c>
      <c r="J82">
        <v>0.51</v>
      </c>
      <c r="K82">
        <v>0.16420000000000001</v>
      </c>
      <c r="L82">
        <v>12</v>
      </c>
      <c r="M82">
        <v>66</v>
      </c>
      <c r="N82">
        <v>78</v>
      </c>
    </row>
    <row r="83" spans="1:14" x14ac:dyDescent="0.3">
      <c r="A83">
        <v>82</v>
      </c>
      <c r="B83" s="1">
        <v>40547</v>
      </c>
      <c r="C83">
        <v>1</v>
      </c>
      <c r="D83">
        <v>13</v>
      </c>
      <c r="E83" t="b">
        <v>0</v>
      </c>
      <c r="F83">
        <v>2</v>
      </c>
      <c r="G83">
        <v>1</v>
      </c>
      <c r="H83">
        <v>0.24</v>
      </c>
      <c r="I83">
        <v>0.2273</v>
      </c>
      <c r="J83">
        <v>0.56000000000000005</v>
      </c>
      <c r="K83">
        <v>0.19400000000000001</v>
      </c>
      <c r="L83">
        <v>18</v>
      </c>
      <c r="M83">
        <v>79</v>
      </c>
      <c r="N83">
        <v>97</v>
      </c>
    </row>
    <row r="84" spans="1:14" x14ac:dyDescent="0.3">
      <c r="A84">
        <v>83</v>
      </c>
      <c r="B84" s="1">
        <v>40547</v>
      </c>
      <c r="C84">
        <v>1</v>
      </c>
      <c r="D84">
        <v>14</v>
      </c>
      <c r="E84" t="b">
        <v>0</v>
      </c>
      <c r="F84">
        <v>2</v>
      </c>
      <c r="G84">
        <v>1</v>
      </c>
      <c r="H84">
        <v>0.26</v>
      </c>
      <c r="I84">
        <v>0.2576</v>
      </c>
      <c r="J84">
        <v>0.52</v>
      </c>
      <c r="K84">
        <v>0.22389999999999999</v>
      </c>
      <c r="L84">
        <v>9</v>
      </c>
      <c r="M84">
        <v>54</v>
      </c>
      <c r="N84">
        <v>63</v>
      </c>
    </row>
    <row r="85" spans="1:14" x14ac:dyDescent="0.3">
      <c r="A85">
        <v>84</v>
      </c>
      <c r="B85" s="1">
        <v>40547</v>
      </c>
      <c r="C85">
        <v>1</v>
      </c>
      <c r="D85">
        <v>15</v>
      </c>
      <c r="E85" t="b">
        <v>0</v>
      </c>
      <c r="F85">
        <v>2</v>
      </c>
      <c r="G85">
        <v>1</v>
      </c>
      <c r="H85">
        <v>0.28000000000000003</v>
      </c>
      <c r="I85">
        <v>0.2727</v>
      </c>
      <c r="J85">
        <v>0.52</v>
      </c>
      <c r="K85">
        <v>0.25369999999999998</v>
      </c>
      <c r="L85">
        <v>17</v>
      </c>
      <c r="M85">
        <v>48</v>
      </c>
      <c r="N85">
        <v>65</v>
      </c>
    </row>
    <row r="86" spans="1:14" x14ac:dyDescent="0.3">
      <c r="A86">
        <v>85</v>
      </c>
      <c r="B86" s="1">
        <v>40547</v>
      </c>
      <c r="C86">
        <v>1</v>
      </c>
      <c r="D86">
        <v>16</v>
      </c>
      <c r="E86" t="b">
        <v>0</v>
      </c>
      <c r="F86">
        <v>2</v>
      </c>
      <c r="G86">
        <v>1</v>
      </c>
      <c r="H86">
        <v>0.3</v>
      </c>
      <c r="I86">
        <v>0.28789999999999999</v>
      </c>
      <c r="J86">
        <v>0.49</v>
      </c>
      <c r="K86">
        <v>0.25369999999999998</v>
      </c>
      <c r="L86">
        <v>15</v>
      </c>
      <c r="M86">
        <v>68</v>
      </c>
      <c r="N86">
        <v>83</v>
      </c>
    </row>
    <row r="87" spans="1:14" x14ac:dyDescent="0.3">
      <c r="A87">
        <v>86</v>
      </c>
      <c r="B87" s="1">
        <v>40547</v>
      </c>
      <c r="C87">
        <v>1</v>
      </c>
      <c r="D87">
        <v>17</v>
      </c>
      <c r="E87" t="b">
        <v>0</v>
      </c>
      <c r="F87">
        <v>2</v>
      </c>
      <c r="G87">
        <v>1</v>
      </c>
      <c r="H87">
        <v>0.28000000000000003</v>
      </c>
      <c r="I87">
        <v>0.2727</v>
      </c>
      <c r="J87">
        <v>0.48</v>
      </c>
      <c r="K87">
        <v>0.22389999999999999</v>
      </c>
      <c r="L87">
        <v>10</v>
      </c>
      <c r="M87">
        <v>202</v>
      </c>
      <c r="N87">
        <v>212</v>
      </c>
    </row>
    <row r="88" spans="1:14" x14ac:dyDescent="0.3">
      <c r="A88">
        <v>87</v>
      </c>
      <c r="B88" s="1">
        <v>40547</v>
      </c>
      <c r="C88">
        <v>1</v>
      </c>
      <c r="D88">
        <v>18</v>
      </c>
      <c r="E88" t="b">
        <v>0</v>
      </c>
      <c r="F88">
        <v>2</v>
      </c>
      <c r="G88">
        <v>1</v>
      </c>
      <c r="H88">
        <v>0.26</v>
      </c>
      <c r="I88">
        <v>0.2576</v>
      </c>
      <c r="J88">
        <v>0.48</v>
      </c>
      <c r="K88">
        <v>0.19400000000000001</v>
      </c>
      <c r="L88">
        <v>3</v>
      </c>
      <c r="M88">
        <v>179</v>
      </c>
      <c r="N88">
        <v>182</v>
      </c>
    </row>
    <row r="89" spans="1:14" x14ac:dyDescent="0.3">
      <c r="A89">
        <v>88</v>
      </c>
      <c r="B89" s="1">
        <v>40547</v>
      </c>
      <c r="C89">
        <v>1</v>
      </c>
      <c r="D89">
        <v>19</v>
      </c>
      <c r="E89" t="b">
        <v>0</v>
      </c>
      <c r="F89">
        <v>2</v>
      </c>
      <c r="G89">
        <v>1</v>
      </c>
      <c r="H89">
        <v>0.24</v>
      </c>
      <c r="I89">
        <v>0.2576</v>
      </c>
      <c r="J89">
        <v>0.48</v>
      </c>
      <c r="K89">
        <v>0.1045</v>
      </c>
      <c r="L89">
        <v>2</v>
      </c>
      <c r="M89">
        <v>110</v>
      </c>
      <c r="N89">
        <v>112</v>
      </c>
    </row>
    <row r="90" spans="1:14" x14ac:dyDescent="0.3">
      <c r="A90">
        <v>89</v>
      </c>
      <c r="B90" s="1">
        <v>40547</v>
      </c>
      <c r="C90">
        <v>1</v>
      </c>
      <c r="D90">
        <v>20</v>
      </c>
      <c r="E90" t="b">
        <v>0</v>
      </c>
      <c r="F90">
        <v>2</v>
      </c>
      <c r="G90">
        <v>1</v>
      </c>
      <c r="H90">
        <v>0.24</v>
      </c>
      <c r="I90">
        <v>0.2576</v>
      </c>
      <c r="J90">
        <v>0.48</v>
      </c>
      <c r="K90">
        <v>0.1045</v>
      </c>
      <c r="L90">
        <v>1</v>
      </c>
      <c r="M90">
        <v>53</v>
      </c>
      <c r="N90">
        <v>54</v>
      </c>
    </row>
    <row r="91" spans="1:14" x14ac:dyDescent="0.3">
      <c r="A91">
        <v>90</v>
      </c>
      <c r="B91" s="1">
        <v>40547</v>
      </c>
      <c r="C91">
        <v>1</v>
      </c>
      <c r="D91">
        <v>21</v>
      </c>
      <c r="E91" t="b">
        <v>0</v>
      </c>
      <c r="F91">
        <v>2</v>
      </c>
      <c r="G91">
        <v>1</v>
      </c>
      <c r="H91">
        <v>0.22</v>
      </c>
      <c r="I91">
        <v>0.2727</v>
      </c>
      <c r="J91">
        <v>0.64</v>
      </c>
      <c r="K91">
        <v>0</v>
      </c>
      <c r="L91">
        <v>0</v>
      </c>
      <c r="M91">
        <v>48</v>
      </c>
      <c r="N91">
        <v>48</v>
      </c>
    </row>
    <row r="92" spans="1:14" x14ac:dyDescent="0.3">
      <c r="A92">
        <v>91</v>
      </c>
      <c r="B92" s="1">
        <v>40547</v>
      </c>
      <c r="C92">
        <v>1</v>
      </c>
      <c r="D92">
        <v>22</v>
      </c>
      <c r="E92" t="b">
        <v>0</v>
      </c>
      <c r="F92">
        <v>2</v>
      </c>
      <c r="G92">
        <v>1</v>
      </c>
      <c r="H92">
        <v>0.22</v>
      </c>
      <c r="I92">
        <v>0.2576</v>
      </c>
      <c r="J92">
        <v>0.64</v>
      </c>
      <c r="K92">
        <v>8.9599999999999999E-2</v>
      </c>
      <c r="L92">
        <v>1</v>
      </c>
      <c r="M92">
        <v>34</v>
      </c>
      <c r="N92">
        <v>35</v>
      </c>
    </row>
    <row r="93" spans="1:14" x14ac:dyDescent="0.3">
      <c r="A93">
        <v>92</v>
      </c>
      <c r="B93" s="1">
        <v>40547</v>
      </c>
      <c r="C93">
        <v>1</v>
      </c>
      <c r="D93">
        <v>23</v>
      </c>
      <c r="E93" t="b">
        <v>0</v>
      </c>
      <c r="F93">
        <v>2</v>
      </c>
      <c r="G93">
        <v>1</v>
      </c>
      <c r="H93">
        <v>0.2</v>
      </c>
      <c r="I93">
        <v>0.2273</v>
      </c>
      <c r="J93">
        <v>0.69</v>
      </c>
      <c r="K93">
        <v>8.9599999999999999E-2</v>
      </c>
      <c r="L93">
        <v>2</v>
      </c>
      <c r="M93">
        <v>9</v>
      </c>
      <c r="N93">
        <v>11</v>
      </c>
    </row>
    <row r="94" spans="1:14" x14ac:dyDescent="0.3">
      <c r="A94">
        <v>93</v>
      </c>
      <c r="B94" s="1">
        <v>40548</v>
      </c>
      <c r="C94">
        <v>1</v>
      </c>
      <c r="D94">
        <v>0</v>
      </c>
      <c r="E94" t="b">
        <v>0</v>
      </c>
      <c r="F94">
        <v>3</v>
      </c>
      <c r="G94">
        <v>1</v>
      </c>
      <c r="H94">
        <v>0.2</v>
      </c>
      <c r="I94">
        <v>0.2576</v>
      </c>
      <c r="J94">
        <v>0.64</v>
      </c>
      <c r="K94">
        <v>0</v>
      </c>
      <c r="L94">
        <v>0</v>
      </c>
      <c r="M94">
        <v>6</v>
      </c>
      <c r="N94">
        <v>6</v>
      </c>
    </row>
    <row r="95" spans="1:14" x14ac:dyDescent="0.3">
      <c r="A95">
        <v>94</v>
      </c>
      <c r="B95" s="1">
        <v>40548</v>
      </c>
      <c r="C95">
        <v>1</v>
      </c>
      <c r="D95">
        <v>1</v>
      </c>
      <c r="E95" t="b">
        <v>0</v>
      </c>
      <c r="F95">
        <v>3</v>
      </c>
      <c r="G95">
        <v>1</v>
      </c>
      <c r="H95">
        <v>0.16</v>
      </c>
      <c r="I95">
        <v>0.19700000000000001</v>
      </c>
      <c r="J95">
        <v>0.74</v>
      </c>
      <c r="K95">
        <v>8.9599999999999999E-2</v>
      </c>
      <c r="L95">
        <v>0</v>
      </c>
      <c r="M95">
        <v>6</v>
      </c>
      <c r="N95">
        <v>6</v>
      </c>
    </row>
    <row r="96" spans="1:14" x14ac:dyDescent="0.3">
      <c r="A96">
        <v>95</v>
      </c>
      <c r="B96" s="1">
        <v>40548</v>
      </c>
      <c r="C96">
        <v>1</v>
      </c>
      <c r="D96">
        <v>2</v>
      </c>
      <c r="E96" t="b">
        <v>0</v>
      </c>
      <c r="F96">
        <v>3</v>
      </c>
      <c r="G96">
        <v>1</v>
      </c>
      <c r="H96">
        <v>0.16</v>
      </c>
      <c r="I96">
        <v>0.19700000000000001</v>
      </c>
      <c r="J96">
        <v>0.74</v>
      </c>
      <c r="K96">
        <v>8.9599999999999999E-2</v>
      </c>
      <c r="L96">
        <v>0</v>
      </c>
      <c r="M96">
        <v>2</v>
      </c>
      <c r="N96">
        <v>2</v>
      </c>
    </row>
    <row r="97" spans="1:14" x14ac:dyDescent="0.3">
      <c r="A97">
        <v>96</v>
      </c>
      <c r="B97" s="1">
        <v>40548</v>
      </c>
      <c r="C97">
        <v>1</v>
      </c>
      <c r="D97">
        <v>4</v>
      </c>
      <c r="E97" t="b">
        <v>0</v>
      </c>
      <c r="F97">
        <v>3</v>
      </c>
      <c r="G97">
        <v>1</v>
      </c>
      <c r="H97">
        <v>0.24</v>
      </c>
      <c r="I97">
        <v>0.2273</v>
      </c>
      <c r="J97">
        <v>0.48</v>
      </c>
      <c r="K97">
        <v>0.22389999999999999</v>
      </c>
      <c r="L97">
        <v>0</v>
      </c>
      <c r="M97">
        <v>2</v>
      </c>
      <c r="N97">
        <v>2</v>
      </c>
    </row>
    <row r="98" spans="1:14" x14ac:dyDescent="0.3">
      <c r="A98">
        <v>97</v>
      </c>
      <c r="B98" s="1">
        <v>40548</v>
      </c>
      <c r="C98">
        <v>1</v>
      </c>
      <c r="D98">
        <v>5</v>
      </c>
      <c r="E98" t="b">
        <v>0</v>
      </c>
      <c r="F98">
        <v>3</v>
      </c>
      <c r="G98">
        <v>1</v>
      </c>
      <c r="H98">
        <v>0.22</v>
      </c>
      <c r="I98">
        <v>0.2273</v>
      </c>
      <c r="J98">
        <v>0.47</v>
      </c>
      <c r="K98">
        <v>0.16420000000000001</v>
      </c>
      <c r="L98">
        <v>0</v>
      </c>
      <c r="M98">
        <v>3</v>
      </c>
      <c r="N98">
        <v>3</v>
      </c>
    </row>
    <row r="99" spans="1:14" x14ac:dyDescent="0.3">
      <c r="A99">
        <v>98</v>
      </c>
      <c r="B99" s="1">
        <v>40548</v>
      </c>
      <c r="C99">
        <v>1</v>
      </c>
      <c r="D99">
        <v>6</v>
      </c>
      <c r="E99" t="b">
        <v>0</v>
      </c>
      <c r="F99">
        <v>3</v>
      </c>
      <c r="G99">
        <v>1</v>
      </c>
      <c r="H99">
        <v>0.2</v>
      </c>
      <c r="I99">
        <v>0.19700000000000001</v>
      </c>
      <c r="J99">
        <v>0.47</v>
      </c>
      <c r="K99">
        <v>0.22389999999999999</v>
      </c>
      <c r="L99">
        <v>0</v>
      </c>
      <c r="M99">
        <v>33</v>
      </c>
      <c r="N99">
        <v>33</v>
      </c>
    </row>
    <row r="100" spans="1:14" x14ac:dyDescent="0.3">
      <c r="A100">
        <v>99</v>
      </c>
      <c r="B100" s="1">
        <v>40548</v>
      </c>
      <c r="C100">
        <v>1</v>
      </c>
      <c r="D100">
        <v>7</v>
      </c>
      <c r="E100" t="b">
        <v>0</v>
      </c>
      <c r="F100">
        <v>3</v>
      </c>
      <c r="G100">
        <v>1</v>
      </c>
      <c r="H100">
        <v>0.18</v>
      </c>
      <c r="I100">
        <v>0.18179999999999999</v>
      </c>
      <c r="J100">
        <v>0.43</v>
      </c>
      <c r="K100">
        <v>0.19400000000000001</v>
      </c>
      <c r="L100">
        <v>1</v>
      </c>
      <c r="M100">
        <v>87</v>
      </c>
      <c r="N100">
        <v>88</v>
      </c>
    </row>
    <row r="101" spans="1:14" x14ac:dyDescent="0.3">
      <c r="A101">
        <v>100</v>
      </c>
      <c r="B101" s="1">
        <v>40548</v>
      </c>
      <c r="C101">
        <v>1</v>
      </c>
      <c r="D101">
        <v>8</v>
      </c>
      <c r="E101" t="b">
        <v>0</v>
      </c>
      <c r="F101">
        <v>3</v>
      </c>
      <c r="G101">
        <v>1</v>
      </c>
      <c r="H101">
        <v>0.2</v>
      </c>
      <c r="I101">
        <v>0.18179999999999999</v>
      </c>
      <c r="J101">
        <v>0.4</v>
      </c>
      <c r="K101">
        <v>0.29849999999999999</v>
      </c>
      <c r="L101">
        <v>3</v>
      </c>
      <c r="M101">
        <v>192</v>
      </c>
      <c r="N101">
        <v>195</v>
      </c>
    </row>
    <row r="102" spans="1:14" x14ac:dyDescent="0.3">
      <c r="A102">
        <v>101</v>
      </c>
      <c r="B102" s="1">
        <v>40548</v>
      </c>
      <c r="C102">
        <v>1</v>
      </c>
      <c r="D102">
        <v>9</v>
      </c>
      <c r="E102" t="b">
        <v>0</v>
      </c>
      <c r="F102">
        <v>3</v>
      </c>
      <c r="G102">
        <v>1</v>
      </c>
      <c r="H102">
        <v>0.22</v>
      </c>
      <c r="I102">
        <v>0.19700000000000001</v>
      </c>
      <c r="J102">
        <v>0.37</v>
      </c>
      <c r="K102">
        <v>0.32840000000000003</v>
      </c>
      <c r="L102">
        <v>6</v>
      </c>
      <c r="M102">
        <v>109</v>
      </c>
      <c r="N102">
        <v>115</v>
      </c>
    </row>
    <row r="103" spans="1:14" x14ac:dyDescent="0.3">
      <c r="A103">
        <v>102</v>
      </c>
      <c r="B103" s="1">
        <v>40548</v>
      </c>
      <c r="C103">
        <v>1</v>
      </c>
      <c r="D103">
        <v>10</v>
      </c>
      <c r="E103" t="b">
        <v>0</v>
      </c>
      <c r="F103">
        <v>3</v>
      </c>
      <c r="G103">
        <v>1</v>
      </c>
      <c r="H103">
        <v>0.22</v>
      </c>
      <c r="I103">
        <v>0.19700000000000001</v>
      </c>
      <c r="J103">
        <v>0.37</v>
      </c>
      <c r="K103">
        <v>0.32840000000000003</v>
      </c>
      <c r="L103">
        <v>4</v>
      </c>
      <c r="M103">
        <v>53</v>
      </c>
      <c r="N103">
        <v>57</v>
      </c>
    </row>
    <row r="104" spans="1:14" x14ac:dyDescent="0.3">
      <c r="A104">
        <v>103</v>
      </c>
      <c r="B104" s="1">
        <v>40548</v>
      </c>
      <c r="C104">
        <v>1</v>
      </c>
      <c r="D104">
        <v>11</v>
      </c>
      <c r="E104" t="b">
        <v>0</v>
      </c>
      <c r="F104">
        <v>3</v>
      </c>
      <c r="G104">
        <v>1</v>
      </c>
      <c r="H104">
        <v>0.26</v>
      </c>
      <c r="I104">
        <v>0.2273</v>
      </c>
      <c r="J104">
        <v>0.33</v>
      </c>
      <c r="K104">
        <v>0.32840000000000003</v>
      </c>
      <c r="L104">
        <v>12</v>
      </c>
      <c r="M104">
        <v>34</v>
      </c>
      <c r="N104">
        <v>46</v>
      </c>
    </row>
    <row r="105" spans="1:14" x14ac:dyDescent="0.3">
      <c r="A105">
        <v>104</v>
      </c>
      <c r="B105" s="1">
        <v>40548</v>
      </c>
      <c r="C105">
        <v>1</v>
      </c>
      <c r="D105">
        <v>12</v>
      </c>
      <c r="E105" t="b">
        <v>0</v>
      </c>
      <c r="F105">
        <v>3</v>
      </c>
      <c r="G105">
        <v>1</v>
      </c>
      <c r="H105">
        <v>0.26</v>
      </c>
      <c r="I105">
        <v>0.2273</v>
      </c>
      <c r="J105">
        <v>0.33</v>
      </c>
      <c r="K105">
        <v>0.32840000000000003</v>
      </c>
      <c r="L105">
        <v>5</v>
      </c>
      <c r="M105">
        <v>74</v>
      </c>
      <c r="N105">
        <v>79</v>
      </c>
    </row>
    <row r="106" spans="1:14" x14ac:dyDescent="0.3">
      <c r="A106">
        <v>105</v>
      </c>
      <c r="B106" s="1">
        <v>40548</v>
      </c>
      <c r="C106">
        <v>1</v>
      </c>
      <c r="D106">
        <v>13</v>
      </c>
      <c r="E106" t="b">
        <v>0</v>
      </c>
      <c r="F106">
        <v>3</v>
      </c>
      <c r="G106">
        <v>1</v>
      </c>
      <c r="H106">
        <v>0.28000000000000003</v>
      </c>
      <c r="I106">
        <v>0.2576</v>
      </c>
      <c r="J106">
        <v>0.3</v>
      </c>
      <c r="K106">
        <v>0.29849999999999999</v>
      </c>
      <c r="L106">
        <v>6</v>
      </c>
      <c r="M106">
        <v>65</v>
      </c>
      <c r="N106">
        <v>71</v>
      </c>
    </row>
    <row r="107" spans="1:14" x14ac:dyDescent="0.3">
      <c r="A107">
        <v>106</v>
      </c>
      <c r="B107" s="1">
        <v>40548</v>
      </c>
      <c r="C107">
        <v>1</v>
      </c>
      <c r="D107">
        <v>14</v>
      </c>
      <c r="E107" t="b">
        <v>0</v>
      </c>
      <c r="F107">
        <v>3</v>
      </c>
      <c r="G107">
        <v>1</v>
      </c>
      <c r="H107">
        <v>0.3</v>
      </c>
      <c r="I107">
        <v>0.28789999999999999</v>
      </c>
      <c r="J107">
        <v>0.28000000000000003</v>
      </c>
      <c r="K107">
        <v>0.19400000000000001</v>
      </c>
      <c r="L107">
        <v>10</v>
      </c>
      <c r="M107">
        <v>52</v>
      </c>
      <c r="N107">
        <v>62</v>
      </c>
    </row>
    <row r="108" spans="1:14" x14ac:dyDescent="0.3">
      <c r="A108">
        <v>107</v>
      </c>
      <c r="B108" s="1">
        <v>40548</v>
      </c>
      <c r="C108">
        <v>1</v>
      </c>
      <c r="D108">
        <v>15</v>
      </c>
      <c r="E108" t="b">
        <v>0</v>
      </c>
      <c r="F108">
        <v>3</v>
      </c>
      <c r="G108">
        <v>1</v>
      </c>
      <c r="H108">
        <v>0.3</v>
      </c>
      <c r="I108">
        <v>0.28789999999999999</v>
      </c>
      <c r="J108">
        <v>0.28000000000000003</v>
      </c>
      <c r="K108">
        <v>0.19400000000000001</v>
      </c>
      <c r="L108">
        <v>7</v>
      </c>
      <c r="M108">
        <v>55</v>
      </c>
      <c r="N108">
        <v>62</v>
      </c>
    </row>
    <row r="109" spans="1:14" x14ac:dyDescent="0.3">
      <c r="A109">
        <v>108</v>
      </c>
      <c r="B109" s="1">
        <v>40548</v>
      </c>
      <c r="C109">
        <v>1</v>
      </c>
      <c r="D109">
        <v>16</v>
      </c>
      <c r="E109" t="b">
        <v>0</v>
      </c>
      <c r="F109">
        <v>3</v>
      </c>
      <c r="G109">
        <v>1</v>
      </c>
      <c r="H109">
        <v>0.3</v>
      </c>
      <c r="I109">
        <v>0.31819999999999998</v>
      </c>
      <c r="J109">
        <v>0.28000000000000003</v>
      </c>
      <c r="K109">
        <v>8.9599999999999999E-2</v>
      </c>
      <c r="L109">
        <v>4</v>
      </c>
      <c r="M109">
        <v>85</v>
      </c>
      <c r="N109">
        <v>89</v>
      </c>
    </row>
    <row r="110" spans="1:14" x14ac:dyDescent="0.3">
      <c r="A110">
        <v>109</v>
      </c>
      <c r="B110" s="1">
        <v>40548</v>
      </c>
      <c r="C110">
        <v>1</v>
      </c>
      <c r="D110">
        <v>17</v>
      </c>
      <c r="E110" t="b">
        <v>0</v>
      </c>
      <c r="F110">
        <v>3</v>
      </c>
      <c r="G110">
        <v>1</v>
      </c>
      <c r="H110">
        <v>0.24</v>
      </c>
      <c r="I110">
        <v>0.2273</v>
      </c>
      <c r="J110">
        <v>0.38</v>
      </c>
      <c r="K110">
        <v>0.19400000000000001</v>
      </c>
      <c r="L110">
        <v>4</v>
      </c>
      <c r="M110">
        <v>186</v>
      </c>
      <c r="N110">
        <v>190</v>
      </c>
    </row>
    <row r="111" spans="1:14" x14ac:dyDescent="0.3">
      <c r="A111">
        <v>110</v>
      </c>
      <c r="B111" s="1">
        <v>40548</v>
      </c>
      <c r="C111">
        <v>1</v>
      </c>
      <c r="D111">
        <v>18</v>
      </c>
      <c r="E111" t="b">
        <v>0</v>
      </c>
      <c r="F111">
        <v>3</v>
      </c>
      <c r="G111">
        <v>1</v>
      </c>
      <c r="H111">
        <v>0.24</v>
      </c>
      <c r="I111">
        <v>0.2424</v>
      </c>
      <c r="J111">
        <v>0.38</v>
      </c>
      <c r="K111">
        <v>0.1343</v>
      </c>
      <c r="L111">
        <v>3</v>
      </c>
      <c r="M111">
        <v>166</v>
      </c>
      <c r="N111">
        <v>169</v>
      </c>
    </row>
    <row r="112" spans="1:14" x14ac:dyDescent="0.3">
      <c r="A112">
        <v>111</v>
      </c>
      <c r="B112" s="1">
        <v>40548</v>
      </c>
      <c r="C112">
        <v>1</v>
      </c>
      <c r="D112">
        <v>19</v>
      </c>
      <c r="E112" t="b">
        <v>0</v>
      </c>
      <c r="F112">
        <v>3</v>
      </c>
      <c r="G112">
        <v>1</v>
      </c>
      <c r="H112">
        <v>0.24</v>
      </c>
      <c r="I112">
        <v>0.2576</v>
      </c>
      <c r="J112">
        <v>0.38</v>
      </c>
      <c r="K112">
        <v>0.1045</v>
      </c>
      <c r="L112">
        <v>5</v>
      </c>
      <c r="M112">
        <v>127</v>
      </c>
      <c r="N112">
        <v>132</v>
      </c>
    </row>
    <row r="113" spans="1:14" x14ac:dyDescent="0.3">
      <c r="A113">
        <v>112</v>
      </c>
      <c r="B113" s="1">
        <v>40548</v>
      </c>
      <c r="C113">
        <v>1</v>
      </c>
      <c r="D113">
        <v>20</v>
      </c>
      <c r="E113" t="b">
        <v>0</v>
      </c>
      <c r="F113">
        <v>3</v>
      </c>
      <c r="G113">
        <v>1</v>
      </c>
      <c r="H113">
        <v>0.22</v>
      </c>
      <c r="I113">
        <v>0.2273</v>
      </c>
      <c r="J113">
        <v>0.47</v>
      </c>
      <c r="K113">
        <v>0.16420000000000001</v>
      </c>
      <c r="L113">
        <v>7</v>
      </c>
      <c r="M113">
        <v>82</v>
      </c>
      <c r="N113">
        <v>89</v>
      </c>
    </row>
    <row r="114" spans="1:14" x14ac:dyDescent="0.3">
      <c r="A114">
        <v>113</v>
      </c>
      <c r="B114" s="1">
        <v>40548</v>
      </c>
      <c r="C114">
        <v>1</v>
      </c>
      <c r="D114">
        <v>21</v>
      </c>
      <c r="E114" t="b">
        <v>0</v>
      </c>
      <c r="F114">
        <v>3</v>
      </c>
      <c r="G114">
        <v>1</v>
      </c>
      <c r="H114">
        <v>0.2</v>
      </c>
      <c r="I114">
        <v>0.19700000000000001</v>
      </c>
      <c r="J114">
        <v>0.51</v>
      </c>
      <c r="K114">
        <v>0.19400000000000001</v>
      </c>
      <c r="L114">
        <v>3</v>
      </c>
      <c r="M114">
        <v>40</v>
      </c>
      <c r="N114">
        <v>43</v>
      </c>
    </row>
    <row r="115" spans="1:14" x14ac:dyDescent="0.3">
      <c r="A115">
        <v>114</v>
      </c>
      <c r="B115" s="1">
        <v>40548</v>
      </c>
      <c r="C115">
        <v>1</v>
      </c>
      <c r="D115">
        <v>22</v>
      </c>
      <c r="E115" t="b">
        <v>0</v>
      </c>
      <c r="F115">
        <v>3</v>
      </c>
      <c r="G115">
        <v>1</v>
      </c>
      <c r="H115">
        <v>0.18</v>
      </c>
      <c r="I115">
        <v>0.19700000000000001</v>
      </c>
      <c r="J115">
        <v>0.55000000000000004</v>
      </c>
      <c r="K115">
        <v>0.1343</v>
      </c>
      <c r="L115">
        <v>1</v>
      </c>
      <c r="M115">
        <v>41</v>
      </c>
      <c r="N115">
        <v>42</v>
      </c>
    </row>
    <row r="116" spans="1:14" x14ac:dyDescent="0.3">
      <c r="A116">
        <v>115</v>
      </c>
      <c r="B116" s="1">
        <v>40548</v>
      </c>
      <c r="C116">
        <v>1</v>
      </c>
      <c r="D116">
        <v>23</v>
      </c>
      <c r="E116" t="b">
        <v>0</v>
      </c>
      <c r="F116">
        <v>3</v>
      </c>
      <c r="G116">
        <v>1</v>
      </c>
      <c r="H116">
        <v>0.2</v>
      </c>
      <c r="I116">
        <v>0.2576</v>
      </c>
      <c r="J116">
        <v>0.47</v>
      </c>
      <c r="K116">
        <v>0</v>
      </c>
      <c r="L116">
        <v>1</v>
      </c>
      <c r="M116">
        <v>18</v>
      </c>
      <c r="N116">
        <v>19</v>
      </c>
    </row>
    <row r="117" spans="1:14" x14ac:dyDescent="0.3">
      <c r="A117">
        <v>116</v>
      </c>
      <c r="B117" s="1">
        <v>40549</v>
      </c>
      <c r="C117">
        <v>1</v>
      </c>
      <c r="D117">
        <v>0</v>
      </c>
      <c r="E117" t="b">
        <v>0</v>
      </c>
      <c r="F117">
        <v>4</v>
      </c>
      <c r="G117">
        <v>1</v>
      </c>
      <c r="H117">
        <v>0.18</v>
      </c>
      <c r="I117">
        <v>0.2424</v>
      </c>
      <c r="J117">
        <v>0.55000000000000004</v>
      </c>
      <c r="K117">
        <v>0</v>
      </c>
      <c r="L117">
        <v>0</v>
      </c>
      <c r="M117">
        <v>11</v>
      </c>
      <c r="N117">
        <v>11</v>
      </c>
    </row>
    <row r="118" spans="1:14" x14ac:dyDescent="0.3">
      <c r="A118">
        <v>117</v>
      </c>
      <c r="B118" s="1">
        <v>40549</v>
      </c>
      <c r="C118">
        <v>1</v>
      </c>
      <c r="D118">
        <v>1</v>
      </c>
      <c r="E118" t="b">
        <v>0</v>
      </c>
      <c r="F118">
        <v>4</v>
      </c>
      <c r="G118">
        <v>1</v>
      </c>
      <c r="H118">
        <v>0.16</v>
      </c>
      <c r="I118">
        <v>0.2273</v>
      </c>
      <c r="J118">
        <v>0.64</v>
      </c>
      <c r="K118">
        <v>0</v>
      </c>
      <c r="L118">
        <v>0</v>
      </c>
      <c r="M118">
        <v>4</v>
      </c>
      <c r="N118">
        <v>4</v>
      </c>
    </row>
    <row r="119" spans="1:14" x14ac:dyDescent="0.3">
      <c r="A119">
        <v>118</v>
      </c>
      <c r="B119" s="1">
        <v>40549</v>
      </c>
      <c r="C119">
        <v>1</v>
      </c>
      <c r="D119">
        <v>2</v>
      </c>
      <c r="E119" t="b">
        <v>0</v>
      </c>
      <c r="F119">
        <v>4</v>
      </c>
      <c r="G119">
        <v>1</v>
      </c>
      <c r="H119">
        <v>0.16</v>
      </c>
      <c r="I119">
        <v>0.2273</v>
      </c>
      <c r="J119">
        <v>0.64</v>
      </c>
      <c r="K119">
        <v>0</v>
      </c>
      <c r="L119">
        <v>0</v>
      </c>
      <c r="M119">
        <v>2</v>
      </c>
      <c r="N119">
        <v>2</v>
      </c>
    </row>
    <row r="120" spans="1:14" x14ac:dyDescent="0.3">
      <c r="A120">
        <v>119</v>
      </c>
      <c r="B120" s="1">
        <v>40549</v>
      </c>
      <c r="C120">
        <v>1</v>
      </c>
      <c r="D120">
        <v>4</v>
      </c>
      <c r="E120" t="b">
        <v>0</v>
      </c>
      <c r="F120">
        <v>4</v>
      </c>
      <c r="G120">
        <v>2</v>
      </c>
      <c r="H120">
        <v>0.16</v>
      </c>
      <c r="I120">
        <v>0.19700000000000001</v>
      </c>
      <c r="J120">
        <v>0.64</v>
      </c>
      <c r="K120">
        <v>8.9599999999999999E-2</v>
      </c>
      <c r="L120">
        <v>0</v>
      </c>
      <c r="M120">
        <v>1</v>
      </c>
      <c r="N120">
        <v>1</v>
      </c>
    </row>
    <row r="121" spans="1:14" x14ac:dyDescent="0.3">
      <c r="A121">
        <v>120</v>
      </c>
      <c r="B121" s="1">
        <v>40549</v>
      </c>
      <c r="C121">
        <v>1</v>
      </c>
      <c r="D121">
        <v>5</v>
      </c>
      <c r="E121" t="b">
        <v>0</v>
      </c>
      <c r="F121">
        <v>4</v>
      </c>
      <c r="G121">
        <v>2</v>
      </c>
      <c r="H121">
        <v>0.14000000000000001</v>
      </c>
      <c r="I121">
        <v>0.18179999999999999</v>
      </c>
      <c r="J121">
        <v>0.69</v>
      </c>
      <c r="K121">
        <v>8.9599999999999999E-2</v>
      </c>
      <c r="L121">
        <v>0</v>
      </c>
      <c r="M121">
        <v>4</v>
      </c>
      <c r="N121">
        <v>4</v>
      </c>
    </row>
    <row r="122" spans="1:14" x14ac:dyDescent="0.3">
      <c r="A122">
        <v>121</v>
      </c>
      <c r="B122" s="1">
        <v>40549</v>
      </c>
      <c r="C122">
        <v>1</v>
      </c>
      <c r="D122">
        <v>6</v>
      </c>
      <c r="E122" t="b">
        <v>0</v>
      </c>
      <c r="F122">
        <v>4</v>
      </c>
      <c r="G122">
        <v>2</v>
      </c>
      <c r="H122">
        <v>0.14000000000000001</v>
      </c>
      <c r="I122">
        <v>0.16669999999999999</v>
      </c>
      <c r="J122">
        <v>0.63</v>
      </c>
      <c r="K122">
        <v>0.1045</v>
      </c>
      <c r="L122">
        <v>0</v>
      </c>
      <c r="M122">
        <v>36</v>
      </c>
      <c r="N122">
        <v>36</v>
      </c>
    </row>
    <row r="123" spans="1:14" x14ac:dyDescent="0.3">
      <c r="A123">
        <v>122</v>
      </c>
      <c r="B123" s="1">
        <v>40549</v>
      </c>
      <c r="C123">
        <v>1</v>
      </c>
      <c r="D123">
        <v>7</v>
      </c>
      <c r="E123" t="b">
        <v>0</v>
      </c>
      <c r="F123">
        <v>4</v>
      </c>
      <c r="G123">
        <v>2</v>
      </c>
      <c r="H123">
        <v>0.16</v>
      </c>
      <c r="I123">
        <v>0.2273</v>
      </c>
      <c r="J123">
        <v>0.59</v>
      </c>
      <c r="K123">
        <v>0</v>
      </c>
      <c r="L123">
        <v>0</v>
      </c>
      <c r="M123">
        <v>95</v>
      </c>
      <c r="N123">
        <v>95</v>
      </c>
    </row>
    <row r="124" spans="1:14" x14ac:dyDescent="0.3">
      <c r="A124">
        <v>123</v>
      </c>
      <c r="B124" s="1">
        <v>40549</v>
      </c>
      <c r="C124">
        <v>1</v>
      </c>
      <c r="D124">
        <v>8</v>
      </c>
      <c r="E124" t="b">
        <v>0</v>
      </c>
      <c r="F124">
        <v>4</v>
      </c>
      <c r="G124">
        <v>1</v>
      </c>
      <c r="H124">
        <v>0.16</v>
      </c>
      <c r="I124">
        <v>0.2273</v>
      </c>
      <c r="J124">
        <v>0.59</v>
      </c>
      <c r="K124">
        <v>0</v>
      </c>
      <c r="L124">
        <v>3</v>
      </c>
      <c r="M124">
        <v>216</v>
      </c>
      <c r="N124">
        <v>219</v>
      </c>
    </row>
    <row r="125" spans="1:14" x14ac:dyDescent="0.3">
      <c r="A125">
        <v>124</v>
      </c>
      <c r="B125" s="1">
        <v>40549</v>
      </c>
      <c r="C125">
        <v>1</v>
      </c>
      <c r="D125">
        <v>9</v>
      </c>
      <c r="E125" t="b">
        <v>0</v>
      </c>
      <c r="F125">
        <v>4</v>
      </c>
      <c r="G125">
        <v>2</v>
      </c>
      <c r="H125">
        <v>0.18</v>
      </c>
      <c r="I125">
        <v>0.2424</v>
      </c>
      <c r="J125">
        <v>0.51</v>
      </c>
      <c r="K125">
        <v>0</v>
      </c>
      <c r="L125">
        <v>6</v>
      </c>
      <c r="M125">
        <v>116</v>
      </c>
      <c r="N125">
        <v>122</v>
      </c>
    </row>
    <row r="126" spans="1:14" x14ac:dyDescent="0.3">
      <c r="A126">
        <v>125</v>
      </c>
      <c r="B126" s="1">
        <v>40549</v>
      </c>
      <c r="C126">
        <v>1</v>
      </c>
      <c r="D126">
        <v>10</v>
      </c>
      <c r="E126" t="b">
        <v>0</v>
      </c>
      <c r="F126">
        <v>4</v>
      </c>
      <c r="G126">
        <v>1</v>
      </c>
      <c r="H126">
        <v>0.2</v>
      </c>
      <c r="I126">
        <v>0.2576</v>
      </c>
      <c r="J126">
        <v>0.47</v>
      </c>
      <c r="K126">
        <v>0</v>
      </c>
      <c r="L126">
        <v>3</v>
      </c>
      <c r="M126">
        <v>42</v>
      </c>
      <c r="N126">
        <v>45</v>
      </c>
    </row>
    <row r="127" spans="1:14" x14ac:dyDescent="0.3">
      <c r="A127">
        <v>126</v>
      </c>
      <c r="B127" s="1">
        <v>40549</v>
      </c>
      <c r="C127">
        <v>1</v>
      </c>
      <c r="D127">
        <v>11</v>
      </c>
      <c r="E127" t="b">
        <v>0</v>
      </c>
      <c r="F127">
        <v>4</v>
      </c>
      <c r="G127">
        <v>1</v>
      </c>
      <c r="H127">
        <v>0.22</v>
      </c>
      <c r="I127">
        <v>0.2576</v>
      </c>
      <c r="J127">
        <v>0.44</v>
      </c>
      <c r="K127">
        <v>8.9599999999999999E-2</v>
      </c>
      <c r="L127">
        <v>2</v>
      </c>
      <c r="M127">
        <v>57</v>
      </c>
      <c r="N127">
        <v>59</v>
      </c>
    </row>
    <row r="128" spans="1:14" x14ac:dyDescent="0.3">
      <c r="A128">
        <v>127</v>
      </c>
      <c r="B128" s="1">
        <v>40549</v>
      </c>
      <c r="C128">
        <v>1</v>
      </c>
      <c r="D128">
        <v>12</v>
      </c>
      <c r="E128" t="b">
        <v>0</v>
      </c>
      <c r="F128">
        <v>4</v>
      </c>
      <c r="G128">
        <v>1</v>
      </c>
      <c r="H128">
        <v>0.26</v>
      </c>
      <c r="I128">
        <v>0.28789999999999999</v>
      </c>
      <c r="J128">
        <v>0.35</v>
      </c>
      <c r="K128">
        <v>0</v>
      </c>
      <c r="L128">
        <v>6</v>
      </c>
      <c r="M128">
        <v>78</v>
      </c>
      <c r="N128">
        <v>84</v>
      </c>
    </row>
    <row r="129" spans="1:14" x14ac:dyDescent="0.3">
      <c r="A129">
        <v>128</v>
      </c>
      <c r="B129" s="1">
        <v>40549</v>
      </c>
      <c r="C129">
        <v>1</v>
      </c>
      <c r="D129">
        <v>13</v>
      </c>
      <c r="E129" t="b">
        <v>0</v>
      </c>
      <c r="F129">
        <v>4</v>
      </c>
      <c r="G129">
        <v>1</v>
      </c>
      <c r="H129">
        <v>0.26</v>
      </c>
      <c r="I129">
        <v>0.2727</v>
      </c>
      <c r="J129">
        <v>0.35</v>
      </c>
      <c r="K129">
        <v>0.1045</v>
      </c>
      <c r="L129">
        <v>12</v>
      </c>
      <c r="M129">
        <v>55</v>
      </c>
      <c r="N129">
        <v>67</v>
      </c>
    </row>
    <row r="130" spans="1:14" x14ac:dyDescent="0.3">
      <c r="A130">
        <v>129</v>
      </c>
      <c r="B130" s="1">
        <v>40549</v>
      </c>
      <c r="C130">
        <v>1</v>
      </c>
      <c r="D130">
        <v>14</v>
      </c>
      <c r="E130" t="b">
        <v>0</v>
      </c>
      <c r="F130">
        <v>4</v>
      </c>
      <c r="G130">
        <v>1</v>
      </c>
      <c r="H130">
        <v>0.28000000000000003</v>
      </c>
      <c r="I130">
        <v>0.2727</v>
      </c>
      <c r="J130">
        <v>0.36</v>
      </c>
      <c r="K130">
        <v>0.16420000000000001</v>
      </c>
      <c r="L130">
        <v>11</v>
      </c>
      <c r="M130">
        <v>59</v>
      </c>
      <c r="N130">
        <v>70</v>
      </c>
    </row>
    <row r="131" spans="1:14" x14ac:dyDescent="0.3">
      <c r="A131">
        <v>130</v>
      </c>
      <c r="B131" s="1">
        <v>40549</v>
      </c>
      <c r="C131">
        <v>1</v>
      </c>
      <c r="D131">
        <v>15</v>
      </c>
      <c r="E131" t="b">
        <v>0</v>
      </c>
      <c r="F131">
        <v>4</v>
      </c>
      <c r="G131">
        <v>1</v>
      </c>
      <c r="H131">
        <v>0.28000000000000003</v>
      </c>
      <c r="I131">
        <v>0.2727</v>
      </c>
      <c r="J131">
        <v>0.36</v>
      </c>
      <c r="K131">
        <v>0</v>
      </c>
      <c r="L131">
        <v>8</v>
      </c>
      <c r="M131">
        <v>54</v>
      </c>
      <c r="N131">
        <v>62</v>
      </c>
    </row>
    <row r="132" spans="1:14" x14ac:dyDescent="0.3">
      <c r="A132">
        <v>131</v>
      </c>
      <c r="B132" s="1">
        <v>40549</v>
      </c>
      <c r="C132">
        <v>1</v>
      </c>
      <c r="D132">
        <v>16</v>
      </c>
      <c r="E132" t="b">
        <v>0</v>
      </c>
      <c r="F132">
        <v>4</v>
      </c>
      <c r="G132">
        <v>1</v>
      </c>
      <c r="H132">
        <v>0.26</v>
      </c>
      <c r="I132">
        <v>0.2576</v>
      </c>
      <c r="J132">
        <v>0.38</v>
      </c>
      <c r="K132">
        <v>0.16420000000000001</v>
      </c>
      <c r="L132">
        <v>12</v>
      </c>
      <c r="M132">
        <v>74</v>
      </c>
      <c r="N132">
        <v>86</v>
      </c>
    </row>
    <row r="133" spans="1:14" x14ac:dyDescent="0.3">
      <c r="A133">
        <v>132</v>
      </c>
      <c r="B133" s="1">
        <v>40549</v>
      </c>
      <c r="C133">
        <v>1</v>
      </c>
      <c r="D133">
        <v>17</v>
      </c>
      <c r="E133" t="b">
        <v>0</v>
      </c>
      <c r="F133">
        <v>4</v>
      </c>
      <c r="G133">
        <v>1</v>
      </c>
      <c r="H133">
        <v>0.22</v>
      </c>
      <c r="I133">
        <v>0.2273</v>
      </c>
      <c r="J133">
        <v>0.51</v>
      </c>
      <c r="K133">
        <v>0.16420000000000001</v>
      </c>
      <c r="L133">
        <v>9</v>
      </c>
      <c r="M133">
        <v>163</v>
      </c>
      <c r="N133">
        <v>172</v>
      </c>
    </row>
    <row r="134" spans="1:14" x14ac:dyDescent="0.3">
      <c r="A134">
        <v>133</v>
      </c>
      <c r="B134" s="1">
        <v>40549</v>
      </c>
      <c r="C134">
        <v>1</v>
      </c>
      <c r="D134">
        <v>18</v>
      </c>
      <c r="E134" t="b">
        <v>0</v>
      </c>
      <c r="F134">
        <v>4</v>
      </c>
      <c r="G134">
        <v>1</v>
      </c>
      <c r="H134">
        <v>0.22</v>
      </c>
      <c r="I134">
        <v>0.2273</v>
      </c>
      <c r="J134">
        <v>0.51</v>
      </c>
      <c r="K134">
        <v>0.1343</v>
      </c>
      <c r="L134">
        <v>5</v>
      </c>
      <c r="M134">
        <v>158</v>
      </c>
      <c r="N134">
        <v>163</v>
      </c>
    </row>
    <row r="135" spans="1:14" x14ac:dyDescent="0.3">
      <c r="A135">
        <v>134</v>
      </c>
      <c r="B135" s="1">
        <v>40549</v>
      </c>
      <c r="C135">
        <v>1</v>
      </c>
      <c r="D135">
        <v>19</v>
      </c>
      <c r="E135" t="b">
        <v>0</v>
      </c>
      <c r="F135">
        <v>4</v>
      </c>
      <c r="G135">
        <v>1</v>
      </c>
      <c r="H135">
        <v>0.22</v>
      </c>
      <c r="I135">
        <v>0.2576</v>
      </c>
      <c r="J135">
        <v>0.55000000000000004</v>
      </c>
      <c r="K135">
        <v>8.9599999999999999E-2</v>
      </c>
      <c r="L135">
        <v>3</v>
      </c>
      <c r="M135">
        <v>109</v>
      </c>
      <c r="N135">
        <v>112</v>
      </c>
    </row>
    <row r="136" spans="1:14" x14ac:dyDescent="0.3">
      <c r="A136">
        <v>135</v>
      </c>
      <c r="B136" s="1">
        <v>40549</v>
      </c>
      <c r="C136">
        <v>1</v>
      </c>
      <c r="D136">
        <v>20</v>
      </c>
      <c r="E136" t="b">
        <v>0</v>
      </c>
      <c r="F136">
        <v>4</v>
      </c>
      <c r="G136">
        <v>1</v>
      </c>
      <c r="H136">
        <v>0.2</v>
      </c>
      <c r="I136">
        <v>0.21210000000000001</v>
      </c>
      <c r="J136">
        <v>0.51</v>
      </c>
      <c r="K136">
        <v>0.16420000000000001</v>
      </c>
      <c r="L136">
        <v>3</v>
      </c>
      <c r="M136">
        <v>66</v>
      </c>
      <c r="N136">
        <v>69</v>
      </c>
    </row>
    <row r="137" spans="1:14" x14ac:dyDescent="0.3">
      <c r="A137">
        <v>136</v>
      </c>
      <c r="B137" s="1">
        <v>40549</v>
      </c>
      <c r="C137">
        <v>1</v>
      </c>
      <c r="D137">
        <v>21</v>
      </c>
      <c r="E137" t="b">
        <v>0</v>
      </c>
      <c r="F137">
        <v>4</v>
      </c>
      <c r="G137">
        <v>2</v>
      </c>
      <c r="H137">
        <v>0.22</v>
      </c>
      <c r="I137">
        <v>0.21210000000000001</v>
      </c>
      <c r="J137">
        <v>0.55000000000000004</v>
      </c>
      <c r="K137">
        <v>0.22389999999999999</v>
      </c>
      <c r="L137">
        <v>0</v>
      </c>
      <c r="M137">
        <v>48</v>
      </c>
      <c r="N137">
        <v>48</v>
      </c>
    </row>
    <row r="138" spans="1:14" x14ac:dyDescent="0.3">
      <c r="A138">
        <v>137</v>
      </c>
      <c r="B138" s="1">
        <v>40549</v>
      </c>
      <c r="C138">
        <v>1</v>
      </c>
      <c r="D138">
        <v>22</v>
      </c>
      <c r="E138" t="b">
        <v>0</v>
      </c>
      <c r="F138">
        <v>4</v>
      </c>
      <c r="G138">
        <v>2</v>
      </c>
      <c r="H138">
        <v>0.22</v>
      </c>
      <c r="I138">
        <v>0.21210000000000001</v>
      </c>
      <c r="J138">
        <v>0.51</v>
      </c>
      <c r="K138">
        <v>0.28360000000000002</v>
      </c>
      <c r="L138">
        <v>1</v>
      </c>
      <c r="M138">
        <v>51</v>
      </c>
      <c r="N138">
        <v>52</v>
      </c>
    </row>
    <row r="139" spans="1:14" x14ac:dyDescent="0.3">
      <c r="A139">
        <v>138</v>
      </c>
      <c r="B139" s="1">
        <v>40549</v>
      </c>
      <c r="C139">
        <v>1</v>
      </c>
      <c r="D139">
        <v>23</v>
      </c>
      <c r="E139" t="b">
        <v>0</v>
      </c>
      <c r="F139">
        <v>4</v>
      </c>
      <c r="G139">
        <v>2</v>
      </c>
      <c r="H139">
        <v>0.2</v>
      </c>
      <c r="I139">
        <v>0.19700000000000001</v>
      </c>
      <c r="J139">
        <v>0.59</v>
      </c>
      <c r="K139">
        <v>0.19400000000000001</v>
      </c>
      <c r="L139">
        <v>4</v>
      </c>
      <c r="M139">
        <v>19</v>
      </c>
      <c r="N139">
        <v>23</v>
      </c>
    </row>
    <row r="140" spans="1:14" x14ac:dyDescent="0.3">
      <c r="A140">
        <v>139</v>
      </c>
      <c r="B140" s="1">
        <v>40550</v>
      </c>
      <c r="C140">
        <v>1</v>
      </c>
      <c r="D140">
        <v>0</v>
      </c>
      <c r="E140" t="b">
        <v>0</v>
      </c>
      <c r="F140">
        <v>5</v>
      </c>
      <c r="G140">
        <v>2</v>
      </c>
      <c r="H140">
        <v>0.2</v>
      </c>
      <c r="I140">
        <v>0.19700000000000001</v>
      </c>
      <c r="J140">
        <v>0.64</v>
      </c>
      <c r="K140">
        <v>0.19400000000000001</v>
      </c>
      <c r="L140">
        <v>4</v>
      </c>
      <c r="M140">
        <v>13</v>
      </c>
      <c r="N140">
        <v>17</v>
      </c>
    </row>
    <row r="141" spans="1:14" x14ac:dyDescent="0.3">
      <c r="A141">
        <v>140</v>
      </c>
      <c r="B141" s="1">
        <v>40550</v>
      </c>
      <c r="C141">
        <v>1</v>
      </c>
      <c r="D141">
        <v>1</v>
      </c>
      <c r="E141" t="b">
        <v>0</v>
      </c>
      <c r="F141">
        <v>5</v>
      </c>
      <c r="G141">
        <v>2</v>
      </c>
      <c r="H141">
        <v>0.2</v>
      </c>
      <c r="I141">
        <v>0.19700000000000001</v>
      </c>
      <c r="J141">
        <v>0.69</v>
      </c>
      <c r="K141">
        <v>0.22389999999999999</v>
      </c>
      <c r="L141">
        <v>2</v>
      </c>
      <c r="M141">
        <v>5</v>
      </c>
      <c r="N141">
        <v>7</v>
      </c>
    </row>
    <row r="142" spans="1:14" x14ac:dyDescent="0.3">
      <c r="A142">
        <v>141</v>
      </c>
      <c r="B142" s="1">
        <v>40550</v>
      </c>
      <c r="C142">
        <v>1</v>
      </c>
      <c r="D142">
        <v>2</v>
      </c>
      <c r="E142" t="b">
        <v>0</v>
      </c>
      <c r="F142">
        <v>5</v>
      </c>
      <c r="G142">
        <v>2</v>
      </c>
      <c r="H142">
        <v>0.2</v>
      </c>
      <c r="I142">
        <v>0.19700000000000001</v>
      </c>
      <c r="J142">
        <v>0.69</v>
      </c>
      <c r="K142">
        <v>0.22389999999999999</v>
      </c>
      <c r="L142">
        <v>0</v>
      </c>
      <c r="M142">
        <v>1</v>
      </c>
      <c r="N142">
        <v>1</v>
      </c>
    </row>
    <row r="143" spans="1:14" x14ac:dyDescent="0.3">
      <c r="A143">
        <v>142</v>
      </c>
      <c r="B143" s="1">
        <v>40550</v>
      </c>
      <c r="C143">
        <v>1</v>
      </c>
      <c r="D143">
        <v>4</v>
      </c>
      <c r="E143" t="b">
        <v>0</v>
      </c>
      <c r="F143">
        <v>5</v>
      </c>
      <c r="G143">
        <v>2</v>
      </c>
      <c r="H143">
        <v>0.2</v>
      </c>
      <c r="I143">
        <v>0.21210000000000001</v>
      </c>
      <c r="J143">
        <v>0.69</v>
      </c>
      <c r="K143">
        <v>0.1343</v>
      </c>
      <c r="L143">
        <v>0</v>
      </c>
      <c r="M143">
        <v>1</v>
      </c>
      <c r="N143">
        <v>1</v>
      </c>
    </row>
    <row r="144" spans="1:14" x14ac:dyDescent="0.3">
      <c r="A144">
        <v>143</v>
      </c>
      <c r="B144" s="1">
        <v>40550</v>
      </c>
      <c r="C144">
        <v>1</v>
      </c>
      <c r="D144">
        <v>5</v>
      </c>
      <c r="E144" t="b">
        <v>0</v>
      </c>
      <c r="F144">
        <v>5</v>
      </c>
      <c r="G144">
        <v>3</v>
      </c>
      <c r="H144">
        <v>0.22</v>
      </c>
      <c r="I144">
        <v>0.2727</v>
      </c>
      <c r="J144">
        <v>0.55000000000000004</v>
      </c>
      <c r="K144">
        <v>0</v>
      </c>
      <c r="L144">
        <v>0</v>
      </c>
      <c r="M144">
        <v>5</v>
      </c>
      <c r="N144">
        <v>5</v>
      </c>
    </row>
    <row r="145" spans="1:14" x14ac:dyDescent="0.3">
      <c r="A145">
        <v>144</v>
      </c>
      <c r="B145" s="1">
        <v>40550</v>
      </c>
      <c r="C145">
        <v>1</v>
      </c>
      <c r="D145">
        <v>6</v>
      </c>
      <c r="E145" t="b">
        <v>0</v>
      </c>
      <c r="F145">
        <v>5</v>
      </c>
      <c r="G145">
        <v>2</v>
      </c>
      <c r="H145">
        <v>0.2</v>
      </c>
      <c r="I145">
        <v>0.2576</v>
      </c>
      <c r="J145">
        <v>0.69</v>
      </c>
      <c r="K145">
        <v>0</v>
      </c>
      <c r="L145">
        <v>8</v>
      </c>
      <c r="M145">
        <v>26</v>
      </c>
      <c r="N145">
        <v>34</v>
      </c>
    </row>
    <row r="146" spans="1:14" x14ac:dyDescent="0.3">
      <c r="A146">
        <v>145</v>
      </c>
      <c r="B146" s="1">
        <v>40550</v>
      </c>
      <c r="C146">
        <v>1</v>
      </c>
      <c r="D146">
        <v>7</v>
      </c>
      <c r="E146" t="b">
        <v>0</v>
      </c>
      <c r="F146">
        <v>5</v>
      </c>
      <c r="G146">
        <v>1</v>
      </c>
      <c r="H146">
        <v>0.2</v>
      </c>
      <c r="I146">
        <v>0.21210000000000001</v>
      </c>
      <c r="J146">
        <v>0.69</v>
      </c>
      <c r="K146">
        <v>0.1343</v>
      </c>
      <c r="L146">
        <v>8</v>
      </c>
      <c r="M146">
        <v>76</v>
      </c>
      <c r="N146">
        <v>84</v>
      </c>
    </row>
    <row r="147" spans="1:14" x14ac:dyDescent="0.3">
      <c r="A147">
        <v>146</v>
      </c>
      <c r="B147" s="1">
        <v>40550</v>
      </c>
      <c r="C147">
        <v>1</v>
      </c>
      <c r="D147">
        <v>8</v>
      </c>
      <c r="E147" t="b">
        <v>0</v>
      </c>
      <c r="F147">
        <v>5</v>
      </c>
      <c r="G147">
        <v>1</v>
      </c>
      <c r="H147">
        <v>0.2</v>
      </c>
      <c r="I147">
        <v>0.19700000000000001</v>
      </c>
      <c r="J147">
        <v>0.51</v>
      </c>
      <c r="K147">
        <v>0.25369999999999998</v>
      </c>
      <c r="L147">
        <v>20</v>
      </c>
      <c r="M147">
        <v>190</v>
      </c>
      <c r="N147">
        <v>210</v>
      </c>
    </row>
    <row r="148" spans="1:14" x14ac:dyDescent="0.3">
      <c r="A148">
        <v>147</v>
      </c>
      <c r="B148" s="1">
        <v>40550</v>
      </c>
      <c r="C148">
        <v>1</v>
      </c>
      <c r="D148">
        <v>9</v>
      </c>
      <c r="E148" t="b">
        <v>0</v>
      </c>
      <c r="F148">
        <v>5</v>
      </c>
      <c r="G148">
        <v>1</v>
      </c>
      <c r="H148">
        <v>0.2</v>
      </c>
      <c r="I148">
        <v>0.18179999999999999</v>
      </c>
      <c r="J148">
        <v>0.47</v>
      </c>
      <c r="K148">
        <v>0.29849999999999999</v>
      </c>
      <c r="L148">
        <v>9</v>
      </c>
      <c r="M148">
        <v>125</v>
      </c>
      <c r="N148">
        <v>134</v>
      </c>
    </row>
    <row r="149" spans="1:14" x14ac:dyDescent="0.3">
      <c r="A149">
        <v>148</v>
      </c>
      <c r="B149" s="1">
        <v>40550</v>
      </c>
      <c r="C149">
        <v>1</v>
      </c>
      <c r="D149">
        <v>10</v>
      </c>
      <c r="E149" t="b">
        <v>0</v>
      </c>
      <c r="F149">
        <v>5</v>
      </c>
      <c r="G149">
        <v>1</v>
      </c>
      <c r="H149">
        <v>0.22</v>
      </c>
      <c r="I149">
        <v>0.19700000000000001</v>
      </c>
      <c r="J149">
        <v>0.37</v>
      </c>
      <c r="K149">
        <v>0.32840000000000003</v>
      </c>
      <c r="L149">
        <v>16</v>
      </c>
      <c r="M149">
        <v>47</v>
      </c>
      <c r="N149">
        <v>63</v>
      </c>
    </row>
    <row r="150" spans="1:14" x14ac:dyDescent="0.3">
      <c r="A150">
        <v>149</v>
      </c>
      <c r="B150" s="1">
        <v>40550</v>
      </c>
      <c r="C150">
        <v>1</v>
      </c>
      <c r="D150">
        <v>11</v>
      </c>
      <c r="E150" t="b">
        <v>0</v>
      </c>
      <c r="F150">
        <v>5</v>
      </c>
      <c r="G150">
        <v>2</v>
      </c>
      <c r="H150">
        <v>0.2</v>
      </c>
      <c r="I150">
        <v>0.19700000000000001</v>
      </c>
      <c r="J150">
        <v>0.4</v>
      </c>
      <c r="K150">
        <v>0.22389999999999999</v>
      </c>
      <c r="L150">
        <v>19</v>
      </c>
      <c r="M150">
        <v>48</v>
      </c>
      <c r="N150">
        <v>67</v>
      </c>
    </row>
    <row r="151" spans="1:14" x14ac:dyDescent="0.3">
      <c r="A151">
        <v>150</v>
      </c>
      <c r="B151" s="1">
        <v>40550</v>
      </c>
      <c r="C151">
        <v>1</v>
      </c>
      <c r="D151">
        <v>12</v>
      </c>
      <c r="E151" t="b">
        <v>0</v>
      </c>
      <c r="F151">
        <v>5</v>
      </c>
      <c r="G151">
        <v>2</v>
      </c>
      <c r="H151">
        <v>0.2</v>
      </c>
      <c r="I151">
        <v>0.19700000000000001</v>
      </c>
      <c r="J151">
        <v>0.37</v>
      </c>
      <c r="K151">
        <v>0.25369999999999998</v>
      </c>
      <c r="L151">
        <v>9</v>
      </c>
      <c r="M151">
        <v>50</v>
      </c>
      <c r="N151">
        <v>59</v>
      </c>
    </row>
    <row r="152" spans="1:14" x14ac:dyDescent="0.3">
      <c r="A152">
        <v>151</v>
      </c>
      <c r="B152" s="1">
        <v>40550</v>
      </c>
      <c r="C152">
        <v>1</v>
      </c>
      <c r="D152">
        <v>13</v>
      </c>
      <c r="E152" t="b">
        <v>0</v>
      </c>
      <c r="F152">
        <v>5</v>
      </c>
      <c r="G152">
        <v>2</v>
      </c>
      <c r="H152">
        <v>0.2</v>
      </c>
      <c r="I152">
        <v>0.18179999999999999</v>
      </c>
      <c r="J152">
        <v>0.37</v>
      </c>
      <c r="K152">
        <v>0.28360000000000002</v>
      </c>
      <c r="L152">
        <v>9</v>
      </c>
      <c r="M152">
        <v>64</v>
      </c>
      <c r="N152">
        <v>73</v>
      </c>
    </row>
    <row r="153" spans="1:14" x14ac:dyDescent="0.3">
      <c r="A153">
        <v>152</v>
      </c>
      <c r="B153" s="1">
        <v>40550</v>
      </c>
      <c r="C153">
        <v>1</v>
      </c>
      <c r="D153">
        <v>14</v>
      </c>
      <c r="E153" t="b">
        <v>0</v>
      </c>
      <c r="F153">
        <v>5</v>
      </c>
      <c r="G153">
        <v>2</v>
      </c>
      <c r="H153">
        <v>0.2</v>
      </c>
      <c r="I153">
        <v>0.19700000000000001</v>
      </c>
      <c r="J153">
        <v>0.4</v>
      </c>
      <c r="K153">
        <v>0.25369999999999998</v>
      </c>
      <c r="L153">
        <v>7</v>
      </c>
      <c r="M153">
        <v>43</v>
      </c>
      <c r="N153">
        <v>50</v>
      </c>
    </row>
    <row r="154" spans="1:14" x14ac:dyDescent="0.3">
      <c r="A154">
        <v>153</v>
      </c>
      <c r="B154" s="1">
        <v>40550</v>
      </c>
      <c r="C154">
        <v>1</v>
      </c>
      <c r="D154">
        <v>15</v>
      </c>
      <c r="E154" t="b">
        <v>0</v>
      </c>
      <c r="F154">
        <v>5</v>
      </c>
      <c r="G154">
        <v>2</v>
      </c>
      <c r="H154">
        <v>0.2</v>
      </c>
      <c r="I154">
        <v>0.21210000000000001</v>
      </c>
      <c r="J154">
        <v>0.37</v>
      </c>
      <c r="K154">
        <v>0.16420000000000001</v>
      </c>
      <c r="L154">
        <v>9</v>
      </c>
      <c r="M154">
        <v>63</v>
      </c>
      <c r="N154">
        <v>72</v>
      </c>
    </row>
    <row r="155" spans="1:14" x14ac:dyDescent="0.3">
      <c r="A155">
        <v>154</v>
      </c>
      <c r="B155" s="1">
        <v>40550</v>
      </c>
      <c r="C155">
        <v>1</v>
      </c>
      <c r="D155">
        <v>16</v>
      </c>
      <c r="E155" t="b">
        <v>0</v>
      </c>
      <c r="F155">
        <v>5</v>
      </c>
      <c r="G155">
        <v>2</v>
      </c>
      <c r="H155">
        <v>0.2</v>
      </c>
      <c r="I155">
        <v>0.21210000000000001</v>
      </c>
      <c r="J155">
        <v>0.37</v>
      </c>
      <c r="K155">
        <v>0.16420000000000001</v>
      </c>
      <c r="L155">
        <v>5</v>
      </c>
      <c r="M155">
        <v>82</v>
      </c>
      <c r="N155">
        <v>87</v>
      </c>
    </row>
    <row r="156" spans="1:14" x14ac:dyDescent="0.3">
      <c r="A156">
        <v>155</v>
      </c>
      <c r="B156" s="1">
        <v>40550</v>
      </c>
      <c r="C156">
        <v>1</v>
      </c>
      <c r="D156">
        <v>17</v>
      </c>
      <c r="E156" t="b">
        <v>0</v>
      </c>
      <c r="F156">
        <v>5</v>
      </c>
      <c r="G156">
        <v>2</v>
      </c>
      <c r="H156">
        <v>0.2</v>
      </c>
      <c r="I156">
        <v>0.2576</v>
      </c>
      <c r="J156">
        <v>0.37</v>
      </c>
      <c r="K156">
        <v>0</v>
      </c>
      <c r="L156">
        <v>9</v>
      </c>
      <c r="M156">
        <v>178</v>
      </c>
      <c r="N156">
        <v>187</v>
      </c>
    </row>
    <row r="157" spans="1:14" x14ac:dyDescent="0.3">
      <c r="A157">
        <v>156</v>
      </c>
      <c r="B157" s="1">
        <v>40550</v>
      </c>
      <c r="C157">
        <v>1</v>
      </c>
      <c r="D157">
        <v>18</v>
      </c>
      <c r="E157" t="b">
        <v>0</v>
      </c>
      <c r="F157">
        <v>5</v>
      </c>
      <c r="G157">
        <v>1</v>
      </c>
      <c r="H157">
        <v>0.2</v>
      </c>
      <c r="I157">
        <v>0.2273</v>
      </c>
      <c r="J157">
        <v>0.4</v>
      </c>
      <c r="K157">
        <v>8.9599999999999999E-2</v>
      </c>
      <c r="L157">
        <v>7</v>
      </c>
      <c r="M157">
        <v>116</v>
      </c>
      <c r="N157">
        <v>123</v>
      </c>
    </row>
    <row r="158" spans="1:14" x14ac:dyDescent="0.3">
      <c r="A158">
        <v>157</v>
      </c>
      <c r="B158" s="1">
        <v>40550</v>
      </c>
      <c r="C158">
        <v>1</v>
      </c>
      <c r="D158">
        <v>19</v>
      </c>
      <c r="E158" t="b">
        <v>0</v>
      </c>
      <c r="F158">
        <v>5</v>
      </c>
      <c r="G158">
        <v>1</v>
      </c>
      <c r="H158">
        <v>0.16</v>
      </c>
      <c r="I158">
        <v>0.19700000000000001</v>
      </c>
      <c r="J158">
        <v>0.55000000000000004</v>
      </c>
      <c r="K158">
        <v>8.9599999999999999E-2</v>
      </c>
      <c r="L158">
        <v>3</v>
      </c>
      <c r="M158">
        <v>92</v>
      </c>
      <c r="N158">
        <v>95</v>
      </c>
    </row>
    <row r="159" spans="1:14" x14ac:dyDescent="0.3">
      <c r="A159">
        <v>158</v>
      </c>
      <c r="B159" s="1">
        <v>40550</v>
      </c>
      <c r="C159">
        <v>1</v>
      </c>
      <c r="D159">
        <v>20</v>
      </c>
      <c r="E159" t="b">
        <v>0</v>
      </c>
      <c r="F159">
        <v>5</v>
      </c>
      <c r="G159">
        <v>1</v>
      </c>
      <c r="H159">
        <v>0.18</v>
      </c>
      <c r="I159">
        <v>0.21210000000000001</v>
      </c>
      <c r="J159">
        <v>0.47</v>
      </c>
      <c r="K159">
        <v>0.1045</v>
      </c>
      <c r="L159">
        <v>1</v>
      </c>
      <c r="M159">
        <v>50</v>
      </c>
      <c r="N159">
        <v>51</v>
      </c>
    </row>
    <row r="160" spans="1:14" x14ac:dyDescent="0.3">
      <c r="A160">
        <v>159</v>
      </c>
      <c r="B160" s="1">
        <v>40550</v>
      </c>
      <c r="C160">
        <v>1</v>
      </c>
      <c r="D160">
        <v>21</v>
      </c>
      <c r="E160" t="b">
        <v>0</v>
      </c>
      <c r="F160">
        <v>5</v>
      </c>
      <c r="G160">
        <v>1</v>
      </c>
      <c r="H160">
        <v>0.18</v>
      </c>
      <c r="I160">
        <v>0.19700000000000001</v>
      </c>
      <c r="J160">
        <v>0.47</v>
      </c>
      <c r="K160">
        <v>0.1343</v>
      </c>
      <c r="L160">
        <v>0</v>
      </c>
      <c r="M160">
        <v>39</v>
      </c>
      <c r="N160">
        <v>39</v>
      </c>
    </row>
    <row r="161" spans="1:14" x14ac:dyDescent="0.3">
      <c r="A161">
        <v>160</v>
      </c>
      <c r="B161" s="1">
        <v>40550</v>
      </c>
      <c r="C161">
        <v>1</v>
      </c>
      <c r="D161">
        <v>22</v>
      </c>
      <c r="E161" t="b">
        <v>0</v>
      </c>
      <c r="F161">
        <v>5</v>
      </c>
      <c r="G161">
        <v>2</v>
      </c>
      <c r="H161">
        <v>0.18</v>
      </c>
      <c r="I161">
        <v>0.19700000000000001</v>
      </c>
      <c r="J161">
        <v>0.43</v>
      </c>
      <c r="K161">
        <v>0.16420000000000001</v>
      </c>
      <c r="L161">
        <v>2</v>
      </c>
      <c r="M161">
        <v>34</v>
      </c>
      <c r="N161">
        <v>36</v>
      </c>
    </row>
    <row r="162" spans="1:14" x14ac:dyDescent="0.3">
      <c r="A162">
        <v>161</v>
      </c>
      <c r="B162" s="1">
        <v>40550</v>
      </c>
      <c r="C162">
        <v>1</v>
      </c>
      <c r="D162">
        <v>23</v>
      </c>
      <c r="E162" t="b">
        <v>0</v>
      </c>
      <c r="F162">
        <v>5</v>
      </c>
      <c r="G162">
        <v>2</v>
      </c>
      <c r="H162">
        <v>0.18</v>
      </c>
      <c r="I162">
        <v>0.19700000000000001</v>
      </c>
      <c r="J162">
        <v>0.51</v>
      </c>
      <c r="K162">
        <v>0.16420000000000001</v>
      </c>
      <c r="L162">
        <v>1</v>
      </c>
      <c r="M162">
        <v>14</v>
      </c>
      <c r="N162">
        <v>15</v>
      </c>
    </row>
    <row r="163" spans="1:14" x14ac:dyDescent="0.3">
      <c r="A163">
        <v>162</v>
      </c>
      <c r="B163" s="1">
        <v>40551</v>
      </c>
      <c r="C163">
        <v>1</v>
      </c>
      <c r="D163">
        <v>0</v>
      </c>
      <c r="E163" t="b">
        <v>0</v>
      </c>
      <c r="F163">
        <v>6</v>
      </c>
      <c r="G163">
        <v>2</v>
      </c>
      <c r="H163">
        <v>0.18</v>
      </c>
      <c r="I163">
        <v>0.19700000000000001</v>
      </c>
      <c r="J163">
        <v>0.51</v>
      </c>
      <c r="K163">
        <v>0.16420000000000001</v>
      </c>
      <c r="L163">
        <v>1</v>
      </c>
      <c r="M163">
        <v>24</v>
      </c>
      <c r="N163">
        <v>25</v>
      </c>
    </row>
    <row r="164" spans="1:14" x14ac:dyDescent="0.3">
      <c r="A164">
        <v>163</v>
      </c>
      <c r="B164" s="1">
        <v>40551</v>
      </c>
      <c r="C164">
        <v>1</v>
      </c>
      <c r="D164">
        <v>1</v>
      </c>
      <c r="E164" t="b">
        <v>0</v>
      </c>
      <c r="F164">
        <v>6</v>
      </c>
      <c r="G164">
        <v>2</v>
      </c>
      <c r="H164">
        <v>0.18</v>
      </c>
      <c r="I164">
        <v>0.21210000000000001</v>
      </c>
      <c r="J164">
        <v>0.55000000000000004</v>
      </c>
      <c r="K164">
        <v>8.9599999999999999E-2</v>
      </c>
      <c r="L164">
        <v>1</v>
      </c>
      <c r="M164">
        <v>15</v>
      </c>
      <c r="N164">
        <v>16</v>
      </c>
    </row>
    <row r="165" spans="1:14" x14ac:dyDescent="0.3">
      <c r="A165">
        <v>164</v>
      </c>
      <c r="B165" s="1">
        <v>40551</v>
      </c>
      <c r="C165">
        <v>1</v>
      </c>
      <c r="D165">
        <v>2</v>
      </c>
      <c r="E165" t="b">
        <v>0</v>
      </c>
      <c r="F165">
        <v>6</v>
      </c>
      <c r="G165">
        <v>2</v>
      </c>
      <c r="H165">
        <v>0.18</v>
      </c>
      <c r="I165">
        <v>0.2424</v>
      </c>
      <c r="J165">
        <v>0.55000000000000004</v>
      </c>
      <c r="K165">
        <v>0</v>
      </c>
      <c r="L165">
        <v>3</v>
      </c>
      <c r="M165">
        <v>13</v>
      </c>
      <c r="N165">
        <v>16</v>
      </c>
    </row>
    <row r="166" spans="1:14" x14ac:dyDescent="0.3">
      <c r="A166">
        <v>165</v>
      </c>
      <c r="B166" s="1">
        <v>40551</v>
      </c>
      <c r="C166">
        <v>1</v>
      </c>
      <c r="D166">
        <v>3</v>
      </c>
      <c r="E166" t="b">
        <v>0</v>
      </c>
      <c r="F166">
        <v>6</v>
      </c>
      <c r="G166">
        <v>3</v>
      </c>
      <c r="H166">
        <v>0.18</v>
      </c>
      <c r="I166">
        <v>0.19700000000000001</v>
      </c>
      <c r="J166">
        <v>0.55000000000000004</v>
      </c>
      <c r="K166">
        <v>0.16420000000000001</v>
      </c>
      <c r="L166">
        <v>0</v>
      </c>
      <c r="M166">
        <v>7</v>
      </c>
      <c r="N166">
        <v>7</v>
      </c>
    </row>
    <row r="167" spans="1:14" x14ac:dyDescent="0.3">
      <c r="A167">
        <v>166</v>
      </c>
      <c r="B167" s="1">
        <v>40551</v>
      </c>
      <c r="C167">
        <v>1</v>
      </c>
      <c r="D167">
        <v>4</v>
      </c>
      <c r="E167" t="b">
        <v>0</v>
      </c>
      <c r="F167">
        <v>6</v>
      </c>
      <c r="G167">
        <v>3</v>
      </c>
      <c r="H167">
        <v>0.18</v>
      </c>
      <c r="I167">
        <v>0.19700000000000001</v>
      </c>
      <c r="J167">
        <v>0.55000000000000004</v>
      </c>
      <c r="K167">
        <v>0.16420000000000001</v>
      </c>
      <c r="L167">
        <v>0</v>
      </c>
      <c r="M167">
        <v>1</v>
      </c>
      <c r="N167">
        <v>1</v>
      </c>
    </row>
    <row r="168" spans="1:14" x14ac:dyDescent="0.3">
      <c r="A168">
        <v>167</v>
      </c>
      <c r="B168" s="1">
        <v>40551</v>
      </c>
      <c r="C168">
        <v>1</v>
      </c>
      <c r="D168">
        <v>5</v>
      </c>
      <c r="E168" t="b">
        <v>0</v>
      </c>
      <c r="F168">
        <v>6</v>
      </c>
      <c r="G168">
        <v>2</v>
      </c>
      <c r="H168">
        <v>0.16</v>
      </c>
      <c r="I168">
        <v>0.16669999999999999</v>
      </c>
      <c r="J168">
        <v>0.74</v>
      </c>
      <c r="K168">
        <v>0.16420000000000001</v>
      </c>
      <c r="L168">
        <v>0</v>
      </c>
      <c r="M168">
        <v>5</v>
      </c>
      <c r="N168">
        <v>5</v>
      </c>
    </row>
    <row r="169" spans="1:14" x14ac:dyDescent="0.3">
      <c r="A169">
        <v>168</v>
      </c>
      <c r="B169" s="1">
        <v>40551</v>
      </c>
      <c r="C169">
        <v>1</v>
      </c>
      <c r="D169">
        <v>6</v>
      </c>
      <c r="E169" t="b">
        <v>0</v>
      </c>
      <c r="F169">
        <v>6</v>
      </c>
      <c r="G169">
        <v>2</v>
      </c>
      <c r="H169">
        <v>0.16</v>
      </c>
      <c r="I169">
        <v>0.16669999999999999</v>
      </c>
      <c r="J169">
        <v>0.74</v>
      </c>
      <c r="K169">
        <v>0.16420000000000001</v>
      </c>
      <c r="L169">
        <v>0</v>
      </c>
      <c r="M169">
        <v>2</v>
      </c>
      <c r="N169">
        <v>2</v>
      </c>
    </row>
    <row r="170" spans="1:14" x14ac:dyDescent="0.3">
      <c r="A170">
        <v>169</v>
      </c>
      <c r="B170" s="1">
        <v>40551</v>
      </c>
      <c r="C170">
        <v>1</v>
      </c>
      <c r="D170">
        <v>7</v>
      </c>
      <c r="E170" t="b">
        <v>0</v>
      </c>
      <c r="F170">
        <v>6</v>
      </c>
      <c r="G170">
        <v>2</v>
      </c>
      <c r="H170">
        <v>0.16</v>
      </c>
      <c r="I170">
        <v>0.18179999999999999</v>
      </c>
      <c r="J170">
        <v>0.74</v>
      </c>
      <c r="K170">
        <v>0.1045</v>
      </c>
      <c r="L170">
        <v>1</v>
      </c>
      <c r="M170">
        <v>8</v>
      </c>
      <c r="N170">
        <v>9</v>
      </c>
    </row>
    <row r="171" spans="1:14" x14ac:dyDescent="0.3">
      <c r="A171">
        <v>170</v>
      </c>
      <c r="B171" s="1">
        <v>40551</v>
      </c>
      <c r="C171">
        <v>1</v>
      </c>
      <c r="D171">
        <v>8</v>
      </c>
      <c r="E171" t="b">
        <v>0</v>
      </c>
      <c r="F171">
        <v>6</v>
      </c>
      <c r="G171">
        <v>3</v>
      </c>
      <c r="H171">
        <v>0.16</v>
      </c>
      <c r="I171">
        <v>0.18179999999999999</v>
      </c>
      <c r="J171">
        <v>0.93</v>
      </c>
      <c r="K171">
        <v>0.1045</v>
      </c>
      <c r="L171">
        <v>0</v>
      </c>
      <c r="M171">
        <v>15</v>
      </c>
      <c r="N171">
        <v>15</v>
      </c>
    </row>
    <row r="172" spans="1:14" x14ac:dyDescent="0.3">
      <c r="A172">
        <v>171</v>
      </c>
      <c r="B172" s="1">
        <v>40551</v>
      </c>
      <c r="C172">
        <v>1</v>
      </c>
      <c r="D172">
        <v>9</v>
      </c>
      <c r="E172" t="b">
        <v>0</v>
      </c>
      <c r="F172">
        <v>6</v>
      </c>
      <c r="G172">
        <v>3</v>
      </c>
      <c r="H172">
        <v>0.16</v>
      </c>
      <c r="I172">
        <v>0.18179999999999999</v>
      </c>
      <c r="J172">
        <v>0.93</v>
      </c>
      <c r="K172">
        <v>0.1045</v>
      </c>
      <c r="L172">
        <v>0</v>
      </c>
      <c r="M172">
        <v>20</v>
      </c>
      <c r="N172">
        <v>20</v>
      </c>
    </row>
    <row r="173" spans="1:14" x14ac:dyDescent="0.3">
      <c r="A173">
        <v>172</v>
      </c>
      <c r="B173" s="1">
        <v>40551</v>
      </c>
      <c r="C173">
        <v>1</v>
      </c>
      <c r="D173">
        <v>10</v>
      </c>
      <c r="E173" t="b">
        <v>0</v>
      </c>
      <c r="F173">
        <v>6</v>
      </c>
      <c r="G173">
        <v>2</v>
      </c>
      <c r="H173">
        <v>0.18</v>
      </c>
      <c r="I173">
        <v>0.19700000000000001</v>
      </c>
      <c r="J173">
        <v>0.8</v>
      </c>
      <c r="K173">
        <v>0.16420000000000001</v>
      </c>
      <c r="L173">
        <v>5</v>
      </c>
      <c r="M173">
        <v>56</v>
      </c>
      <c r="N173">
        <v>61</v>
      </c>
    </row>
    <row r="174" spans="1:14" x14ac:dyDescent="0.3">
      <c r="A174">
        <v>173</v>
      </c>
      <c r="B174" s="1">
        <v>40551</v>
      </c>
      <c r="C174">
        <v>1</v>
      </c>
      <c r="D174">
        <v>11</v>
      </c>
      <c r="E174" t="b">
        <v>0</v>
      </c>
      <c r="F174">
        <v>6</v>
      </c>
      <c r="G174">
        <v>2</v>
      </c>
      <c r="H174">
        <v>0.2</v>
      </c>
      <c r="I174">
        <v>0.18179999999999999</v>
      </c>
      <c r="J174">
        <v>0.69</v>
      </c>
      <c r="K174">
        <v>0.3881</v>
      </c>
      <c r="L174">
        <v>2</v>
      </c>
      <c r="M174">
        <v>60</v>
      </c>
      <c r="N174">
        <v>62</v>
      </c>
    </row>
    <row r="175" spans="1:14" x14ac:dyDescent="0.3">
      <c r="A175">
        <v>174</v>
      </c>
      <c r="B175" s="1">
        <v>40551</v>
      </c>
      <c r="C175">
        <v>1</v>
      </c>
      <c r="D175">
        <v>12</v>
      </c>
      <c r="E175" t="b">
        <v>0</v>
      </c>
      <c r="F175">
        <v>6</v>
      </c>
      <c r="G175">
        <v>2</v>
      </c>
      <c r="H175">
        <v>0.2</v>
      </c>
      <c r="I175">
        <v>0.18179999999999999</v>
      </c>
      <c r="J175">
        <v>0.59</v>
      </c>
      <c r="K175">
        <v>0.35820000000000002</v>
      </c>
      <c r="L175">
        <v>8</v>
      </c>
      <c r="M175">
        <v>90</v>
      </c>
      <c r="N175">
        <v>98</v>
      </c>
    </row>
    <row r="176" spans="1:14" x14ac:dyDescent="0.3">
      <c r="A176">
        <v>175</v>
      </c>
      <c r="B176" s="1">
        <v>40551</v>
      </c>
      <c r="C176">
        <v>1</v>
      </c>
      <c r="D176">
        <v>13</v>
      </c>
      <c r="E176" t="b">
        <v>0</v>
      </c>
      <c r="F176">
        <v>6</v>
      </c>
      <c r="G176">
        <v>1</v>
      </c>
      <c r="H176">
        <v>0.2</v>
      </c>
      <c r="I176">
        <v>0.18179999999999999</v>
      </c>
      <c r="J176">
        <v>0.44</v>
      </c>
      <c r="K176">
        <v>0.32840000000000003</v>
      </c>
      <c r="L176">
        <v>7</v>
      </c>
      <c r="M176">
        <v>95</v>
      </c>
      <c r="N176">
        <v>102</v>
      </c>
    </row>
    <row r="177" spans="1:14" x14ac:dyDescent="0.3">
      <c r="A177">
        <v>176</v>
      </c>
      <c r="B177" s="1">
        <v>40551</v>
      </c>
      <c r="C177">
        <v>1</v>
      </c>
      <c r="D177">
        <v>14</v>
      </c>
      <c r="E177" t="b">
        <v>0</v>
      </c>
      <c r="F177">
        <v>6</v>
      </c>
      <c r="G177">
        <v>1</v>
      </c>
      <c r="H177">
        <v>0.2</v>
      </c>
      <c r="I177">
        <v>0.16669999999999999</v>
      </c>
      <c r="J177">
        <v>0.32</v>
      </c>
      <c r="K177">
        <v>0.49249999999999999</v>
      </c>
      <c r="L177">
        <v>12</v>
      </c>
      <c r="M177">
        <v>83</v>
      </c>
      <c r="N177">
        <v>95</v>
      </c>
    </row>
    <row r="178" spans="1:14" x14ac:dyDescent="0.3">
      <c r="A178">
        <v>177</v>
      </c>
      <c r="B178" s="1">
        <v>40551</v>
      </c>
      <c r="C178">
        <v>1</v>
      </c>
      <c r="D178">
        <v>15</v>
      </c>
      <c r="E178" t="b">
        <v>0</v>
      </c>
      <c r="F178">
        <v>6</v>
      </c>
      <c r="G178">
        <v>1</v>
      </c>
      <c r="H178">
        <v>0.2</v>
      </c>
      <c r="I178">
        <v>0.16669999999999999</v>
      </c>
      <c r="J178">
        <v>0.32</v>
      </c>
      <c r="K178">
        <v>0.44779999999999998</v>
      </c>
      <c r="L178">
        <v>5</v>
      </c>
      <c r="M178">
        <v>69</v>
      </c>
      <c r="N178">
        <v>74</v>
      </c>
    </row>
    <row r="179" spans="1:14" x14ac:dyDescent="0.3">
      <c r="A179">
        <v>178</v>
      </c>
      <c r="B179" s="1">
        <v>40551</v>
      </c>
      <c r="C179">
        <v>1</v>
      </c>
      <c r="D179">
        <v>16</v>
      </c>
      <c r="E179" t="b">
        <v>0</v>
      </c>
      <c r="F179">
        <v>6</v>
      </c>
      <c r="G179">
        <v>1</v>
      </c>
      <c r="H179">
        <v>0.18</v>
      </c>
      <c r="I179">
        <v>0.13639999999999999</v>
      </c>
      <c r="J179">
        <v>0.28999999999999998</v>
      </c>
      <c r="K179">
        <v>0.44779999999999998</v>
      </c>
      <c r="L179">
        <v>8</v>
      </c>
      <c r="M179">
        <v>68</v>
      </c>
      <c r="N179">
        <v>76</v>
      </c>
    </row>
    <row r="180" spans="1:14" x14ac:dyDescent="0.3">
      <c r="A180">
        <v>179</v>
      </c>
      <c r="B180" s="1">
        <v>40551</v>
      </c>
      <c r="C180">
        <v>1</v>
      </c>
      <c r="D180">
        <v>17</v>
      </c>
      <c r="E180" t="b">
        <v>0</v>
      </c>
      <c r="F180">
        <v>6</v>
      </c>
      <c r="G180">
        <v>1</v>
      </c>
      <c r="H180">
        <v>0.16</v>
      </c>
      <c r="I180">
        <v>0.1212</v>
      </c>
      <c r="J180">
        <v>0.37</v>
      </c>
      <c r="K180">
        <v>0.55220000000000002</v>
      </c>
      <c r="L180">
        <v>5</v>
      </c>
      <c r="M180">
        <v>64</v>
      </c>
      <c r="N180">
        <v>69</v>
      </c>
    </row>
    <row r="181" spans="1:14" x14ac:dyDescent="0.3">
      <c r="A181">
        <v>180</v>
      </c>
      <c r="B181" s="1">
        <v>40551</v>
      </c>
      <c r="C181">
        <v>1</v>
      </c>
      <c r="D181">
        <v>18</v>
      </c>
      <c r="E181" t="b">
        <v>0</v>
      </c>
      <c r="F181">
        <v>6</v>
      </c>
      <c r="G181">
        <v>1</v>
      </c>
      <c r="H181">
        <v>0.14000000000000001</v>
      </c>
      <c r="I181">
        <v>0.1212</v>
      </c>
      <c r="J181">
        <v>0.39</v>
      </c>
      <c r="K181">
        <v>0.29849999999999999</v>
      </c>
      <c r="L181">
        <v>3</v>
      </c>
      <c r="M181">
        <v>52</v>
      </c>
      <c r="N181">
        <v>55</v>
      </c>
    </row>
    <row r="182" spans="1:14" x14ac:dyDescent="0.3">
      <c r="A182">
        <v>181</v>
      </c>
      <c r="B182" s="1">
        <v>40551</v>
      </c>
      <c r="C182">
        <v>1</v>
      </c>
      <c r="D182">
        <v>19</v>
      </c>
      <c r="E182" t="b">
        <v>0</v>
      </c>
      <c r="F182">
        <v>6</v>
      </c>
      <c r="G182">
        <v>1</v>
      </c>
      <c r="H182">
        <v>0.14000000000000001</v>
      </c>
      <c r="I182">
        <v>0.1212</v>
      </c>
      <c r="J182">
        <v>0.36</v>
      </c>
      <c r="K182">
        <v>0.25369999999999998</v>
      </c>
      <c r="L182">
        <v>4</v>
      </c>
      <c r="M182">
        <v>26</v>
      </c>
      <c r="N182">
        <v>30</v>
      </c>
    </row>
    <row r="183" spans="1:14" x14ac:dyDescent="0.3">
      <c r="A183">
        <v>182</v>
      </c>
      <c r="B183" s="1">
        <v>40551</v>
      </c>
      <c r="C183">
        <v>1</v>
      </c>
      <c r="D183">
        <v>20</v>
      </c>
      <c r="E183" t="b">
        <v>0</v>
      </c>
      <c r="F183">
        <v>6</v>
      </c>
      <c r="G183">
        <v>1</v>
      </c>
      <c r="H183">
        <v>0.12</v>
      </c>
      <c r="I183">
        <v>0.1212</v>
      </c>
      <c r="J183">
        <v>0.36</v>
      </c>
      <c r="K183">
        <v>0.25369999999999998</v>
      </c>
      <c r="L183">
        <v>0</v>
      </c>
      <c r="M183">
        <v>28</v>
      </c>
      <c r="N183">
        <v>28</v>
      </c>
    </row>
    <row r="184" spans="1:14" x14ac:dyDescent="0.3">
      <c r="A184">
        <v>183</v>
      </c>
      <c r="B184" s="1">
        <v>40551</v>
      </c>
      <c r="C184">
        <v>1</v>
      </c>
      <c r="D184">
        <v>21</v>
      </c>
      <c r="E184" t="b">
        <v>0</v>
      </c>
      <c r="F184">
        <v>6</v>
      </c>
      <c r="G184">
        <v>1</v>
      </c>
      <c r="H184">
        <v>0.12</v>
      </c>
      <c r="I184">
        <v>0.1061</v>
      </c>
      <c r="J184">
        <v>0.39</v>
      </c>
      <c r="K184">
        <v>0.35820000000000002</v>
      </c>
      <c r="L184">
        <v>2</v>
      </c>
      <c r="M184">
        <v>35</v>
      </c>
      <c r="N184">
        <v>37</v>
      </c>
    </row>
    <row r="185" spans="1:14" x14ac:dyDescent="0.3">
      <c r="A185">
        <v>184</v>
      </c>
      <c r="B185" s="1">
        <v>40551</v>
      </c>
      <c r="C185">
        <v>1</v>
      </c>
      <c r="D185">
        <v>22</v>
      </c>
      <c r="E185" t="b">
        <v>0</v>
      </c>
      <c r="F185">
        <v>6</v>
      </c>
      <c r="G185">
        <v>1</v>
      </c>
      <c r="H185">
        <v>0.12</v>
      </c>
      <c r="I185">
        <v>0.1061</v>
      </c>
      <c r="J185">
        <v>0.36</v>
      </c>
      <c r="K185">
        <v>0.3881</v>
      </c>
      <c r="L185">
        <v>1</v>
      </c>
      <c r="M185">
        <v>33</v>
      </c>
      <c r="N185">
        <v>34</v>
      </c>
    </row>
    <row r="186" spans="1:14" x14ac:dyDescent="0.3">
      <c r="A186">
        <v>185</v>
      </c>
      <c r="B186" s="1">
        <v>40551</v>
      </c>
      <c r="C186">
        <v>1</v>
      </c>
      <c r="D186">
        <v>23</v>
      </c>
      <c r="E186" t="b">
        <v>0</v>
      </c>
      <c r="F186">
        <v>6</v>
      </c>
      <c r="G186">
        <v>1</v>
      </c>
      <c r="H186">
        <v>0.1</v>
      </c>
      <c r="I186">
        <v>6.0600000000000001E-2</v>
      </c>
      <c r="J186">
        <v>0.39</v>
      </c>
      <c r="K186">
        <v>0.44779999999999998</v>
      </c>
      <c r="L186">
        <v>0</v>
      </c>
      <c r="M186">
        <v>22</v>
      </c>
      <c r="N186">
        <v>22</v>
      </c>
    </row>
    <row r="187" spans="1:14" x14ac:dyDescent="0.3">
      <c r="A187">
        <v>186</v>
      </c>
      <c r="B187" s="1">
        <v>40552</v>
      </c>
      <c r="C187">
        <v>1</v>
      </c>
      <c r="D187">
        <v>0</v>
      </c>
      <c r="E187" t="b">
        <v>0</v>
      </c>
      <c r="F187">
        <v>0</v>
      </c>
      <c r="G187">
        <v>1</v>
      </c>
      <c r="H187">
        <v>0.1</v>
      </c>
      <c r="I187">
        <v>7.5800000000000006E-2</v>
      </c>
      <c r="J187">
        <v>0.42</v>
      </c>
      <c r="K187">
        <v>0.3881</v>
      </c>
      <c r="L187">
        <v>1</v>
      </c>
      <c r="M187">
        <v>24</v>
      </c>
      <c r="N187">
        <v>25</v>
      </c>
    </row>
    <row r="188" spans="1:14" x14ac:dyDescent="0.3">
      <c r="A188">
        <v>187</v>
      </c>
      <c r="B188" s="1">
        <v>40552</v>
      </c>
      <c r="C188">
        <v>1</v>
      </c>
      <c r="D188">
        <v>1</v>
      </c>
      <c r="E188" t="b">
        <v>0</v>
      </c>
      <c r="F188">
        <v>0</v>
      </c>
      <c r="G188">
        <v>1</v>
      </c>
      <c r="H188">
        <v>0.1</v>
      </c>
      <c r="I188">
        <v>6.0600000000000001E-2</v>
      </c>
      <c r="J188">
        <v>0.42</v>
      </c>
      <c r="K188">
        <v>0.4627</v>
      </c>
      <c r="L188">
        <v>0</v>
      </c>
      <c r="M188">
        <v>12</v>
      </c>
      <c r="N188">
        <v>12</v>
      </c>
    </row>
    <row r="189" spans="1:14" x14ac:dyDescent="0.3">
      <c r="A189">
        <v>188</v>
      </c>
      <c r="B189" s="1">
        <v>40552</v>
      </c>
      <c r="C189">
        <v>1</v>
      </c>
      <c r="D189">
        <v>2</v>
      </c>
      <c r="E189" t="b">
        <v>0</v>
      </c>
      <c r="F189">
        <v>0</v>
      </c>
      <c r="G189">
        <v>1</v>
      </c>
      <c r="H189">
        <v>0.1</v>
      </c>
      <c r="I189">
        <v>6.0600000000000001E-2</v>
      </c>
      <c r="J189">
        <v>0.46</v>
      </c>
      <c r="K189">
        <v>0.4627</v>
      </c>
      <c r="L189">
        <v>0</v>
      </c>
      <c r="M189">
        <v>11</v>
      </c>
      <c r="N189">
        <v>11</v>
      </c>
    </row>
    <row r="190" spans="1:14" x14ac:dyDescent="0.3">
      <c r="A190">
        <v>189</v>
      </c>
      <c r="B190" s="1">
        <v>40552</v>
      </c>
      <c r="C190">
        <v>1</v>
      </c>
      <c r="D190">
        <v>3</v>
      </c>
      <c r="E190" t="b">
        <v>0</v>
      </c>
      <c r="F190">
        <v>0</v>
      </c>
      <c r="G190">
        <v>1</v>
      </c>
      <c r="H190">
        <v>0.1</v>
      </c>
      <c r="I190">
        <v>7.5800000000000006E-2</v>
      </c>
      <c r="J190">
        <v>0.46</v>
      </c>
      <c r="K190">
        <v>0.41789999999999999</v>
      </c>
      <c r="L190">
        <v>0</v>
      </c>
      <c r="M190">
        <v>4</v>
      </c>
      <c r="N190">
        <v>4</v>
      </c>
    </row>
    <row r="191" spans="1:14" x14ac:dyDescent="0.3">
      <c r="A191">
        <v>190</v>
      </c>
      <c r="B191" s="1">
        <v>40552</v>
      </c>
      <c r="C191">
        <v>1</v>
      </c>
      <c r="D191">
        <v>4</v>
      </c>
      <c r="E191" t="b">
        <v>0</v>
      </c>
      <c r="F191">
        <v>0</v>
      </c>
      <c r="G191">
        <v>1</v>
      </c>
      <c r="H191">
        <v>0.08</v>
      </c>
      <c r="I191">
        <v>9.0899999999999995E-2</v>
      </c>
      <c r="J191">
        <v>0.53</v>
      </c>
      <c r="K191">
        <v>0.19400000000000001</v>
      </c>
      <c r="L191">
        <v>0</v>
      </c>
      <c r="M191">
        <v>1</v>
      </c>
      <c r="N191">
        <v>1</v>
      </c>
    </row>
    <row r="192" spans="1:14" x14ac:dyDescent="0.3">
      <c r="A192">
        <v>191</v>
      </c>
      <c r="B192" s="1">
        <v>40552</v>
      </c>
      <c r="C192">
        <v>1</v>
      </c>
      <c r="D192">
        <v>5</v>
      </c>
      <c r="E192" t="b">
        <v>0</v>
      </c>
      <c r="F192">
        <v>0</v>
      </c>
      <c r="G192">
        <v>1</v>
      </c>
      <c r="H192">
        <v>0.08</v>
      </c>
      <c r="I192">
        <v>9.0899999999999995E-2</v>
      </c>
      <c r="J192">
        <v>0.53</v>
      </c>
      <c r="K192">
        <v>0.19400000000000001</v>
      </c>
      <c r="L192">
        <v>0</v>
      </c>
      <c r="M192">
        <v>1</v>
      </c>
      <c r="N192">
        <v>1</v>
      </c>
    </row>
    <row r="193" spans="1:14" x14ac:dyDescent="0.3">
      <c r="A193">
        <v>192</v>
      </c>
      <c r="B193" s="1">
        <v>40552</v>
      </c>
      <c r="C193">
        <v>1</v>
      </c>
      <c r="D193">
        <v>6</v>
      </c>
      <c r="E193" t="b">
        <v>0</v>
      </c>
      <c r="F193">
        <v>0</v>
      </c>
      <c r="G193">
        <v>1</v>
      </c>
      <c r="H193">
        <v>0.1</v>
      </c>
      <c r="I193">
        <v>9.0899999999999995E-2</v>
      </c>
      <c r="J193">
        <v>0.49</v>
      </c>
      <c r="K193">
        <v>0.28360000000000002</v>
      </c>
      <c r="L193">
        <v>0</v>
      </c>
      <c r="M193">
        <v>1</v>
      </c>
      <c r="N193">
        <v>1</v>
      </c>
    </row>
    <row r="194" spans="1:14" x14ac:dyDescent="0.3">
      <c r="A194">
        <v>193</v>
      </c>
      <c r="B194" s="1">
        <v>40552</v>
      </c>
      <c r="C194">
        <v>1</v>
      </c>
      <c r="D194">
        <v>7</v>
      </c>
      <c r="E194" t="b">
        <v>0</v>
      </c>
      <c r="F194">
        <v>0</v>
      </c>
      <c r="G194">
        <v>1</v>
      </c>
      <c r="H194">
        <v>0.08</v>
      </c>
      <c r="I194">
        <v>9.0899999999999995E-2</v>
      </c>
      <c r="J194">
        <v>0.53</v>
      </c>
      <c r="K194">
        <v>0.19400000000000001</v>
      </c>
      <c r="L194">
        <v>1</v>
      </c>
      <c r="M194">
        <v>5</v>
      </c>
      <c r="N194">
        <v>6</v>
      </c>
    </row>
    <row r="195" spans="1:14" x14ac:dyDescent="0.3">
      <c r="A195">
        <v>194</v>
      </c>
      <c r="B195" s="1">
        <v>40552</v>
      </c>
      <c r="C195">
        <v>1</v>
      </c>
      <c r="D195">
        <v>8</v>
      </c>
      <c r="E195" t="b">
        <v>0</v>
      </c>
      <c r="F195">
        <v>0</v>
      </c>
      <c r="G195">
        <v>1</v>
      </c>
      <c r="H195">
        <v>0.1</v>
      </c>
      <c r="I195">
        <v>9.0899999999999995E-2</v>
      </c>
      <c r="J195">
        <v>0.49</v>
      </c>
      <c r="K195">
        <v>0.28360000000000002</v>
      </c>
      <c r="L195">
        <v>0</v>
      </c>
      <c r="M195">
        <v>10</v>
      </c>
      <c r="N195">
        <v>10</v>
      </c>
    </row>
    <row r="196" spans="1:14" x14ac:dyDescent="0.3">
      <c r="A196">
        <v>195</v>
      </c>
      <c r="B196" s="1">
        <v>40552</v>
      </c>
      <c r="C196">
        <v>1</v>
      </c>
      <c r="D196">
        <v>9</v>
      </c>
      <c r="E196" t="b">
        <v>0</v>
      </c>
      <c r="F196">
        <v>0</v>
      </c>
      <c r="G196">
        <v>1</v>
      </c>
      <c r="H196">
        <v>0.12</v>
      </c>
      <c r="I196">
        <v>7.5800000000000006E-2</v>
      </c>
      <c r="J196">
        <v>0.46</v>
      </c>
      <c r="K196">
        <v>0.52239999999999998</v>
      </c>
      <c r="L196">
        <v>0</v>
      </c>
      <c r="M196">
        <v>19</v>
      </c>
      <c r="N196">
        <v>19</v>
      </c>
    </row>
    <row r="197" spans="1:14" x14ac:dyDescent="0.3">
      <c r="A197">
        <v>196</v>
      </c>
      <c r="B197" s="1">
        <v>40552</v>
      </c>
      <c r="C197">
        <v>1</v>
      </c>
      <c r="D197">
        <v>10</v>
      </c>
      <c r="E197" t="b">
        <v>0</v>
      </c>
      <c r="F197">
        <v>0</v>
      </c>
      <c r="G197">
        <v>1</v>
      </c>
      <c r="H197">
        <v>0.14000000000000001</v>
      </c>
      <c r="I197">
        <v>0.1061</v>
      </c>
      <c r="J197">
        <v>0.43</v>
      </c>
      <c r="K197">
        <v>0.3881</v>
      </c>
      <c r="L197">
        <v>0</v>
      </c>
      <c r="M197">
        <v>49</v>
      </c>
      <c r="N197">
        <v>49</v>
      </c>
    </row>
    <row r="198" spans="1:14" x14ac:dyDescent="0.3">
      <c r="A198">
        <v>197</v>
      </c>
      <c r="B198" s="1">
        <v>40552</v>
      </c>
      <c r="C198">
        <v>1</v>
      </c>
      <c r="D198">
        <v>11</v>
      </c>
      <c r="E198" t="b">
        <v>0</v>
      </c>
      <c r="F198">
        <v>0</v>
      </c>
      <c r="G198">
        <v>1</v>
      </c>
      <c r="H198">
        <v>0.16</v>
      </c>
      <c r="I198">
        <v>0.1212</v>
      </c>
      <c r="J198">
        <v>0.4</v>
      </c>
      <c r="K198">
        <v>0.52239999999999998</v>
      </c>
      <c r="L198">
        <v>2</v>
      </c>
      <c r="M198">
        <v>47</v>
      </c>
      <c r="N198">
        <v>49</v>
      </c>
    </row>
    <row r="199" spans="1:14" x14ac:dyDescent="0.3">
      <c r="A199">
        <v>198</v>
      </c>
      <c r="B199" s="1">
        <v>40552</v>
      </c>
      <c r="C199">
        <v>1</v>
      </c>
      <c r="D199">
        <v>12</v>
      </c>
      <c r="E199" t="b">
        <v>0</v>
      </c>
      <c r="F199">
        <v>0</v>
      </c>
      <c r="G199">
        <v>1</v>
      </c>
      <c r="H199">
        <v>0.18</v>
      </c>
      <c r="I199">
        <v>0.13639999999999999</v>
      </c>
      <c r="J199">
        <v>0.37</v>
      </c>
      <c r="K199">
        <v>0.44779999999999998</v>
      </c>
      <c r="L199">
        <v>4</v>
      </c>
      <c r="M199">
        <v>79</v>
      </c>
      <c r="N199">
        <v>83</v>
      </c>
    </row>
    <row r="200" spans="1:14" x14ac:dyDescent="0.3">
      <c r="A200">
        <v>199</v>
      </c>
      <c r="B200" s="1">
        <v>40552</v>
      </c>
      <c r="C200">
        <v>1</v>
      </c>
      <c r="D200">
        <v>13</v>
      </c>
      <c r="E200" t="b">
        <v>0</v>
      </c>
      <c r="F200">
        <v>0</v>
      </c>
      <c r="G200">
        <v>1</v>
      </c>
      <c r="H200">
        <v>0.2</v>
      </c>
      <c r="I200">
        <v>0.16669999999999999</v>
      </c>
      <c r="J200">
        <v>0.34</v>
      </c>
      <c r="K200">
        <v>0.44779999999999998</v>
      </c>
      <c r="L200">
        <v>6</v>
      </c>
      <c r="M200">
        <v>69</v>
      </c>
      <c r="N200">
        <v>75</v>
      </c>
    </row>
    <row r="201" spans="1:14" x14ac:dyDescent="0.3">
      <c r="A201">
        <v>200</v>
      </c>
      <c r="B201" s="1">
        <v>40552</v>
      </c>
      <c r="C201">
        <v>1</v>
      </c>
      <c r="D201">
        <v>14</v>
      </c>
      <c r="E201" t="b">
        <v>0</v>
      </c>
      <c r="F201">
        <v>0</v>
      </c>
      <c r="G201">
        <v>1</v>
      </c>
      <c r="H201">
        <v>0.22</v>
      </c>
      <c r="I201">
        <v>0.18179999999999999</v>
      </c>
      <c r="J201">
        <v>0.32</v>
      </c>
      <c r="K201">
        <v>0.4627</v>
      </c>
      <c r="L201">
        <v>8</v>
      </c>
      <c r="M201">
        <v>64</v>
      </c>
      <c r="N201">
        <v>72</v>
      </c>
    </row>
    <row r="202" spans="1:14" x14ac:dyDescent="0.3">
      <c r="A202">
        <v>201</v>
      </c>
      <c r="B202" s="1">
        <v>40552</v>
      </c>
      <c r="C202">
        <v>1</v>
      </c>
      <c r="D202">
        <v>15</v>
      </c>
      <c r="E202" t="b">
        <v>0</v>
      </c>
      <c r="F202">
        <v>0</v>
      </c>
      <c r="G202">
        <v>1</v>
      </c>
      <c r="H202">
        <v>0.22</v>
      </c>
      <c r="I202">
        <v>0.19700000000000001</v>
      </c>
      <c r="J202">
        <v>0.35</v>
      </c>
      <c r="K202">
        <v>0.35820000000000002</v>
      </c>
      <c r="L202">
        <v>5</v>
      </c>
      <c r="M202">
        <v>77</v>
      </c>
      <c r="N202">
        <v>82</v>
      </c>
    </row>
    <row r="203" spans="1:14" x14ac:dyDescent="0.3">
      <c r="A203">
        <v>202</v>
      </c>
      <c r="B203" s="1">
        <v>40552</v>
      </c>
      <c r="C203">
        <v>1</v>
      </c>
      <c r="D203">
        <v>16</v>
      </c>
      <c r="E203" t="b">
        <v>0</v>
      </c>
      <c r="F203">
        <v>0</v>
      </c>
      <c r="G203">
        <v>1</v>
      </c>
      <c r="H203">
        <v>0.2</v>
      </c>
      <c r="I203">
        <v>0.16669999999999999</v>
      </c>
      <c r="J203">
        <v>0.34</v>
      </c>
      <c r="K203">
        <v>0.44779999999999998</v>
      </c>
      <c r="L203">
        <v>13</v>
      </c>
      <c r="M203">
        <v>79</v>
      </c>
      <c r="N203">
        <v>92</v>
      </c>
    </row>
    <row r="204" spans="1:14" x14ac:dyDescent="0.3">
      <c r="A204">
        <v>203</v>
      </c>
      <c r="B204" s="1">
        <v>40552</v>
      </c>
      <c r="C204">
        <v>1</v>
      </c>
      <c r="D204">
        <v>17</v>
      </c>
      <c r="E204" t="b">
        <v>0</v>
      </c>
      <c r="F204">
        <v>0</v>
      </c>
      <c r="G204">
        <v>1</v>
      </c>
      <c r="H204">
        <v>0.18</v>
      </c>
      <c r="I204">
        <v>0.1515</v>
      </c>
      <c r="J204">
        <v>0.37</v>
      </c>
      <c r="K204">
        <v>0.3881</v>
      </c>
      <c r="L204">
        <v>3</v>
      </c>
      <c r="M204">
        <v>59</v>
      </c>
      <c r="N204">
        <v>62</v>
      </c>
    </row>
    <row r="205" spans="1:14" x14ac:dyDescent="0.3">
      <c r="A205">
        <v>204</v>
      </c>
      <c r="B205" s="1">
        <v>40552</v>
      </c>
      <c r="C205">
        <v>1</v>
      </c>
      <c r="D205">
        <v>18</v>
      </c>
      <c r="E205" t="b">
        <v>0</v>
      </c>
      <c r="F205">
        <v>0</v>
      </c>
      <c r="G205">
        <v>1</v>
      </c>
      <c r="H205">
        <v>0.16</v>
      </c>
      <c r="I205">
        <v>0.13639999999999999</v>
      </c>
      <c r="J205">
        <v>0.4</v>
      </c>
      <c r="K205">
        <v>0.32840000000000003</v>
      </c>
      <c r="L205">
        <v>4</v>
      </c>
      <c r="M205">
        <v>44</v>
      </c>
      <c r="N205">
        <v>48</v>
      </c>
    </row>
    <row r="206" spans="1:14" x14ac:dyDescent="0.3">
      <c r="A206">
        <v>205</v>
      </c>
      <c r="B206" s="1">
        <v>40552</v>
      </c>
      <c r="C206">
        <v>1</v>
      </c>
      <c r="D206">
        <v>19</v>
      </c>
      <c r="E206" t="b">
        <v>0</v>
      </c>
      <c r="F206">
        <v>0</v>
      </c>
      <c r="G206">
        <v>1</v>
      </c>
      <c r="H206">
        <v>0.16</v>
      </c>
      <c r="I206">
        <v>0.13639999999999999</v>
      </c>
      <c r="J206">
        <v>0.43</v>
      </c>
      <c r="K206">
        <v>0.32840000000000003</v>
      </c>
      <c r="L206">
        <v>1</v>
      </c>
      <c r="M206">
        <v>40</v>
      </c>
      <c r="N206">
        <v>41</v>
      </c>
    </row>
    <row r="207" spans="1:14" x14ac:dyDescent="0.3">
      <c r="A207">
        <v>206</v>
      </c>
      <c r="B207" s="1">
        <v>40552</v>
      </c>
      <c r="C207">
        <v>1</v>
      </c>
      <c r="D207">
        <v>20</v>
      </c>
      <c r="E207" t="b">
        <v>0</v>
      </c>
      <c r="F207">
        <v>0</v>
      </c>
      <c r="G207">
        <v>1</v>
      </c>
      <c r="H207">
        <v>0.14000000000000001</v>
      </c>
      <c r="I207">
        <v>0.1212</v>
      </c>
      <c r="J207">
        <v>0.46</v>
      </c>
      <c r="K207">
        <v>0.25369999999999998</v>
      </c>
      <c r="L207">
        <v>0</v>
      </c>
      <c r="M207">
        <v>38</v>
      </c>
      <c r="N207">
        <v>38</v>
      </c>
    </row>
    <row r="208" spans="1:14" x14ac:dyDescent="0.3">
      <c r="A208">
        <v>207</v>
      </c>
      <c r="B208" s="1">
        <v>40552</v>
      </c>
      <c r="C208">
        <v>1</v>
      </c>
      <c r="D208">
        <v>21</v>
      </c>
      <c r="E208" t="b">
        <v>0</v>
      </c>
      <c r="F208">
        <v>0</v>
      </c>
      <c r="G208">
        <v>1</v>
      </c>
      <c r="H208">
        <v>0.14000000000000001</v>
      </c>
      <c r="I208">
        <v>0.1061</v>
      </c>
      <c r="J208">
        <v>0.46</v>
      </c>
      <c r="K208">
        <v>0.41789999999999999</v>
      </c>
      <c r="L208">
        <v>1</v>
      </c>
      <c r="M208">
        <v>19</v>
      </c>
      <c r="N208">
        <v>20</v>
      </c>
    </row>
    <row r="209" spans="1:14" x14ac:dyDescent="0.3">
      <c r="A209">
        <v>208</v>
      </c>
      <c r="B209" s="1">
        <v>40552</v>
      </c>
      <c r="C209">
        <v>1</v>
      </c>
      <c r="D209">
        <v>22</v>
      </c>
      <c r="E209" t="b">
        <v>0</v>
      </c>
      <c r="F209">
        <v>0</v>
      </c>
      <c r="G209">
        <v>1</v>
      </c>
      <c r="H209">
        <v>0.14000000000000001</v>
      </c>
      <c r="I209">
        <v>0.1212</v>
      </c>
      <c r="J209">
        <v>0.46</v>
      </c>
      <c r="K209">
        <v>0.29849999999999999</v>
      </c>
      <c r="L209">
        <v>5</v>
      </c>
      <c r="M209">
        <v>10</v>
      </c>
      <c r="N209">
        <v>15</v>
      </c>
    </row>
    <row r="210" spans="1:14" x14ac:dyDescent="0.3">
      <c r="A210">
        <v>209</v>
      </c>
      <c r="B210" s="1">
        <v>40552</v>
      </c>
      <c r="C210">
        <v>1</v>
      </c>
      <c r="D210">
        <v>23</v>
      </c>
      <c r="E210" t="b">
        <v>0</v>
      </c>
      <c r="F210">
        <v>0</v>
      </c>
      <c r="G210">
        <v>1</v>
      </c>
      <c r="H210">
        <v>0.12</v>
      </c>
      <c r="I210">
        <v>0.13639999999999999</v>
      </c>
      <c r="J210">
        <v>0.5</v>
      </c>
      <c r="K210">
        <v>0.19400000000000001</v>
      </c>
      <c r="L210">
        <v>0</v>
      </c>
      <c r="M210">
        <v>6</v>
      </c>
      <c r="N210">
        <v>6</v>
      </c>
    </row>
    <row r="211" spans="1:14" x14ac:dyDescent="0.3">
      <c r="A211">
        <v>210</v>
      </c>
      <c r="B211" s="1">
        <v>40553</v>
      </c>
      <c r="C211">
        <v>1</v>
      </c>
      <c r="D211">
        <v>0</v>
      </c>
      <c r="E211" t="b">
        <v>0</v>
      </c>
      <c r="F211">
        <v>1</v>
      </c>
      <c r="G211">
        <v>1</v>
      </c>
      <c r="H211">
        <v>0.12</v>
      </c>
      <c r="I211">
        <v>0.1212</v>
      </c>
      <c r="J211">
        <v>0.5</v>
      </c>
      <c r="K211">
        <v>0.28360000000000002</v>
      </c>
      <c r="L211">
        <v>2</v>
      </c>
      <c r="M211">
        <v>3</v>
      </c>
      <c r="N211">
        <v>5</v>
      </c>
    </row>
    <row r="212" spans="1:14" x14ac:dyDescent="0.3">
      <c r="A212">
        <v>211</v>
      </c>
      <c r="B212" s="1">
        <v>40553</v>
      </c>
      <c r="C212">
        <v>1</v>
      </c>
      <c r="D212">
        <v>1</v>
      </c>
      <c r="E212" t="b">
        <v>0</v>
      </c>
      <c r="F212">
        <v>1</v>
      </c>
      <c r="G212">
        <v>1</v>
      </c>
      <c r="H212">
        <v>0.12</v>
      </c>
      <c r="I212">
        <v>0.1212</v>
      </c>
      <c r="J212">
        <v>0.5</v>
      </c>
      <c r="K212">
        <v>0.28360000000000002</v>
      </c>
      <c r="L212">
        <v>1</v>
      </c>
      <c r="M212">
        <v>0</v>
      </c>
      <c r="N212">
        <v>1</v>
      </c>
    </row>
    <row r="213" spans="1:14" x14ac:dyDescent="0.3">
      <c r="A213">
        <v>212</v>
      </c>
      <c r="B213" s="1">
        <v>40553</v>
      </c>
      <c r="C213">
        <v>1</v>
      </c>
      <c r="D213">
        <v>2</v>
      </c>
      <c r="E213" t="b">
        <v>0</v>
      </c>
      <c r="F213">
        <v>1</v>
      </c>
      <c r="G213">
        <v>1</v>
      </c>
      <c r="H213">
        <v>0.12</v>
      </c>
      <c r="I213">
        <v>0.1212</v>
      </c>
      <c r="J213">
        <v>0.5</v>
      </c>
      <c r="K213">
        <v>0.22389999999999999</v>
      </c>
      <c r="L213">
        <v>0</v>
      </c>
      <c r="M213">
        <v>3</v>
      </c>
      <c r="N213">
        <v>3</v>
      </c>
    </row>
    <row r="214" spans="1:14" x14ac:dyDescent="0.3">
      <c r="A214">
        <v>213</v>
      </c>
      <c r="B214" s="1">
        <v>40553</v>
      </c>
      <c r="C214">
        <v>1</v>
      </c>
      <c r="D214">
        <v>3</v>
      </c>
      <c r="E214" t="b">
        <v>0</v>
      </c>
      <c r="F214">
        <v>1</v>
      </c>
      <c r="G214">
        <v>1</v>
      </c>
      <c r="H214">
        <v>0.12</v>
      </c>
      <c r="I214">
        <v>0.1212</v>
      </c>
      <c r="J214">
        <v>0.5</v>
      </c>
      <c r="K214">
        <v>0.22389999999999999</v>
      </c>
      <c r="L214">
        <v>0</v>
      </c>
      <c r="M214">
        <v>1</v>
      </c>
      <c r="N214">
        <v>1</v>
      </c>
    </row>
    <row r="215" spans="1:14" x14ac:dyDescent="0.3">
      <c r="A215">
        <v>214</v>
      </c>
      <c r="B215" s="1">
        <v>40553</v>
      </c>
      <c r="C215">
        <v>1</v>
      </c>
      <c r="D215">
        <v>4</v>
      </c>
      <c r="E215" t="b">
        <v>0</v>
      </c>
      <c r="F215">
        <v>1</v>
      </c>
      <c r="G215">
        <v>1</v>
      </c>
      <c r="H215">
        <v>0.1</v>
      </c>
      <c r="I215">
        <v>0.1212</v>
      </c>
      <c r="J215">
        <v>0.54</v>
      </c>
      <c r="K215">
        <v>0.1343</v>
      </c>
      <c r="L215">
        <v>1</v>
      </c>
      <c r="M215">
        <v>2</v>
      </c>
      <c r="N215">
        <v>3</v>
      </c>
    </row>
    <row r="216" spans="1:14" x14ac:dyDescent="0.3">
      <c r="A216">
        <v>215</v>
      </c>
      <c r="B216" s="1">
        <v>40553</v>
      </c>
      <c r="C216">
        <v>1</v>
      </c>
      <c r="D216">
        <v>5</v>
      </c>
      <c r="E216" t="b">
        <v>0</v>
      </c>
      <c r="F216">
        <v>1</v>
      </c>
      <c r="G216">
        <v>1</v>
      </c>
      <c r="H216">
        <v>0.1</v>
      </c>
      <c r="I216">
        <v>0.1061</v>
      </c>
      <c r="J216">
        <v>0.54</v>
      </c>
      <c r="K216">
        <v>0.25369999999999998</v>
      </c>
      <c r="L216">
        <v>0</v>
      </c>
      <c r="M216">
        <v>3</v>
      </c>
      <c r="N216">
        <v>3</v>
      </c>
    </row>
    <row r="217" spans="1:14" x14ac:dyDescent="0.3">
      <c r="A217">
        <v>216</v>
      </c>
      <c r="B217" s="1">
        <v>40553</v>
      </c>
      <c r="C217">
        <v>1</v>
      </c>
      <c r="D217">
        <v>6</v>
      </c>
      <c r="E217" t="b">
        <v>0</v>
      </c>
      <c r="F217">
        <v>1</v>
      </c>
      <c r="G217">
        <v>1</v>
      </c>
      <c r="H217">
        <v>0.12</v>
      </c>
      <c r="I217">
        <v>0.1212</v>
      </c>
      <c r="J217">
        <v>0.5</v>
      </c>
      <c r="K217">
        <v>0.28360000000000002</v>
      </c>
      <c r="L217">
        <v>0</v>
      </c>
      <c r="M217">
        <v>31</v>
      </c>
      <c r="N217">
        <v>31</v>
      </c>
    </row>
    <row r="218" spans="1:14" x14ac:dyDescent="0.3">
      <c r="A218">
        <v>217</v>
      </c>
      <c r="B218" s="1">
        <v>40553</v>
      </c>
      <c r="C218">
        <v>1</v>
      </c>
      <c r="D218">
        <v>7</v>
      </c>
      <c r="E218" t="b">
        <v>0</v>
      </c>
      <c r="F218">
        <v>1</v>
      </c>
      <c r="G218">
        <v>1</v>
      </c>
      <c r="H218">
        <v>0.12</v>
      </c>
      <c r="I218">
        <v>0.1212</v>
      </c>
      <c r="J218">
        <v>0.5</v>
      </c>
      <c r="K218">
        <v>0.22389999999999999</v>
      </c>
      <c r="L218">
        <v>2</v>
      </c>
      <c r="M218">
        <v>75</v>
      </c>
      <c r="N218">
        <v>77</v>
      </c>
    </row>
    <row r="219" spans="1:14" x14ac:dyDescent="0.3">
      <c r="A219">
        <v>218</v>
      </c>
      <c r="B219" s="1">
        <v>40553</v>
      </c>
      <c r="C219">
        <v>1</v>
      </c>
      <c r="D219">
        <v>8</v>
      </c>
      <c r="E219" t="b">
        <v>0</v>
      </c>
      <c r="F219">
        <v>1</v>
      </c>
      <c r="G219">
        <v>2</v>
      </c>
      <c r="H219">
        <v>0.12</v>
      </c>
      <c r="I219">
        <v>0.1212</v>
      </c>
      <c r="J219">
        <v>0.5</v>
      </c>
      <c r="K219">
        <v>0.28360000000000002</v>
      </c>
      <c r="L219">
        <v>4</v>
      </c>
      <c r="M219">
        <v>184</v>
      </c>
      <c r="N219">
        <v>188</v>
      </c>
    </row>
    <row r="220" spans="1:14" x14ac:dyDescent="0.3">
      <c r="A220">
        <v>219</v>
      </c>
      <c r="B220" s="1">
        <v>40553</v>
      </c>
      <c r="C220">
        <v>1</v>
      </c>
      <c r="D220">
        <v>9</v>
      </c>
      <c r="E220" t="b">
        <v>0</v>
      </c>
      <c r="F220">
        <v>1</v>
      </c>
      <c r="G220">
        <v>2</v>
      </c>
      <c r="H220">
        <v>0.14000000000000001</v>
      </c>
      <c r="I220">
        <v>0.1212</v>
      </c>
      <c r="J220">
        <v>0.5</v>
      </c>
      <c r="K220">
        <v>0.25369999999999998</v>
      </c>
      <c r="L220">
        <v>2</v>
      </c>
      <c r="M220">
        <v>92</v>
      </c>
      <c r="N220">
        <v>94</v>
      </c>
    </row>
    <row r="221" spans="1:14" x14ac:dyDescent="0.3">
      <c r="A221">
        <v>220</v>
      </c>
      <c r="B221" s="1">
        <v>40553</v>
      </c>
      <c r="C221">
        <v>1</v>
      </c>
      <c r="D221">
        <v>10</v>
      </c>
      <c r="E221" t="b">
        <v>0</v>
      </c>
      <c r="F221">
        <v>1</v>
      </c>
      <c r="G221">
        <v>2</v>
      </c>
      <c r="H221">
        <v>0.14000000000000001</v>
      </c>
      <c r="I221">
        <v>0.1212</v>
      </c>
      <c r="J221">
        <v>0.5</v>
      </c>
      <c r="K221">
        <v>0.29849999999999999</v>
      </c>
      <c r="L221">
        <v>0</v>
      </c>
      <c r="M221">
        <v>31</v>
      </c>
      <c r="N221">
        <v>31</v>
      </c>
    </row>
    <row r="222" spans="1:14" x14ac:dyDescent="0.3">
      <c r="A222">
        <v>221</v>
      </c>
      <c r="B222" s="1">
        <v>40553</v>
      </c>
      <c r="C222">
        <v>1</v>
      </c>
      <c r="D222">
        <v>11</v>
      </c>
      <c r="E222" t="b">
        <v>0</v>
      </c>
      <c r="F222">
        <v>1</v>
      </c>
      <c r="G222">
        <v>2</v>
      </c>
      <c r="H222">
        <v>0.16</v>
      </c>
      <c r="I222">
        <v>0.13639999999999999</v>
      </c>
      <c r="J222">
        <v>0.47</v>
      </c>
      <c r="K222">
        <v>0.28360000000000002</v>
      </c>
      <c r="L222">
        <v>2</v>
      </c>
      <c r="M222">
        <v>28</v>
      </c>
      <c r="N222">
        <v>30</v>
      </c>
    </row>
    <row r="223" spans="1:14" x14ac:dyDescent="0.3">
      <c r="A223">
        <v>222</v>
      </c>
      <c r="B223" s="1">
        <v>40553</v>
      </c>
      <c r="C223">
        <v>1</v>
      </c>
      <c r="D223">
        <v>12</v>
      </c>
      <c r="E223" t="b">
        <v>0</v>
      </c>
      <c r="F223">
        <v>1</v>
      </c>
      <c r="G223">
        <v>2</v>
      </c>
      <c r="H223">
        <v>0.2</v>
      </c>
      <c r="I223">
        <v>0.18179999999999999</v>
      </c>
      <c r="J223">
        <v>0.4</v>
      </c>
      <c r="K223">
        <v>0.28360000000000002</v>
      </c>
      <c r="L223">
        <v>5</v>
      </c>
      <c r="M223">
        <v>47</v>
      </c>
      <c r="N223">
        <v>52</v>
      </c>
    </row>
    <row r="224" spans="1:14" x14ac:dyDescent="0.3">
      <c r="A224">
        <v>223</v>
      </c>
      <c r="B224" s="1">
        <v>40553</v>
      </c>
      <c r="C224">
        <v>1</v>
      </c>
      <c r="D224">
        <v>13</v>
      </c>
      <c r="E224" t="b">
        <v>0</v>
      </c>
      <c r="F224">
        <v>1</v>
      </c>
      <c r="G224">
        <v>2</v>
      </c>
      <c r="H224">
        <v>0.2</v>
      </c>
      <c r="I224">
        <v>0.18179999999999999</v>
      </c>
      <c r="J224">
        <v>0.4</v>
      </c>
      <c r="K224">
        <v>0.28360000000000002</v>
      </c>
      <c r="L224">
        <v>4</v>
      </c>
      <c r="M224">
        <v>50</v>
      </c>
      <c r="N224">
        <v>54</v>
      </c>
    </row>
    <row r="225" spans="1:14" x14ac:dyDescent="0.3">
      <c r="A225">
        <v>224</v>
      </c>
      <c r="B225" s="1">
        <v>40553</v>
      </c>
      <c r="C225">
        <v>1</v>
      </c>
      <c r="D225">
        <v>14</v>
      </c>
      <c r="E225" t="b">
        <v>0</v>
      </c>
      <c r="F225">
        <v>1</v>
      </c>
      <c r="G225">
        <v>2</v>
      </c>
      <c r="H225">
        <v>0.2</v>
      </c>
      <c r="I225">
        <v>0.19700000000000001</v>
      </c>
      <c r="J225">
        <v>0.4</v>
      </c>
      <c r="K225">
        <v>0.22389999999999999</v>
      </c>
      <c r="L225">
        <v>0</v>
      </c>
      <c r="M225">
        <v>47</v>
      </c>
      <c r="N225">
        <v>47</v>
      </c>
    </row>
    <row r="226" spans="1:14" x14ac:dyDescent="0.3">
      <c r="A226">
        <v>225</v>
      </c>
      <c r="B226" s="1">
        <v>40553</v>
      </c>
      <c r="C226">
        <v>1</v>
      </c>
      <c r="D226">
        <v>15</v>
      </c>
      <c r="E226" t="b">
        <v>0</v>
      </c>
      <c r="F226">
        <v>1</v>
      </c>
      <c r="G226">
        <v>2</v>
      </c>
      <c r="H226">
        <v>0.2</v>
      </c>
      <c r="I226">
        <v>0.19700000000000001</v>
      </c>
      <c r="J226">
        <v>0.4</v>
      </c>
      <c r="K226">
        <v>0.22389999999999999</v>
      </c>
      <c r="L226">
        <v>2</v>
      </c>
      <c r="M226">
        <v>43</v>
      </c>
      <c r="N226">
        <v>45</v>
      </c>
    </row>
    <row r="227" spans="1:14" x14ac:dyDescent="0.3">
      <c r="A227">
        <v>226</v>
      </c>
      <c r="B227" s="1">
        <v>40553</v>
      </c>
      <c r="C227">
        <v>1</v>
      </c>
      <c r="D227">
        <v>16</v>
      </c>
      <c r="E227" t="b">
        <v>0</v>
      </c>
      <c r="F227">
        <v>1</v>
      </c>
      <c r="G227">
        <v>1</v>
      </c>
      <c r="H227">
        <v>0.2</v>
      </c>
      <c r="I227">
        <v>0.21210000000000001</v>
      </c>
      <c r="J227">
        <v>0.4</v>
      </c>
      <c r="K227">
        <v>0.1343</v>
      </c>
      <c r="L227">
        <v>4</v>
      </c>
      <c r="M227">
        <v>70</v>
      </c>
      <c r="N227">
        <v>74</v>
      </c>
    </row>
    <row r="228" spans="1:14" x14ac:dyDescent="0.3">
      <c r="A228">
        <v>227</v>
      </c>
      <c r="B228" s="1">
        <v>40553</v>
      </c>
      <c r="C228">
        <v>1</v>
      </c>
      <c r="D228">
        <v>17</v>
      </c>
      <c r="E228" t="b">
        <v>0</v>
      </c>
      <c r="F228">
        <v>1</v>
      </c>
      <c r="G228">
        <v>1</v>
      </c>
      <c r="H228">
        <v>0.2</v>
      </c>
      <c r="I228">
        <v>0.2273</v>
      </c>
      <c r="J228">
        <v>0.4</v>
      </c>
      <c r="K228">
        <v>0.1045</v>
      </c>
      <c r="L228">
        <v>4</v>
      </c>
      <c r="M228">
        <v>174</v>
      </c>
      <c r="N228">
        <v>178</v>
      </c>
    </row>
    <row r="229" spans="1:14" x14ac:dyDescent="0.3">
      <c r="A229">
        <v>228</v>
      </c>
      <c r="B229" s="1">
        <v>40553</v>
      </c>
      <c r="C229">
        <v>1</v>
      </c>
      <c r="D229">
        <v>18</v>
      </c>
      <c r="E229" t="b">
        <v>0</v>
      </c>
      <c r="F229">
        <v>1</v>
      </c>
      <c r="G229">
        <v>1</v>
      </c>
      <c r="H229">
        <v>0.2</v>
      </c>
      <c r="I229">
        <v>0.19700000000000001</v>
      </c>
      <c r="J229">
        <v>0.4</v>
      </c>
      <c r="K229">
        <v>0.22389999999999999</v>
      </c>
      <c r="L229">
        <v>1</v>
      </c>
      <c r="M229">
        <v>154</v>
      </c>
      <c r="N229">
        <v>155</v>
      </c>
    </row>
    <row r="230" spans="1:14" x14ac:dyDescent="0.3">
      <c r="A230">
        <v>229</v>
      </c>
      <c r="B230" s="1">
        <v>40553</v>
      </c>
      <c r="C230">
        <v>1</v>
      </c>
      <c r="D230">
        <v>19</v>
      </c>
      <c r="E230" t="b">
        <v>0</v>
      </c>
      <c r="F230">
        <v>1</v>
      </c>
      <c r="G230">
        <v>1</v>
      </c>
      <c r="H230">
        <v>0.16</v>
      </c>
      <c r="I230">
        <v>0.16669999999999999</v>
      </c>
      <c r="J230">
        <v>0.47</v>
      </c>
      <c r="K230">
        <v>0.16420000000000001</v>
      </c>
      <c r="L230">
        <v>3</v>
      </c>
      <c r="M230">
        <v>92</v>
      </c>
      <c r="N230">
        <v>95</v>
      </c>
    </row>
    <row r="231" spans="1:14" x14ac:dyDescent="0.3">
      <c r="A231">
        <v>230</v>
      </c>
      <c r="B231" s="1">
        <v>40553</v>
      </c>
      <c r="C231">
        <v>1</v>
      </c>
      <c r="D231">
        <v>20</v>
      </c>
      <c r="E231" t="b">
        <v>0</v>
      </c>
      <c r="F231">
        <v>1</v>
      </c>
      <c r="G231">
        <v>1</v>
      </c>
      <c r="H231">
        <v>0.16</v>
      </c>
      <c r="I231">
        <v>0.16669999999999999</v>
      </c>
      <c r="J231">
        <v>0.5</v>
      </c>
      <c r="K231">
        <v>0.16420000000000001</v>
      </c>
      <c r="L231">
        <v>1</v>
      </c>
      <c r="M231">
        <v>73</v>
      </c>
      <c r="N231">
        <v>74</v>
      </c>
    </row>
    <row r="232" spans="1:14" x14ac:dyDescent="0.3">
      <c r="A232">
        <v>231</v>
      </c>
      <c r="B232" s="1">
        <v>40553</v>
      </c>
      <c r="C232">
        <v>1</v>
      </c>
      <c r="D232">
        <v>21</v>
      </c>
      <c r="E232" t="b">
        <v>0</v>
      </c>
      <c r="F232">
        <v>1</v>
      </c>
      <c r="G232">
        <v>1</v>
      </c>
      <c r="H232">
        <v>0.14000000000000001</v>
      </c>
      <c r="I232">
        <v>0.13639999999999999</v>
      </c>
      <c r="J232">
        <v>0.59</v>
      </c>
      <c r="K232">
        <v>0.19400000000000001</v>
      </c>
      <c r="L232">
        <v>1</v>
      </c>
      <c r="M232">
        <v>37</v>
      </c>
      <c r="N232">
        <v>38</v>
      </c>
    </row>
    <row r="233" spans="1:14" x14ac:dyDescent="0.3">
      <c r="A233">
        <v>232</v>
      </c>
      <c r="B233" s="1">
        <v>40553</v>
      </c>
      <c r="C233">
        <v>1</v>
      </c>
      <c r="D233">
        <v>22</v>
      </c>
      <c r="E233" t="b">
        <v>0</v>
      </c>
      <c r="F233">
        <v>1</v>
      </c>
      <c r="G233">
        <v>1</v>
      </c>
      <c r="H233">
        <v>0.14000000000000001</v>
      </c>
      <c r="I233">
        <v>0.1515</v>
      </c>
      <c r="J233">
        <v>0.59</v>
      </c>
      <c r="K233">
        <v>0.16420000000000001</v>
      </c>
      <c r="L233">
        <v>2</v>
      </c>
      <c r="M233">
        <v>22</v>
      </c>
      <c r="N233">
        <v>24</v>
      </c>
    </row>
    <row r="234" spans="1:14" x14ac:dyDescent="0.3">
      <c r="A234">
        <v>233</v>
      </c>
      <c r="B234" s="1">
        <v>40553</v>
      </c>
      <c r="C234">
        <v>1</v>
      </c>
      <c r="D234">
        <v>23</v>
      </c>
      <c r="E234" t="b">
        <v>0</v>
      </c>
      <c r="F234">
        <v>1</v>
      </c>
      <c r="G234">
        <v>1</v>
      </c>
      <c r="H234">
        <v>0.14000000000000001</v>
      </c>
      <c r="I234">
        <v>0.1515</v>
      </c>
      <c r="J234">
        <v>0.59</v>
      </c>
      <c r="K234">
        <v>0.16420000000000001</v>
      </c>
      <c r="L234">
        <v>0</v>
      </c>
      <c r="M234">
        <v>18</v>
      </c>
      <c r="N234">
        <v>18</v>
      </c>
    </row>
    <row r="235" spans="1:14" x14ac:dyDescent="0.3">
      <c r="A235">
        <v>234</v>
      </c>
      <c r="B235" s="1">
        <v>40554</v>
      </c>
      <c r="C235">
        <v>1</v>
      </c>
      <c r="D235">
        <v>0</v>
      </c>
      <c r="E235" t="b">
        <v>0</v>
      </c>
      <c r="F235">
        <v>2</v>
      </c>
      <c r="G235">
        <v>1</v>
      </c>
      <c r="H235">
        <v>0.14000000000000001</v>
      </c>
      <c r="I235">
        <v>0.16669999999999999</v>
      </c>
      <c r="J235">
        <v>0.59</v>
      </c>
      <c r="K235">
        <v>0.1045</v>
      </c>
      <c r="L235">
        <v>2</v>
      </c>
      <c r="M235">
        <v>10</v>
      </c>
      <c r="N235">
        <v>12</v>
      </c>
    </row>
    <row r="236" spans="1:14" x14ac:dyDescent="0.3">
      <c r="A236">
        <v>235</v>
      </c>
      <c r="B236" s="1">
        <v>40554</v>
      </c>
      <c r="C236">
        <v>1</v>
      </c>
      <c r="D236">
        <v>1</v>
      </c>
      <c r="E236" t="b">
        <v>0</v>
      </c>
      <c r="F236">
        <v>2</v>
      </c>
      <c r="G236">
        <v>1</v>
      </c>
      <c r="H236">
        <v>0.14000000000000001</v>
      </c>
      <c r="I236">
        <v>0.1515</v>
      </c>
      <c r="J236">
        <v>0.59</v>
      </c>
      <c r="K236">
        <v>0.16420000000000001</v>
      </c>
      <c r="L236">
        <v>0</v>
      </c>
      <c r="M236">
        <v>3</v>
      </c>
      <c r="N236">
        <v>3</v>
      </c>
    </row>
    <row r="237" spans="1:14" x14ac:dyDescent="0.3">
      <c r="A237">
        <v>236</v>
      </c>
      <c r="B237" s="1">
        <v>40554</v>
      </c>
      <c r="C237">
        <v>1</v>
      </c>
      <c r="D237">
        <v>2</v>
      </c>
      <c r="E237" t="b">
        <v>0</v>
      </c>
      <c r="F237">
        <v>2</v>
      </c>
      <c r="G237">
        <v>2</v>
      </c>
      <c r="H237">
        <v>0.16</v>
      </c>
      <c r="I237">
        <v>0.1515</v>
      </c>
      <c r="J237">
        <v>0.55000000000000004</v>
      </c>
      <c r="K237">
        <v>0.19400000000000001</v>
      </c>
      <c r="L237">
        <v>0</v>
      </c>
      <c r="M237">
        <v>3</v>
      </c>
      <c r="N237">
        <v>3</v>
      </c>
    </row>
    <row r="238" spans="1:14" x14ac:dyDescent="0.3">
      <c r="A238">
        <v>237</v>
      </c>
      <c r="B238" s="1">
        <v>40554</v>
      </c>
      <c r="C238">
        <v>1</v>
      </c>
      <c r="D238">
        <v>5</v>
      </c>
      <c r="E238" t="b">
        <v>0</v>
      </c>
      <c r="F238">
        <v>2</v>
      </c>
      <c r="G238">
        <v>2</v>
      </c>
      <c r="H238">
        <v>0.16</v>
      </c>
      <c r="I238">
        <v>0.18179999999999999</v>
      </c>
      <c r="J238">
        <v>0.55000000000000004</v>
      </c>
      <c r="K238">
        <v>0.1343</v>
      </c>
      <c r="L238">
        <v>0</v>
      </c>
      <c r="M238">
        <v>6</v>
      </c>
      <c r="N238">
        <v>6</v>
      </c>
    </row>
    <row r="239" spans="1:14" x14ac:dyDescent="0.3">
      <c r="A239">
        <v>238</v>
      </c>
      <c r="B239" s="1">
        <v>40554</v>
      </c>
      <c r="C239">
        <v>1</v>
      </c>
      <c r="D239">
        <v>6</v>
      </c>
      <c r="E239" t="b">
        <v>0</v>
      </c>
      <c r="F239">
        <v>2</v>
      </c>
      <c r="G239">
        <v>2</v>
      </c>
      <c r="H239">
        <v>0.16</v>
      </c>
      <c r="I239">
        <v>0.18179999999999999</v>
      </c>
      <c r="J239">
        <v>0.55000000000000004</v>
      </c>
      <c r="K239">
        <v>0.1343</v>
      </c>
      <c r="L239">
        <v>0</v>
      </c>
      <c r="M239">
        <v>27</v>
      </c>
      <c r="N239">
        <v>27</v>
      </c>
    </row>
    <row r="240" spans="1:14" x14ac:dyDescent="0.3">
      <c r="A240">
        <v>239</v>
      </c>
      <c r="B240" s="1">
        <v>40554</v>
      </c>
      <c r="C240">
        <v>1</v>
      </c>
      <c r="D240">
        <v>7</v>
      </c>
      <c r="E240" t="b">
        <v>0</v>
      </c>
      <c r="F240">
        <v>2</v>
      </c>
      <c r="G240">
        <v>2</v>
      </c>
      <c r="H240">
        <v>0.16</v>
      </c>
      <c r="I240">
        <v>0.2273</v>
      </c>
      <c r="J240">
        <v>0.55000000000000004</v>
      </c>
      <c r="K240">
        <v>0</v>
      </c>
      <c r="L240">
        <v>2</v>
      </c>
      <c r="M240">
        <v>97</v>
      </c>
      <c r="N240">
        <v>99</v>
      </c>
    </row>
    <row r="241" spans="1:14" x14ac:dyDescent="0.3">
      <c r="A241">
        <v>240</v>
      </c>
      <c r="B241" s="1">
        <v>40554</v>
      </c>
      <c r="C241">
        <v>1</v>
      </c>
      <c r="D241">
        <v>8</v>
      </c>
      <c r="E241" t="b">
        <v>0</v>
      </c>
      <c r="F241">
        <v>2</v>
      </c>
      <c r="G241">
        <v>2</v>
      </c>
      <c r="H241">
        <v>0.18</v>
      </c>
      <c r="I241">
        <v>0.21210000000000001</v>
      </c>
      <c r="J241">
        <v>0.51</v>
      </c>
      <c r="K241">
        <v>8.9599999999999999E-2</v>
      </c>
      <c r="L241">
        <v>3</v>
      </c>
      <c r="M241">
        <v>214</v>
      </c>
      <c r="N241">
        <v>217</v>
      </c>
    </row>
    <row r="242" spans="1:14" x14ac:dyDescent="0.3">
      <c r="A242">
        <v>241</v>
      </c>
      <c r="B242" s="1">
        <v>40554</v>
      </c>
      <c r="C242">
        <v>1</v>
      </c>
      <c r="D242">
        <v>9</v>
      </c>
      <c r="E242" t="b">
        <v>0</v>
      </c>
      <c r="F242">
        <v>2</v>
      </c>
      <c r="G242">
        <v>2</v>
      </c>
      <c r="H242">
        <v>0.18</v>
      </c>
      <c r="I242">
        <v>0.19700000000000001</v>
      </c>
      <c r="J242">
        <v>0.51</v>
      </c>
      <c r="K242">
        <v>0.16420000000000001</v>
      </c>
      <c r="L242">
        <v>3</v>
      </c>
      <c r="M242">
        <v>127</v>
      </c>
      <c r="N242">
        <v>130</v>
      </c>
    </row>
    <row r="243" spans="1:14" x14ac:dyDescent="0.3">
      <c r="A243">
        <v>242</v>
      </c>
      <c r="B243" s="1">
        <v>40554</v>
      </c>
      <c r="C243">
        <v>1</v>
      </c>
      <c r="D243">
        <v>10</v>
      </c>
      <c r="E243" t="b">
        <v>0</v>
      </c>
      <c r="F243">
        <v>2</v>
      </c>
      <c r="G243">
        <v>2</v>
      </c>
      <c r="H243">
        <v>0.2</v>
      </c>
      <c r="I243">
        <v>0.21210000000000001</v>
      </c>
      <c r="J243">
        <v>0.51</v>
      </c>
      <c r="K243">
        <v>0.16420000000000001</v>
      </c>
      <c r="L243">
        <v>3</v>
      </c>
      <c r="M243">
        <v>51</v>
      </c>
      <c r="N243">
        <v>54</v>
      </c>
    </row>
    <row r="244" spans="1:14" x14ac:dyDescent="0.3">
      <c r="A244">
        <v>243</v>
      </c>
      <c r="B244" s="1">
        <v>40554</v>
      </c>
      <c r="C244">
        <v>1</v>
      </c>
      <c r="D244">
        <v>11</v>
      </c>
      <c r="E244" t="b">
        <v>0</v>
      </c>
      <c r="F244">
        <v>2</v>
      </c>
      <c r="G244">
        <v>2</v>
      </c>
      <c r="H244">
        <v>0.2</v>
      </c>
      <c r="I244">
        <v>0.21210000000000001</v>
      </c>
      <c r="J244">
        <v>0.47</v>
      </c>
      <c r="K244">
        <v>0.1343</v>
      </c>
      <c r="L244">
        <v>4</v>
      </c>
      <c r="M244">
        <v>31</v>
      </c>
      <c r="N244">
        <v>35</v>
      </c>
    </row>
    <row r="245" spans="1:14" x14ac:dyDescent="0.3">
      <c r="A245">
        <v>244</v>
      </c>
      <c r="B245" s="1">
        <v>40554</v>
      </c>
      <c r="C245">
        <v>1</v>
      </c>
      <c r="D245">
        <v>12</v>
      </c>
      <c r="E245" t="b">
        <v>0</v>
      </c>
      <c r="F245">
        <v>2</v>
      </c>
      <c r="G245">
        <v>2</v>
      </c>
      <c r="H245">
        <v>0.2</v>
      </c>
      <c r="I245">
        <v>0.2273</v>
      </c>
      <c r="J245">
        <v>0.51</v>
      </c>
      <c r="K245">
        <v>0.1045</v>
      </c>
      <c r="L245">
        <v>2</v>
      </c>
      <c r="M245">
        <v>55</v>
      </c>
      <c r="N245">
        <v>57</v>
      </c>
    </row>
    <row r="246" spans="1:14" x14ac:dyDescent="0.3">
      <c r="A246">
        <v>245</v>
      </c>
      <c r="B246" s="1">
        <v>40554</v>
      </c>
      <c r="C246">
        <v>1</v>
      </c>
      <c r="D246">
        <v>13</v>
      </c>
      <c r="E246" t="b">
        <v>0</v>
      </c>
      <c r="F246">
        <v>2</v>
      </c>
      <c r="G246">
        <v>2</v>
      </c>
      <c r="H246">
        <v>0.2</v>
      </c>
      <c r="I246">
        <v>0.2273</v>
      </c>
      <c r="J246">
        <v>0.59</v>
      </c>
      <c r="K246">
        <v>8.9599999999999999E-2</v>
      </c>
      <c r="L246">
        <v>6</v>
      </c>
      <c r="M246">
        <v>46</v>
      </c>
      <c r="N246">
        <v>52</v>
      </c>
    </row>
    <row r="247" spans="1:14" x14ac:dyDescent="0.3">
      <c r="A247">
        <v>246</v>
      </c>
      <c r="B247" s="1">
        <v>40554</v>
      </c>
      <c r="C247">
        <v>1</v>
      </c>
      <c r="D247">
        <v>14</v>
      </c>
      <c r="E247" t="b">
        <v>0</v>
      </c>
      <c r="F247">
        <v>2</v>
      </c>
      <c r="G247">
        <v>2</v>
      </c>
      <c r="H247">
        <v>0.2</v>
      </c>
      <c r="I247">
        <v>0.2273</v>
      </c>
      <c r="J247">
        <v>0.59</v>
      </c>
      <c r="K247">
        <v>8.9599999999999999E-2</v>
      </c>
      <c r="L247">
        <v>3</v>
      </c>
      <c r="M247">
        <v>60</v>
      </c>
      <c r="N247">
        <v>63</v>
      </c>
    </row>
    <row r="248" spans="1:14" x14ac:dyDescent="0.3">
      <c r="A248">
        <v>247</v>
      </c>
      <c r="B248" s="1">
        <v>40554</v>
      </c>
      <c r="C248">
        <v>1</v>
      </c>
      <c r="D248">
        <v>15</v>
      </c>
      <c r="E248" t="b">
        <v>0</v>
      </c>
      <c r="F248">
        <v>2</v>
      </c>
      <c r="G248">
        <v>2</v>
      </c>
      <c r="H248">
        <v>0.16</v>
      </c>
      <c r="I248">
        <v>0.19700000000000001</v>
      </c>
      <c r="J248">
        <v>0.8</v>
      </c>
      <c r="K248">
        <v>8.9599999999999999E-2</v>
      </c>
      <c r="L248">
        <v>2</v>
      </c>
      <c r="M248">
        <v>45</v>
      </c>
      <c r="N248">
        <v>47</v>
      </c>
    </row>
    <row r="249" spans="1:14" x14ac:dyDescent="0.3">
      <c r="A249">
        <v>248</v>
      </c>
      <c r="B249" s="1">
        <v>40554</v>
      </c>
      <c r="C249">
        <v>1</v>
      </c>
      <c r="D249">
        <v>16</v>
      </c>
      <c r="E249" t="b">
        <v>0</v>
      </c>
      <c r="F249">
        <v>2</v>
      </c>
      <c r="G249">
        <v>2</v>
      </c>
      <c r="H249">
        <v>0.16</v>
      </c>
      <c r="I249">
        <v>0.1515</v>
      </c>
      <c r="J249">
        <v>0.86</v>
      </c>
      <c r="K249">
        <v>0.22389999999999999</v>
      </c>
      <c r="L249">
        <v>4</v>
      </c>
      <c r="M249">
        <v>72</v>
      </c>
      <c r="N249">
        <v>76</v>
      </c>
    </row>
    <row r="250" spans="1:14" x14ac:dyDescent="0.3">
      <c r="A250">
        <v>249</v>
      </c>
      <c r="B250" s="1">
        <v>40554</v>
      </c>
      <c r="C250">
        <v>1</v>
      </c>
      <c r="D250">
        <v>17</v>
      </c>
      <c r="E250" t="b">
        <v>0</v>
      </c>
      <c r="F250">
        <v>2</v>
      </c>
      <c r="G250">
        <v>2</v>
      </c>
      <c r="H250">
        <v>0.16</v>
      </c>
      <c r="I250">
        <v>0.1515</v>
      </c>
      <c r="J250">
        <v>0.86</v>
      </c>
      <c r="K250">
        <v>0.22389999999999999</v>
      </c>
      <c r="L250">
        <v>6</v>
      </c>
      <c r="M250">
        <v>130</v>
      </c>
      <c r="N250">
        <v>136</v>
      </c>
    </row>
    <row r="251" spans="1:14" x14ac:dyDescent="0.3">
      <c r="A251">
        <v>250</v>
      </c>
      <c r="B251" s="1">
        <v>40554</v>
      </c>
      <c r="C251">
        <v>1</v>
      </c>
      <c r="D251">
        <v>18</v>
      </c>
      <c r="E251" t="b">
        <v>0</v>
      </c>
      <c r="F251">
        <v>2</v>
      </c>
      <c r="G251">
        <v>3</v>
      </c>
      <c r="H251">
        <v>0.16</v>
      </c>
      <c r="I251">
        <v>0.18179999999999999</v>
      </c>
      <c r="J251">
        <v>0.93</v>
      </c>
      <c r="K251">
        <v>0.1045</v>
      </c>
      <c r="L251">
        <v>1</v>
      </c>
      <c r="M251">
        <v>94</v>
      </c>
      <c r="N251">
        <v>95</v>
      </c>
    </row>
    <row r="252" spans="1:14" x14ac:dyDescent="0.3">
      <c r="A252">
        <v>251</v>
      </c>
      <c r="B252" s="1">
        <v>40554</v>
      </c>
      <c r="C252">
        <v>1</v>
      </c>
      <c r="D252">
        <v>19</v>
      </c>
      <c r="E252" t="b">
        <v>0</v>
      </c>
      <c r="F252">
        <v>2</v>
      </c>
      <c r="G252">
        <v>3</v>
      </c>
      <c r="H252">
        <v>0.16</v>
      </c>
      <c r="I252">
        <v>0.2273</v>
      </c>
      <c r="J252">
        <v>0.93</v>
      </c>
      <c r="K252">
        <v>0</v>
      </c>
      <c r="L252">
        <v>0</v>
      </c>
      <c r="M252">
        <v>51</v>
      </c>
      <c r="N252">
        <v>51</v>
      </c>
    </row>
    <row r="253" spans="1:14" x14ac:dyDescent="0.3">
      <c r="A253">
        <v>252</v>
      </c>
      <c r="B253" s="1">
        <v>40554</v>
      </c>
      <c r="C253">
        <v>1</v>
      </c>
      <c r="D253">
        <v>20</v>
      </c>
      <c r="E253" t="b">
        <v>0</v>
      </c>
      <c r="F253">
        <v>2</v>
      </c>
      <c r="G253">
        <v>3</v>
      </c>
      <c r="H253">
        <v>0.16</v>
      </c>
      <c r="I253">
        <v>0.1515</v>
      </c>
      <c r="J253">
        <v>0.93</v>
      </c>
      <c r="K253">
        <v>0.19400000000000001</v>
      </c>
      <c r="L253">
        <v>0</v>
      </c>
      <c r="M253">
        <v>32</v>
      </c>
      <c r="N253">
        <v>32</v>
      </c>
    </row>
    <row r="254" spans="1:14" x14ac:dyDescent="0.3">
      <c r="A254">
        <v>253</v>
      </c>
      <c r="B254" s="1">
        <v>40554</v>
      </c>
      <c r="C254">
        <v>1</v>
      </c>
      <c r="D254">
        <v>21</v>
      </c>
      <c r="E254" t="b">
        <v>0</v>
      </c>
      <c r="F254">
        <v>2</v>
      </c>
      <c r="G254">
        <v>3</v>
      </c>
      <c r="H254">
        <v>0.16</v>
      </c>
      <c r="I254">
        <v>0.19700000000000001</v>
      </c>
      <c r="J254">
        <v>0.86</v>
      </c>
      <c r="K254">
        <v>8.9599999999999999E-2</v>
      </c>
      <c r="L254">
        <v>0</v>
      </c>
      <c r="M254">
        <v>20</v>
      </c>
      <c r="N254">
        <v>20</v>
      </c>
    </row>
    <row r="255" spans="1:14" x14ac:dyDescent="0.3">
      <c r="A255">
        <v>254</v>
      </c>
      <c r="B255" s="1">
        <v>40554</v>
      </c>
      <c r="C255">
        <v>1</v>
      </c>
      <c r="D255">
        <v>22</v>
      </c>
      <c r="E255" t="b">
        <v>0</v>
      </c>
      <c r="F255">
        <v>2</v>
      </c>
      <c r="G255">
        <v>3</v>
      </c>
      <c r="H255">
        <v>0.16</v>
      </c>
      <c r="I255">
        <v>0.18179999999999999</v>
      </c>
      <c r="J255">
        <v>0.93</v>
      </c>
      <c r="K255">
        <v>0.1045</v>
      </c>
      <c r="L255">
        <v>1</v>
      </c>
      <c r="M255">
        <v>28</v>
      </c>
      <c r="N255">
        <v>29</v>
      </c>
    </row>
    <row r="256" spans="1:14" x14ac:dyDescent="0.3">
      <c r="A256">
        <v>255</v>
      </c>
      <c r="B256" s="1">
        <v>40554</v>
      </c>
      <c r="C256">
        <v>1</v>
      </c>
      <c r="D256">
        <v>23</v>
      </c>
      <c r="E256" t="b">
        <v>0</v>
      </c>
      <c r="F256">
        <v>2</v>
      </c>
      <c r="G256">
        <v>3</v>
      </c>
      <c r="H256">
        <v>0.16</v>
      </c>
      <c r="I256">
        <v>0.19700000000000001</v>
      </c>
      <c r="J256">
        <v>0.93</v>
      </c>
      <c r="K256">
        <v>8.9599999999999999E-2</v>
      </c>
      <c r="L256">
        <v>1</v>
      </c>
      <c r="M256">
        <v>18</v>
      </c>
      <c r="N256">
        <v>19</v>
      </c>
    </row>
    <row r="257" spans="1:14" x14ac:dyDescent="0.3">
      <c r="A257">
        <v>256</v>
      </c>
      <c r="B257" s="1">
        <v>40555</v>
      </c>
      <c r="C257">
        <v>1</v>
      </c>
      <c r="D257">
        <v>0</v>
      </c>
      <c r="E257" t="b">
        <v>0</v>
      </c>
      <c r="F257">
        <v>3</v>
      </c>
      <c r="G257">
        <v>2</v>
      </c>
      <c r="H257">
        <v>0.16</v>
      </c>
      <c r="I257">
        <v>0.19700000000000001</v>
      </c>
      <c r="J257">
        <v>0.86</v>
      </c>
      <c r="K257">
        <v>8.9599999999999999E-2</v>
      </c>
      <c r="L257">
        <v>0</v>
      </c>
      <c r="M257">
        <v>7</v>
      </c>
      <c r="N257">
        <v>7</v>
      </c>
    </row>
    <row r="258" spans="1:14" x14ac:dyDescent="0.3">
      <c r="A258">
        <v>257</v>
      </c>
      <c r="B258" s="1">
        <v>40555</v>
      </c>
      <c r="C258">
        <v>1</v>
      </c>
      <c r="D258">
        <v>1</v>
      </c>
      <c r="E258" t="b">
        <v>0</v>
      </c>
      <c r="F258">
        <v>3</v>
      </c>
      <c r="G258">
        <v>2</v>
      </c>
      <c r="H258">
        <v>0.16</v>
      </c>
      <c r="I258">
        <v>0.18179999999999999</v>
      </c>
      <c r="J258">
        <v>0.86</v>
      </c>
      <c r="K258">
        <v>0.1045</v>
      </c>
      <c r="L258">
        <v>0</v>
      </c>
      <c r="M258">
        <v>6</v>
      </c>
      <c r="N258">
        <v>6</v>
      </c>
    </row>
    <row r="259" spans="1:14" x14ac:dyDescent="0.3">
      <c r="A259">
        <v>258</v>
      </c>
      <c r="B259" s="1">
        <v>40555</v>
      </c>
      <c r="C259">
        <v>1</v>
      </c>
      <c r="D259">
        <v>2</v>
      </c>
      <c r="E259" t="b">
        <v>0</v>
      </c>
      <c r="F259">
        <v>3</v>
      </c>
      <c r="G259">
        <v>1</v>
      </c>
      <c r="H259">
        <v>0.14000000000000001</v>
      </c>
      <c r="I259">
        <v>0.1515</v>
      </c>
      <c r="J259">
        <v>0.86</v>
      </c>
      <c r="K259">
        <v>0.1343</v>
      </c>
      <c r="L259">
        <v>0</v>
      </c>
      <c r="M259">
        <v>1</v>
      </c>
      <c r="N259">
        <v>1</v>
      </c>
    </row>
    <row r="260" spans="1:14" x14ac:dyDescent="0.3">
      <c r="A260">
        <v>259</v>
      </c>
      <c r="B260" s="1">
        <v>40555</v>
      </c>
      <c r="C260">
        <v>1</v>
      </c>
      <c r="D260">
        <v>5</v>
      </c>
      <c r="E260" t="b">
        <v>0</v>
      </c>
      <c r="F260">
        <v>3</v>
      </c>
      <c r="G260">
        <v>1</v>
      </c>
      <c r="H260">
        <v>0.14000000000000001</v>
      </c>
      <c r="I260">
        <v>0.1515</v>
      </c>
      <c r="J260">
        <v>0.86</v>
      </c>
      <c r="K260">
        <v>0.16420000000000001</v>
      </c>
      <c r="L260">
        <v>0</v>
      </c>
      <c r="M260">
        <v>5</v>
      </c>
      <c r="N260">
        <v>5</v>
      </c>
    </row>
    <row r="261" spans="1:14" x14ac:dyDescent="0.3">
      <c r="A261">
        <v>260</v>
      </c>
      <c r="B261" s="1">
        <v>40555</v>
      </c>
      <c r="C261">
        <v>1</v>
      </c>
      <c r="D261">
        <v>6</v>
      </c>
      <c r="E261" t="b">
        <v>0</v>
      </c>
      <c r="F261">
        <v>3</v>
      </c>
      <c r="G261">
        <v>1</v>
      </c>
      <c r="H261">
        <v>0.12</v>
      </c>
      <c r="I261">
        <v>0.1515</v>
      </c>
      <c r="J261">
        <v>0.93</v>
      </c>
      <c r="K261">
        <v>0.1343</v>
      </c>
      <c r="L261">
        <v>0</v>
      </c>
      <c r="M261">
        <v>16</v>
      </c>
      <c r="N261">
        <v>16</v>
      </c>
    </row>
    <row r="262" spans="1:14" x14ac:dyDescent="0.3">
      <c r="A262">
        <v>261</v>
      </c>
      <c r="B262" s="1">
        <v>40555</v>
      </c>
      <c r="C262">
        <v>1</v>
      </c>
      <c r="D262">
        <v>7</v>
      </c>
      <c r="E262" t="b">
        <v>0</v>
      </c>
      <c r="F262">
        <v>3</v>
      </c>
      <c r="G262">
        <v>1</v>
      </c>
      <c r="H262">
        <v>0.14000000000000001</v>
      </c>
      <c r="I262">
        <v>0.1515</v>
      </c>
      <c r="J262">
        <v>0.69</v>
      </c>
      <c r="K262">
        <v>0.1343</v>
      </c>
      <c r="L262">
        <v>0</v>
      </c>
      <c r="M262">
        <v>54</v>
      </c>
      <c r="N262">
        <v>54</v>
      </c>
    </row>
    <row r="263" spans="1:14" x14ac:dyDescent="0.3">
      <c r="A263">
        <v>262</v>
      </c>
      <c r="B263" s="1">
        <v>40555</v>
      </c>
      <c r="C263">
        <v>1</v>
      </c>
      <c r="D263">
        <v>8</v>
      </c>
      <c r="E263" t="b">
        <v>0</v>
      </c>
      <c r="F263">
        <v>3</v>
      </c>
      <c r="G263">
        <v>1</v>
      </c>
      <c r="H263">
        <v>0.16</v>
      </c>
      <c r="I263">
        <v>0.16669999999999999</v>
      </c>
      <c r="J263">
        <v>0.59</v>
      </c>
      <c r="K263">
        <v>0.16420000000000001</v>
      </c>
      <c r="L263">
        <v>3</v>
      </c>
      <c r="M263">
        <v>125</v>
      </c>
      <c r="N263">
        <v>128</v>
      </c>
    </row>
    <row r="264" spans="1:14" x14ac:dyDescent="0.3">
      <c r="A264">
        <v>263</v>
      </c>
      <c r="B264" s="1">
        <v>40555</v>
      </c>
      <c r="C264">
        <v>1</v>
      </c>
      <c r="D264">
        <v>9</v>
      </c>
      <c r="E264" t="b">
        <v>0</v>
      </c>
      <c r="F264">
        <v>3</v>
      </c>
      <c r="G264">
        <v>1</v>
      </c>
      <c r="H264">
        <v>0.16</v>
      </c>
      <c r="I264">
        <v>0.13639999999999999</v>
      </c>
      <c r="J264">
        <v>0.59</v>
      </c>
      <c r="K264">
        <v>0.32840000000000003</v>
      </c>
      <c r="L264">
        <v>3</v>
      </c>
      <c r="M264">
        <v>78</v>
      </c>
      <c r="N264">
        <v>81</v>
      </c>
    </row>
    <row r="265" spans="1:14" x14ac:dyDescent="0.3">
      <c r="A265">
        <v>264</v>
      </c>
      <c r="B265" s="1">
        <v>40555</v>
      </c>
      <c r="C265">
        <v>1</v>
      </c>
      <c r="D265">
        <v>10</v>
      </c>
      <c r="E265" t="b">
        <v>0</v>
      </c>
      <c r="F265">
        <v>3</v>
      </c>
      <c r="G265">
        <v>1</v>
      </c>
      <c r="H265">
        <v>0.18</v>
      </c>
      <c r="I265">
        <v>0.18179999999999999</v>
      </c>
      <c r="J265">
        <v>0.55000000000000004</v>
      </c>
      <c r="K265">
        <v>0.22389999999999999</v>
      </c>
      <c r="L265">
        <v>0</v>
      </c>
      <c r="M265">
        <v>39</v>
      </c>
      <c r="N265">
        <v>39</v>
      </c>
    </row>
    <row r="266" spans="1:14" x14ac:dyDescent="0.3">
      <c r="A266">
        <v>265</v>
      </c>
      <c r="B266" s="1">
        <v>40555</v>
      </c>
      <c r="C266">
        <v>1</v>
      </c>
      <c r="D266">
        <v>11</v>
      </c>
      <c r="E266" t="b">
        <v>0</v>
      </c>
      <c r="F266">
        <v>3</v>
      </c>
      <c r="G266">
        <v>1</v>
      </c>
      <c r="H266">
        <v>0.2</v>
      </c>
      <c r="I266">
        <v>0.18179999999999999</v>
      </c>
      <c r="J266">
        <v>0.51</v>
      </c>
      <c r="K266">
        <v>0.3881</v>
      </c>
      <c r="L266">
        <v>3</v>
      </c>
      <c r="M266">
        <v>32</v>
      </c>
      <c r="N266">
        <v>35</v>
      </c>
    </row>
    <row r="267" spans="1:14" x14ac:dyDescent="0.3">
      <c r="A267">
        <v>266</v>
      </c>
      <c r="B267" s="1">
        <v>40555</v>
      </c>
      <c r="C267">
        <v>1</v>
      </c>
      <c r="D267">
        <v>12</v>
      </c>
      <c r="E267" t="b">
        <v>0</v>
      </c>
      <c r="F267">
        <v>3</v>
      </c>
      <c r="G267">
        <v>1</v>
      </c>
      <c r="H267">
        <v>0.2</v>
      </c>
      <c r="I267">
        <v>0.1515</v>
      </c>
      <c r="J267">
        <v>0.47</v>
      </c>
      <c r="K267">
        <v>0.58209999999999995</v>
      </c>
      <c r="L267">
        <v>3</v>
      </c>
      <c r="M267">
        <v>52</v>
      </c>
      <c r="N267">
        <v>55</v>
      </c>
    </row>
    <row r="268" spans="1:14" x14ac:dyDescent="0.3">
      <c r="A268">
        <v>267</v>
      </c>
      <c r="B268" s="1">
        <v>40555</v>
      </c>
      <c r="C268">
        <v>1</v>
      </c>
      <c r="D268">
        <v>13</v>
      </c>
      <c r="E268" t="b">
        <v>0</v>
      </c>
      <c r="F268">
        <v>3</v>
      </c>
      <c r="G268">
        <v>1</v>
      </c>
      <c r="H268">
        <v>0.22</v>
      </c>
      <c r="I268">
        <v>0.19700000000000001</v>
      </c>
      <c r="J268">
        <v>0.44</v>
      </c>
      <c r="K268">
        <v>0.35820000000000002</v>
      </c>
      <c r="L268">
        <v>0</v>
      </c>
      <c r="M268">
        <v>49</v>
      </c>
      <c r="N268">
        <v>49</v>
      </c>
    </row>
    <row r="269" spans="1:14" x14ac:dyDescent="0.3">
      <c r="A269">
        <v>268</v>
      </c>
      <c r="B269" s="1">
        <v>40555</v>
      </c>
      <c r="C269">
        <v>1</v>
      </c>
      <c r="D269">
        <v>14</v>
      </c>
      <c r="E269" t="b">
        <v>0</v>
      </c>
      <c r="F269">
        <v>3</v>
      </c>
      <c r="G269">
        <v>1</v>
      </c>
      <c r="H269">
        <v>0.2</v>
      </c>
      <c r="I269">
        <v>0.18179999999999999</v>
      </c>
      <c r="J269">
        <v>0.47</v>
      </c>
      <c r="K269">
        <v>0.32840000000000003</v>
      </c>
      <c r="L269">
        <v>0</v>
      </c>
      <c r="M269">
        <v>44</v>
      </c>
      <c r="N269">
        <v>44</v>
      </c>
    </row>
    <row r="270" spans="1:14" x14ac:dyDescent="0.3">
      <c r="A270">
        <v>269</v>
      </c>
      <c r="B270" s="1">
        <v>40555</v>
      </c>
      <c r="C270">
        <v>1</v>
      </c>
      <c r="D270">
        <v>15</v>
      </c>
      <c r="E270" t="b">
        <v>0</v>
      </c>
      <c r="F270">
        <v>3</v>
      </c>
      <c r="G270">
        <v>1</v>
      </c>
      <c r="H270">
        <v>0.2</v>
      </c>
      <c r="I270">
        <v>0.16669999999999999</v>
      </c>
      <c r="J270">
        <v>0.47</v>
      </c>
      <c r="K270">
        <v>0.41789999999999999</v>
      </c>
      <c r="L270">
        <v>1</v>
      </c>
      <c r="M270">
        <v>48</v>
      </c>
      <c r="N270">
        <v>49</v>
      </c>
    </row>
    <row r="271" spans="1:14" x14ac:dyDescent="0.3">
      <c r="A271">
        <v>270</v>
      </c>
      <c r="B271" s="1">
        <v>40555</v>
      </c>
      <c r="C271">
        <v>1</v>
      </c>
      <c r="D271">
        <v>16</v>
      </c>
      <c r="E271" t="b">
        <v>0</v>
      </c>
      <c r="F271">
        <v>3</v>
      </c>
      <c r="G271">
        <v>1</v>
      </c>
      <c r="H271">
        <v>0.22</v>
      </c>
      <c r="I271">
        <v>0.19700000000000001</v>
      </c>
      <c r="J271">
        <v>0.44</v>
      </c>
      <c r="K271">
        <v>0.32840000000000003</v>
      </c>
      <c r="L271">
        <v>5</v>
      </c>
      <c r="M271">
        <v>63</v>
      </c>
      <c r="N271">
        <v>68</v>
      </c>
    </row>
    <row r="272" spans="1:14" x14ac:dyDescent="0.3">
      <c r="A272">
        <v>271</v>
      </c>
      <c r="B272" s="1">
        <v>40555</v>
      </c>
      <c r="C272">
        <v>1</v>
      </c>
      <c r="D272">
        <v>17</v>
      </c>
      <c r="E272" t="b">
        <v>0</v>
      </c>
      <c r="F272">
        <v>3</v>
      </c>
      <c r="G272">
        <v>1</v>
      </c>
      <c r="H272">
        <v>0.2</v>
      </c>
      <c r="I272">
        <v>0.18179999999999999</v>
      </c>
      <c r="J272">
        <v>0.47</v>
      </c>
      <c r="K272">
        <v>0.35820000000000002</v>
      </c>
      <c r="L272">
        <v>0</v>
      </c>
      <c r="M272">
        <v>139</v>
      </c>
      <c r="N272">
        <v>139</v>
      </c>
    </row>
    <row r="273" spans="1:14" x14ac:dyDescent="0.3">
      <c r="A273">
        <v>272</v>
      </c>
      <c r="B273" s="1">
        <v>40555</v>
      </c>
      <c r="C273">
        <v>1</v>
      </c>
      <c r="D273">
        <v>18</v>
      </c>
      <c r="E273" t="b">
        <v>0</v>
      </c>
      <c r="F273">
        <v>3</v>
      </c>
      <c r="G273">
        <v>1</v>
      </c>
      <c r="H273">
        <v>0.2</v>
      </c>
      <c r="I273">
        <v>0.1515</v>
      </c>
      <c r="J273">
        <v>0.47</v>
      </c>
      <c r="K273">
        <v>0.52239999999999998</v>
      </c>
      <c r="L273">
        <v>2</v>
      </c>
      <c r="M273">
        <v>135</v>
      </c>
      <c r="N273">
        <v>137</v>
      </c>
    </row>
    <row r="274" spans="1:14" x14ac:dyDescent="0.3">
      <c r="A274">
        <v>273</v>
      </c>
      <c r="B274" s="1">
        <v>40555</v>
      </c>
      <c r="C274">
        <v>1</v>
      </c>
      <c r="D274">
        <v>19</v>
      </c>
      <c r="E274" t="b">
        <v>0</v>
      </c>
      <c r="F274">
        <v>3</v>
      </c>
      <c r="G274">
        <v>1</v>
      </c>
      <c r="H274">
        <v>0.18</v>
      </c>
      <c r="I274">
        <v>0.1515</v>
      </c>
      <c r="J274">
        <v>0.47</v>
      </c>
      <c r="K274">
        <v>0.41789999999999999</v>
      </c>
      <c r="L274">
        <v>1</v>
      </c>
      <c r="M274">
        <v>82</v>
      </c>
      <c r="N274">
        <v>83</v>
      </c>
    </row>
    <row r="275" spans="1:14" x14ac:dyDescent="0.3">
      <c r="A275">
        <v>274</v>
      </c>
      <c r="B275" s="1">
        <v>40555</v>
      </c>
      <c r="C275">
        <v>1</v>
      </c>
      <c r="D275">
        <v>20</v>
      </c>
      <c r="E275" t="b">
        <v>0</v>
      </c>
      <c r="F275">
        <v>3</v>
      </c>
      <c r="G275">
        <v>1</v>
      </c>
      <c r="H275">
        <v>0.16</v>
      </c>
      <c r="I275">
        <v>0.13639999999999999</v>
      </c>
      <c r="J275">
        <v>0.5</v>
      </c>
      <c r="K275">
        <v>0.32840000000000003</v>
      </c>
      <c r="L275">
        <v>2</v>
      </c>
      <c r="M275">
        <v>54</v>
      </c>
      <c r="N275">
        <v>56</v>
      </c>
    </row>
    <row r="276" spans="1:14" x14ac:dyDescent="0.3">
      <c r="A276">
        <v>275</v>
      </c>
      <c r="B276" s="1">
        <v>40555</v>
      </c>
      <c r="C276">
        <v>1</v>
      </c>
      <c r="D276">
        <v>21</v>
      </c>
      <c r="E276" t="b">
        <v>0</v>
      </c>
      <c r="F276">
        <v>3</v>
      </c>
      <c r="G276">
        <v>1</v>
      </c>
      <c r="H276">
        <v>0.16</v>
      </c>
      <c r="I276">
        <v>0.13639999999999999</v>
      </c>
      <c r="J276">
        <v>0.55000000000000004</v>
      </c>
      <c r="K276">
        <v>0.32840000000000003</v>
      </c>
      <c r="L276">
        <v>0</v>
      </c>
      <c r="M276">
        <v>57</v>
      </c>
      <c r="N276">
        <v>57</v>
      </c>
    </row>
    <row r="277" spans="1:14" x14ac:dyDescent="0.3">
      <c r="A277">
        <v>276</v>
      </c>
      <c r="B277" s="1">
        <v>40555</v>
      </c>
      <c r="C277">
        <v>1</v>
      </c>
      <c r="D277">
        <v>22</v>
      </c>
      <c r="E277" t="b">
        <v>0</v>
      </c>
      <c r="F277">
        <v>3</v>
      </c>
      <c r="G277">
        <v>1</v>
      </c>
      <c r="H277">
        <v>0.16</v>
      </c>
      <c r="I277">
        <v>0.1212</v>
      </c>
      <c r="J277">
        <v>0.55000000000000004</v>
      </c>
      <c r="K277">
        <v>0.44779999999999998</v>
      </c>
      <c r="L277">
        <v>1</v>
      </c>
      <c r="M277">
        <v>32</v>
      </c>
      <c r="N277">
        <v>33</v>
      </c>
    </row>
    <row r="278" spans="1:14" x14ac:dyDescent="0.3">
      <c r="A278">
        <v>277</v>
      </c>
      <c r="B278" s="1">
        <v>40555</v>
      </c>
      <c r="C278">
        <v>1</v>
      </c>
      <c r="D278">
        <v>23</v>
      </c>
      <c r="E278" t="b">
        <v>0</v>
      </c>
      <c r="F278">
        <v>3</v>
      </c>
      <c r="G278">
        <v>1</v>
      </c>
      <c r="H278">
        <v>0.14000000000000001</v>
      </c>
      <c r="I278">
        <v>0.1061</v>
      </c>
      <c r="J278">
        <v>0.59</v>
      </c>
      <c r="K278">
        <v>0.41789999999999999</v>
      </c>
      <c r="L278">
        <v>1</v>
      </c>
      <c r="M278">
        <v>19</v>
      </c>
      <c r="N278">
        <v>20</v>
      </c>
    </row>
    <row r="279" spans="1:14" x14ac:dyDescent="0.3">
      <c r="A279">
        <v>278</v>
      </c>
      <c r="B279" s="1">
        <v>40556</v>
      </c>
      <c r="C279">
        <v>1</v>
      </c>
      <c r="D279">
        <v>0</v>
      </c>
      <c r="E279" t="b">
        <v>0</v>
      </c>
      <c r="F279">
        <v>4</v>
      </c>
      <c r="G279">
        <v>1</v>
      </c>
      <c r="H279">
        <v>0.14000000000000001</v>
      </c>
      <c r="I279">
        <v>0.1212</v>
      </c>
      <c r="J279">
        <v>0.59</v>
      </c>
      <c r="K279">
        <v>0.28360000000000002</v>
      </c>
      <c r="L279">
        <v>1</v>
      </c>
      <c r="M279">
        <v>6</v>
      </c>
      <c r="N279">
        <v>7</v>
      </c>
    </row>
    <row r="280" spans="1:14" x14ac:dyDescent="0.3">
      <c r="A280">
        <v>279</v>
      </c>
      <c r="B280" s="1">
        <v>40556</v>
      </c>
      <c r="C280">
        <v>1</v>
      </c>
      <c r="D280">
        <v>1</v>
      </c>
      <c r="E280" t="b">
        <v>0</v>
      </c>
      <c r="F280">
        <v>4</v>
      </c>
      <c r="G280">
        <v>1</v>
      </c>
      <c r="H280">
        <v>0.14000000000000001</v>
      </c>
      <c r="I280">
        <v>0.1212</v>
      </c>
      <c r="J280">
        <v>0.5</v>
      </c>
      <c r="K280">
        <v>0.28360000000000002</v>
      </c>
      <c r="L280">
        <v>0</v>
      </c>
      <c r="M280">
        <v>2</v>
      </c>
      <c r="N280">
        <v>2</v>
      </c>
    </row>
    <row r="281" spans="1:14" x14ac:dyDescent="0.3">
      <c r="A281">
        <v>280</v>
      </c>
      <c r="B281" s="1">
        <v>40556</v>
      </c>
      <c r="C281">
        <v>1</v>
      </c>
      <c r="D281">
        <v>2</v>
      </c>
      <c r="E281" t="b">
        <v>0</v>
      </c>
      <c r="F281">
        <v>4</v>
      </c>
      <c r="G281">
        <v>1</v>
      </c>
      <c r="H281">
        <v>0.14000000000000001</v>
      </c>
      <c r="I281">
        <v>0.1212</v>
      </c>
      <c r="J281">
        <v>0.5</v>
      </c>
      <c r="K281">
        <v>0.35820000000000002</v>
      </c>
      <c r="L281">
        <v>0</v>
      </c>
      <c r="M281">
        <v>2</v>
      </c>
      <c r="N281">
        <v>2</v>
      </c>
    </row>
    <row r="282" spans="1:14" x14ac:dyDescent="0.3">
      <c r="A282">
        <v>281</v>
      </c>
      <c r="B282" s="1">
        <v>40556</v>
      </c>
      <c r="C282">
        <v>1</v>
      </c>
      <c r="D282">
        <v>3</v>
      </c>
      <c r="E282" t="b">
        <v>0</v>
      </c>
      <c r="F282">
        <v>4</v>
      </c>
      <c r="G282">
        <v>1</v>
      </c>
      <c r="H282">
        <v>0.14000000000000001</v>
      </c>
      <c r="I282">
        <v>0.1212</v>
      </c>
      <c r="J282">
        <v>0.5</v>
      </c>
      <c r="K282">
        <v>0.32840000000000003</v>
      </c>
      <c r="L282">
        <v>0</v>
      </c>
      <c r="M282">
        <v>3</v>
      </c>
      <c r="N282">
        <v>3</v>
      </c>
    </row>
    <row r="283" spans="1:14" x14ac:dyDescent="0.3">
      <c r="A283">
        <v>282</v>
      </c>
      <c r="B283" s="1">
        <v>40556</v>
      </c>
      <c r="C283">
        <v>1</v>
      </c>
      <c r="D283">
        <v>4</v>
      </c>
      <c r="E283" t="b">
        <v>0</v>
      </c>
      <c r="F283">
        <v>4</v>
      </c>
      <c r="G283">
        <v>1</v>
      </c>
      <c r="H283">
        <v>0.14000000000000001</v>
      </c>
      <c r="I283">
        <v>0.1212</v>
      </c>
      <c r="J283">
        <v>0.5</v>
      </c>
      <c r="K283">
        <v>0.25369999999999998</v>
      </c>
      <c r="L283">
        <v>0</v>
      </c>
      <c r="M283">
        <v>4</v>
      </c>
      <c r="N283">
        <v>4</v>
      </c>
    </row>
    <row r="284" spans="1:14" x14ac:dyDescent="0.3">
      <c r="A284">
        <v>283</v>
      </c>
      <c r="B284" s="1">
        <v>40556</v>
      </c>
      <c r="C284">
        <v>1</v>
      </c>
      <c r="D284">
        <v>5</v>
      </c>
      <c r="E284" t="b">
        <v>0</v>
      </c>
      <c r="F284">
        <v>4</v>
      </c>
      <c r="G284">
        <v>1</v>
      </c>
      <c r="H284">
        <v>0.14000000000000001</v>
      </c>
      <c r="I284">
        <v>0.1212</v>
      </c>
      <c r="J284">
        <v>0.5</v>
      </c>
      <c r="K284">
        <v>0.29849999999999999</v>
      </c>
      <c r="L284">
        <v>0</v>
      </c>
      <c r="M284">
        <v>3</v>
      </c>
      <c r="N284">
        <v>3</v>
      </c>
    </row>
    <row r="285" spans="1:14" x14ac:dyDescent="0.3">
      <c r="A285">
        <v>284</v>
      </c>
      <c r="B285" s="1">
        <v>40556</v>
      </c>
      <c r="C285">
        <v>1</v>
      </c>
      <c r="D285">
        <v>6</v>
      </c>
      <c r="E285" t="b">
        <v>0</v>
      </c>
      <c r="F285">
        <v>4</v>
      </c>
      <c r="G285">
        <v>1</v>
      </c>
      <c r="H285">
        <v>0.12</v>
      </c>
      <c r="I285">
        <v>0.1515</v>
      </c>
      <c r="J285">
        <v>0.54</v>
      </c>
      <c r="K285">
        <v>0.1343</v>
      </c>
      <c r="L285">
        <v>0</v>
      </c>
      <c r="M285">
        <v>28</v>
      </c>
      <c r="N285">
        <v>28</v>
      </c>
    </row>
    <row r="286" spans="1:14" x14ac:dyDescent="0.3">
      <c r="A286">
        <v>285</v>
      </c>
      <c r="B286" s="1">
        <v>40556</v>
      </c>
      <c r="C286">
        <v>1</v>
      </c>
      <c r="D286">
        <v>7</v>
      </c>
      <c r="E286" t="b">
        <v>0</v>
      </c>
      <c r="F286">
        <v>4</v>
      </c>
      <c r="G286">
        <v>1</v>
      </c>
      <c r="H286">
        <v>0.12</v>
      </c>
      <c r="I286">
        <v>0.1515</v>
      </c>
      <c r="J286">
        <v>0.54</v>
      </c>
      <c r="K286">
        <v>0.1343</v>
      </c>
      <c r="L286">
        <v>0</v>
      </c>
      <c r="M286">
        <v>72</v>
      </c>
      <c r="N286">
        <v>72</v>
      </c>
    </row>
    <row r="287" spans="1:14" x14ac:dyDescent="0.3">
      <c r="A287">
        <v>286</v>
      </c>
      <c r="B287" s="1">
        <v>40556</v>
      </c>
      <c r="C287">
        <v>1</v>
      </c>
      <c r="D287">
        <v>8</v>
      </c>
      <c r="E287" t="b">
        <v>0</v>
      </c>
      <c r="F287">
        <v>4</v>
      </c>
      <c r="G287">
        <v>1</v>
      </c>
      <c r="H287">
        <v>0.14000000000000001</v>
      </c>
      <c r="I287">
        <v>0.13639999999999999</v>
      </c>
      <c r="J287">
        <v>0.5</v>
      </c>
      <c r="K287">
        <v>0.19400000000000001</v>
      </c>
      <c r="L287">
        <v>5</v>
      </c>
      <c r="M287">
        <v>197</v>
      </c>
      <c r="N287">
        <v>202</v>
      </c>
    </row>
    <row r="288" spans="1:14" x14ac:dyDescent="0.3">
      <c r="A288">
        <v>287</v>
      </c>
      <c r="B288" s="1">
        <v>40556</v>
      </c>
      <c r="C288">
        <v>1</v>
      </c>
      <c r="D288">
        <v>9</v>
      </c>
      <c r="E288" t="b">
        <v>0</v>
      </c>
      <c r="F288">
        <v>4</v>
      </c>
      <c r="G288">
        <v>1</v>
      </c>
      <c r="H288">
        <v>0.14000000000000001</v>
      </c>
      <c r="I288">
        <v>0.1212</v>
      </c>
      <c r="J288">
        <v>0.5</v>
      </c>
      <c r="K288">
        <v>0.32840000000000003</v>
      </c>
      <c r="L288">
        <v>2</v>
      </c>
      <c r="M288">
        <v>137</v>
      </c>
      <c r="N288">
        <v>139</v>
      </c>
    </row>
    <row r="289" spans="1:14" x14ac:dyDescent="0.3">
      <c r="A289">
        <v>288</v>
      </c>
      <c r="B289" s="1">
        <v>40556</v>
      </c>
      <c r="C289">
        <v>1</v>
      </c>
      <c r="D289">
        <v>10</v>
      </c>
      <c r="E289" t="b">
        <v>0</v>
      </c>
      <c r="F289">
        <v>4</v>
      </c>
      <c r="G289">
        <v>2</v>
      </c>
      <c r="H289">
        <v>0.16</v>
      </c>
      <c r="I289">
        <v>0.13639999999999999</v>
      </c>
      <c r="J289">
        <v>0.5</v>
      </c>
      <c r="K289">
        <v>0.35820000000000002</v>
      </c>
      <c r="L289">
        <v>2</v>
      </c>
      <c r="M289">
        <v>36</v>
      </c>
      <c r="N289">
        <v>38</v>
      </c>
    </row>
    <row r="290" spans="1:14" x14ac:dyDescent="0.3">
      <c r="A290">
        <v>289</v>
      </c>
      <c r="B290" s="1">
        <v>40556</v>
      </c>
      <c r="C290">
        <v>1</v>
      </c>
      <c r="D290">
        <v>11</v>
      </c>
      <c r="E290" t="b">
        <v>0</v>
      </c>
      <c r="F290">
        <v>4</v>
      </c>
      <c r="G290">
        <v>2</v>
      </c>
      <c r="H290">
        <v>0.2</v>
      </c>
      <c r="I290">
        <v>0.16669999999999999</v>
      </c>
      <c r="J290">
        <v>0.44</v>
      </c>
      <c r="K290">
        <v>0.44779999999999998</v>
      </c>
      <c r="L290">
        <v>4</v>
      </c>
      <c r="M290">
        <v>33</v>
      </c>
      <c r="N290">
        <v>37</v>
      </c>
    </row>
    <row r="291" spans="1:14" x14ac:dyDescent="0.3">
      <c r="A291">
        <v>290</v>
      </c>
      <c r="B291" s="1">
        <v>40556</v>
      </c>
      <c r="C291">
        <v>1</v>
      </c>
      <c r="D291">
        <v>12</v>
      </c>
      <c r="E291" t="b">
        <v>0</v>
      </c>
      <c r="F291">
        <v>4</v>
      </c>
      <c r="G291">
        <v>1</v>
      </c>
      <c r="H291">
        <v>0.2</v>
      </c>
      <c r="I291">
        <v>0.16669999999999999</v>
      </c>
      <c r="J291">
        <v>0.44</v>
      </c>
      <c r="K291">
        <v>0.41789999999999999</v>
      </c>
      <c r="L291">
        <v>3</v>
      </c>
      <c r="M291">
        <v>49</v>
      </c>
      <c r="N291">
        <v>52</v>
      </c>
    </row>
    <row r="292" spans="1:14" x14ac:dyDescent="0.3">
      <c r="A292">
        <v>291</v>
      </c>
      <c r="B292" s="1">
        <v>40556</v>
      </c>
      <c r="C292">
        <v>1</v>
      </c>
      <c r="D292">
        <v>13</v>
      </c>
      <c r="E292" t="b">
        <v>0</v>
      </c>
      <c r="F292">
        <v>4</v>
      </c>
      <c r="G292">
        <v>1</v>
      </c>
      <c r="H292">
        <v>0.22</v>
      </c>
      <c r="I292">
        <v>0.19700000000000001</v>
      </c>
      <c r="J292">
        <v>0.41</v>
      </c>
      <c r="K292">
        <v>0.44779999999999998</v>
      </c>
      <c r="L292">
        <v>2</v>
      </c>
      <c r="M292">
        <v>81</v>
      </c>
      <c r="N292">
        <v>83</v>
      </c>
    </row>
    <row r="293" spans="1:14" x14ac:dyDescent="0.3">
      <c r="A293">
        <v>292</v>
      </c>
      <c r="B293" s="1">
        <v>40556</v>
      </c>
      <c r="C293">
        <v>1</v>
      </c>
      <c r="D293">
        <v>14</v>
      </c>
      <c r="E293" t="b">
        <v>0</v>
      </c>
      <c r="F293">
        <v>4</v>
      </c>
      <c r="G293">
        <v>1</v>
      </c>
      <c r="H293">
        <v>0.22</v>
      </c>
      <c r="I293">
        <v>0.19700000000000001</v>
      </c>
      <c r="J293">
        <v>0.41</v>
      </c>
      <c r="K293">
        <v>0.3881</v>
      </c>
      <c r="L293">
        <v>3</v>
      </c>
      <c r="M293">
        <v>39</v>
      </c>
      <c r="N293">
        <v>42</v>
      </c>
    </row>
    <row r="294" spans="1:14" x14ac:dyDescent="0.3">
      <c r="A294">
        <v>293</v>
      </c>
      <c r="B294" s="1">
        <v>40556</v>
      </c>
      <c r="C294">
        <v>1</v>
      </c>
      <c r="D294">
        <v>15</v>
      </c>
      <c r="E294" t="b">
        <v>0</v>
      </c>
      <c r="F294">
        <v>4</v>
      </c>
      <c r="G294">
        <v>1</v>
      </c>
      <c r="H294">
        <v>0.24</v>
      </c>
      <c r="I294">
        <v>0.21210000000000001</v>
      </c>
      <c r="J294">
        <v>0.38</v>
      </c>
      <c r="K294">
        <v>0.29849999999999999</v>
      </c>
      <c r="L294">
        <v>5</v>
      </c>
      <c r="M294">
        <v>55</v>
      </c>
      <c r="N294">
        <v>60</v>
      </c>
    </row>
    <row r="295" spans="1:14" x14ac:dyDescent="0.3">
      <c r="A295">
        <v>294</v>
      </c>
      <c r="B295" s="1">
        <v>40556</v>
      </c>
      <c r="C295">
        <v>1</v>
      </c>
      <c r="D295">
        <v>16</v>
      </c>
      <c r="E295" t="b">
        <v>0</v>
      </c>
      <c r="F295">
        <v>4</v>
      </c>
      <c r="G295">
        <v>1</v>
      </c>
      <c r="H295">
        <v>0.24</v>
      </c>
      <c r="I295">
        <v>0.21210000000000001</v>
      </c>
      <c r="J295">
        <v>0.38</v>
      </c>
      <c r="K295">
        <v>0.35820000000000002</v>
      </c>
      <c r="L295">
        <v>2</v>
      </c>
      <c r="M295">
        <v>76</v>
      </c>
      <c r="N295">
        <v>78</v>
      </c>
    </row>
    <row r="296" spans="1:14" x14ac:dyDescent="0.3">
      <c r="A296">
        <v>295</v>
      </c>
      <c r="B296" s="1">
        <v>40556</v>
      </c>
      <c r="C296">
        <v>1</v>
      </c>
      <c r="D296">
        <v>17</v>
      </c>
      <c r="E296" t="b">
        <v>0</v>
      </c>
      <c r="F296">
        <v>4</v>
      </c>
      <c r="G296">
        <v>1</v>
      </c>
      <c r="H296">
        <v>0.2</v>
      </c>
      <c r="I296">
        <v>0.18179999999999999</v>
      </c>
      <c r="J296">
        <v>0.4</v>
      </c>
      <c r="K296">
        <v>0.28360000000000002</v>
      </c>
      <c r="L296">
        <v>4</v>
      </c>
      <c r="M296">
        <v>158</v>
      </c>
      <c r="N296">
        <v>162</v>
      </c>
    </row>
    <row r="297" spans="1:14" x14ac:dyDescent="0.3">
      <c r="A297">
        <v>296</v>
      </c>
      <c r="B297" s="1">
        <v>40556</v>
      </c>
      <c r="C297">
        <v>1</v>
      </c>
      <c r="D297">
        <v>18</v>
      </c>
      <c r="E297" t="b">
        <v>0</v>
      </c>
      <c r="F297">
        <v>4</v>
      </c>
      <c r="G297">
        <v>1</v>
      </c>
      <c r="H297">
        <v>0.2</v>
      </c>
      <c r="I297">
        <v>0.18179999999999999</v>
      </c>
      <c r="J297">
        <v>0.4</v>
      </c>
      <c r="K297">
        <v>0.32840000000000003</v>
      </c>
      <c r="L297">
        <v>3</v>
      </c>
      <c r="M297">
        <v>141</v>
      </c>
      <c r="N297">
        <v>144</v>
      </c>
    </row>
    <row r="298" spans="1:14" x14ac:dyDescent="0.3">
      <c r="A298">
        <v>297</v>
      </c>
      <c r="B298" s="1">
        <v>40556</v>
      </c>
      <c r="C298">
        <v>1</v>
      </c>
      <c r="D298">
        <v>19</v>
      </c>
      <c r="E298" t="b">
        <v>0</v>
      </c>
      <c r="F298">
        <v>4</v>
      </c>
      <c r="G298">
        <v>1</v>
      </c>
      <c r="H298">
        <v>0.16</v>
      </c>
      <c r="I298">
        <v>0.1515</v>
      </c>
      <c r="J298">
        <v>0.47</v>
      </c>
      <c r="K298">
        <v>0.25369999999999998</v>
      </c>
      <c r="L298">
        <v>1</v>
      </c>
      <c r="M298">
        <v>98</v>
      </c>
      <c r="N298">
        <v>99</v>
      </c>
    </row>
    <row r="299" spans="1:14" x14ac:dyDescent="0.3">
      <c r="A299">
        <v>298</v>
      </c>
      <c r="B299" s="1">
        <v>40556</v>
      </c>
      <c r="C299">
        <v>1</v>
      </c>
      <c r="D299">
        <v>20</v>
      </c>
      <c r="E299" t="b">
        <v>0</v>
      </c>
      <c r="F299">
        <v>4</v>
      </c>
      <c r="G299">
        <v>1</v>
      </c>
      <c r="H299">
        <v>0.16</v>
      </c>
      <c r="I299">
        <v>0.1515</v>
      </c>
      <c r="J299">
        <v>0.47</v>
      </c>
      <c r="K299">
        <v>0.22389999999999999</v>
      </c>
      <c r="L299">
        <v>0</v>
      </c>
      <c r="M299">
        <v>64</v>
      </c>
      <c r="N299">
        <v>64</v>
      </c>
    </row>
    <row r="300" spans="1:14" x14ac:dyDescent="0.3">
      <c r="A300">
        <v>299</v>
      </c>
      <c r="B300" s="1">
        <v>40556</v>
      </c>
      <c r="C300">
        <v>1</v>
      </c>
      <c r="D300">
        <v>21</v>
      </c>
      <c r="E300" t="b">
        <v>0</v>
      </c>
      <c r="F300">
        <v>4</v>
      </c>
      <c r="G300">
        <v>1</v>
      </c>
      <c r="H300">
        <v>0.14000000000000001</v>
      </c>
      <c r="I300">
        <v>0.1212</v>
      </c>
      <c r="J300">
        <v>0.46</v>
      </c>
      <c r="K300">
        <v>0.29849999999999999</v>
      </c>
      <c r="L300">
        <v>0</v>
      </c>
      <c r="M300">
        <v>40</v>
      </c>
      <c r="N300">
        <v>40</v>
      </c>
    </row>
    <row r="301" spans="1:14" x14ac:dyDescent="0.3">
      <c r="A301">
        <v>300</v>
      </c>
      <c r="B301" s="1">
        <v>40556</v>
      </c>
      <c r="C301">
        <v>1</v>
      </c>
      <c r="D301">
        <v>22</v>
      </c>
      <c r="E301" t="b">
        <v>0</v>
      </c>
      <c r="F301">
        <v>4</v>
      </c>
      <c r="G301">
        <v>1</v>
      </c>
      <c r="H301">
        <v>0.14000000000000001</v>
      </c>
      <c r="I301">
        <v>0.1212</v>
      </c>
      <c r="J301">
        <v>0.46</v>
      </c>
      <c r="K301">
        <v>0.32840000000000003</v>
      </c>
      <c r="L301">
        <v>0</v>
      </c>
      <c r="M301">
        <v>30</v>
      </c>
      <c r="N301">
        <v>30</v>
      </c>
    </row>
    <row r="302" spans="1:14" x14ac:dyDescent="0.3">
      <c r="A302">
        <v>301</v>
      </c>
      <c r="B302" s="1">
        <v>40556</v>
      </c>
      <c r="C302">
        <v>1</v>
      </c>
      <c r="D302">
        <v>23</v>
      </c>
      <c r="E302" t="b">
        <v>0</v>
      </c>
      <c r="F302">
        <v>4</v>
      </c>
      <c r="G302">
        <v>1</v>
      </c>
      <c r="H302">
        <v>0.12</v>
      </c>
      <c r="I302">
        <v>0.13639999999999999</v>
      </c>
      <c r="J302">
        <v>0.5</v>
      </c>
      <c r="K302">
        <v>0.19400000000000001</v>
      </c>
      <c r="L302">
        <v>1</v>
      </c>
      <c r="M302">
        <v>14</v>
      </c>
      <c r="N302">
        <v>15</v>
      </c>
    </row>
    <row r="303" spans="1:14" x14ac:dyDescent="0.3">
      <c r="A303">
        <v>302</v>
      </c>
      <c r="B303" s="1">
        <v>40557</v>
      </c>
      <c r="C303">
        <v>1</v>
      </c>
      <c r="D303">
        <v>0</v>
      </c>
      <c r="E303" t="b">
        <v>0</v>
      </c>
      <c r="F303">
        <v>5</v>
      </c>
      <c r="G303">
        <v>1</v>
      </c>
      <c r="H303">
        <v>0.12</v>
      </c>
      <c r="I303">
        <v>0.13639999999999999</v>
      </c>
      <c r="J303">
        <v>0.5</v>
      </c>
      <c r="K303">
        <v>0.19400000000000001</v>
      </c>
      <c r="L303">
        <v>0</v>
      </c>
      <c r="M303">
        <v>14</v>
      </c>
      <c r="N303">
        <v>14</v>
      </c>
    </row>
    <row r="304" spans="1:14" x14ac:dyDescent="0.3">
      <c r="A304">
        <v>303</v>
      </c>
      <c r="B304" s="1">
        <v>40557</v>
      </c>
      <c r="C304">
        <v>1</v>
      </c>
      <c r="D304">
        <v>1</v>
      </c>
      <c r="E304" t="b">
        <v>0</v>
      </c>
      <c r="F304">
        <v>5</v>
      </c>
      <c r="G304">
        <v>1</v>
      </c>
      <c r="H304">
        <v>0.1</v>
      </c>
      <c r="I304">
        <v>0.1212</v>
      </c>
      <c r="J304">
        <v>0.54</v>
      </c>
      <c r="K304">
        <v>0.16420000000000001</v>
      </c>
      <c r="L304">
        <v>0</v>
      </c>
      <c r="M304">
        <v>5</v>
      </c>
      <c r="N304">
        <v>5</v>
      </c>
    </row>
    <row r="305" spans="1:14" x14ac:dyDescent="0.3">
      <c r="A305">
        <v>304</v>
      </c>
      <c r="B305" s="1">
        <v>40557</v>
      </c>
      <c r="C305">
        <v>1</v>
      </c>
      <c r="D305">
        <v>2</v>
      </c>
      <c r="E305" t="b">
        <v>0</v>
      </c>
      <c r="F305">
        <v>5</v>
      </c>
      <c r="G305">
        <v>1</v>
      </c>
      <c r="H305">
        <v>0.1</v>
      </c>
      <c r="I305">
        <v>0.1212</v>
      </c>
      <c r="J305">
        <v>0.54</v>
      </c>
      <c r="K305">
        <v>0.1343</v>
      </c>
      <c r="L305">
        <v>0</v>
      </c>
      <c r="M305">
        <v>1</v>
      </c>
      <c r="N305">
        <v>1</v>
      </c>
    </row>
    <row r="306" spans="1:14" x14ac:dyDescent="0.3">
      <c r="A306">
        <v>305</v>
      </c>
      <c r="B306" s="1">
        <v>40557</v>
      </c>
      <c r="C306">
        <v>1</v>
      </c>
      <c r="D306">
        <v>3</v>
      </c>
      <c r="E306" t="b">
        <v>0</v>
      </c>
      <c r="F306">
        <v>5</v>
      </c>
      <c r="G306">
        <v>1</v>
      </c>
      <c r="H306">
        <v>0.1</v>
      </c>
      <c r="I306">
        <v>0.13639999999999999</v>
      </c>
      <c r="J306">
        <v>0.54</v>
      </c>
      <c r="K306">
        <v>0.1045</v>
      </c>
      <c r="L306">
        <v>0</v>
      </c>
      <c r="M306">
        <v>1</v>
      </c>
      <c r="N306">
        <v>1</v>
      </c>
    </row>
    <row r="307" spans="1:14" x14ac:dyDescent="0.3">
      <c r="A307">
        <v>306</v>
      </c>
      <c r="B307" s="1">
        <v>40557</v>
      </c>
      <c r="C307">
        <v>1</v>
      </c>
      <c r="D307">
        <v>5</v>
      </c>
      <c r="E307" t="b">
        <v>0</v>
      </c>
      <c r="F307">
        <v>5</v>
      </c>
      <c r="G307">
        <v>1</v>
      </c>
      <c r="H307">
        <v>0.1</v>
      </c>
      <c r="I307">
        <v>0.13639999999999999</v>
      </c>
      <c r="J307">
        <v>0.54</v>
      </c>
      <c r="K307">
        <v>8.9599999999999999E-2</v>
      </c>
      <c r="L307">
        <v>0</v>
      </c>
      <c r="M307">
        <v>8</v>
      </c>
      <c r="N307">
        <v>8</v>
      </c>
    </row>
    <row r="308" spans="1:14" x14ac:dyDescent="0.3">
      <c r="A308">
        <v>307</v>
      </c>
      <c r="B308" s="1">
        <v>40557</v>
      </c>
      <c r="C308">
        <v>1</v>
      </c>
      <c r="D308">
        <v>6</v>
      </c>
      <c r="E308" t="b">
        <v>0</v>
      </c>
      <c r="F308">
        <v>5</v>
      </c>
      <c r="G308">
        <v>1</v>
      </c>
      <c r="H308">
        <v>0.1</v>
      </c>
      <c r="I308">
        <v>0.18179999999999999</v>
      </c>
      <c r="J308">
        <v>0.54</v>
      </c>
      <c r="K308">
        <v>0</v>
      </c>
      <c r="L308">
        <v>0</v>
      </c>
      <c r="M308">
        <v>17</v>
      </c>
      <c r="N308">
        <v>17</v>
      </c>
    </row>
    <row r="309" spans="1:14" x14ac:dyDescent="0.3">
      <c r="A309">
        <v>308</v>
      </c>
      <c r="B309" s="1">
        <v>40557</v>
      </c>
      <c r="C309">
        <v>1</v>
      </c>
      <c r="D309">
        <v>7</v>
      </c>
      <c r="E309" t="b">
        <v>0</v>
      </c>
      <c r="F309">
        <v>5</v>
      </c>
      <c r="G309">
        <v>1</v>
      </c>
      <c r="H309">
        <v>0.1</v>
      </c>
      <c r="I309">
        <v>0.1212</v>
      </c>
      <c r="J309">
        <v>0.74</v>
      </c>
      <c r="K309">
        <v>0.16420000000000001</v>
      </c>
      <c r="L309">
        <v>0</v>
      </c>
      <c r="M309">
        <v>70</v>
      </c>
      <c r="N309">
        <v>70</v>
      </c>
    </row>
    <row r="310" spans="1:14" x14ac:dyDescent="0.3">
      <c r="A310">
        <v>309</v>
      </c>
      <c r="B310" s="1">
        <v>40557</v>
      </c>
      <c r="C310">
        <v>1</v>
      </c>
      <c r="D310">
        <v>8</v>
      </c>
      <c r="E310" t="b">
        <v>0</v>
      </c>
      <c r="F310">
        <v>5</v>
      </c>
      <c r="G310">
        <v>1</v>
      </c>
      <c r="H310">
        <v>0.12</v>
      </c>
      <c r="I310">
        <v>0.16669999999999999</v>
      </c>
      <c r="J310">
        <v>0.68</v>
      </c>
      <c r="K310">
        <v>0</v>
      </c>
      <c r="L310">
        <v>2</v>
      </c>
      <c r="M310">
        <v>156</v>
      </c>
      <c r="N310">
        <v>158</v>
      </c>
    </row>
    <row r="311" spans="1:14" x14ac:dyDescent="0.3">
      <c r="A311">
        <v>310</v>
      </c>
      <c r="B311" s="1">
        <v>40557</v>
      </c>
      <c r="C311">
        <v>1</v>
      </c>
      <c r="D311">
        <v>9</v>
      </c>
      <c r="E311" t="b">
        <v>0</v>
      </c>
      <c r="F311">
        <v>5</v>
      </c>
      <c r="G311">
        <v>1</v>
      </c>
      <c r="H311">
        <v>0.14000000000000001</v>
      </c>
      <c r="I311">
        <v>0.1515</v>
      </c>
      <c r="J311">
        <v>0.69</v>
      </c>
      <c r="K311">
        <v>0.1343</v>
      </c>
      <c r="L311">
        <v>0</v>
      </c>
      <c r="M311">
        <v>117</v>
      </c>
      <c r="N311">
        <v>117</v>
      </c>
    </row>
    <row r="312" spans="1:14" x14ac:dyDescent="0.3">
      <c r="A312">
        <v>311</v>
      </c>
      <c r="B312" s="1">
        <v>40557</v>
      </c>
      <c r="C312">
        <v>1</v>
      </c>
      <c r="D312">
        <v>10</v>
      </c>
      <c r="E312" t="b">
        <v>0</v>
      </c>
      <c r="F312">
        <v>5</v>
      </c>
      <c r="G312">
        <v>1</v>
      </c>
      <c r="H312">
        <v>0.18</v>
      </c>
      <c r="I312">
        <v>0.18179999999999999</v>
      </c>
      <c r="J312">
        <v>0.55000000000000004</v>
      </c>
      <c r="K312">
        <v>0.19400000000000001</v>
      </c>
      <c r="L312">
        <v>4</v>
      </c>
      <c r="M312">
        <v>40</v>
      </c>
      <c r="N312">
        <v>44</v>
      </c>
    </row>
    <row r="313" spans="1:14" x14ac:dyDescent="0.3">
      <c r="A313">
        <v>312</v>
      </c>
      <c r="B313" s="1">
        <v>40557</v>
      </c>
      <c r="C313">
        <v>1</v>
      </c>
      <c r="D313">
        <v>11</v>
      </c>
      <c r="E313" t="b">
        <v>0</v>
      </c>
      <c r="F313">
        <v>5</v>
      </c>
      <c r="G313">
        <v>1</v>
      </c>
      <c r="H313">
        <v>0.18</v>
      </c>
      <c r="I313">
        <v>0.16669999999999999</v>
      </c>
      <c r="J313">
        <v>0.51</v>
      </c>
      <c r="K313">
        <v>0.28360000000000002</v>
      </c>
      <c r="L313">
        <v>6</v>
      </c>
      <c r="M313">
        <v>47</v>
      </c>
      <c r="N313">
        <v>53</v>
      </c>
    </row>
    <row r="314" spans="1:14" x14ac:dyDescent="0.3">
      <c r="A314">
        <v>313</v>
      </c>
      <c r="B314" s="1">
        <v>40557</v>
      </c>
      <c r="C314">
        <v>1</v>
      </c>
      <c r="D314">
        <v>12</v>
      </c>
      <c r="E314" t="b">
        <v>0</v>
      </c>
      <c r="F314">
        <v>5</v>
      </c>
      <c r="G314">
        <v>1</v>
      </c>
      <c r="H314">
        <v>0.2</v>
      </c>
      <c r="I314">
        <v>0.19700000000000001</v>
      </c>
      <c r="J314">
        <v>0.44</v>
      </c>
      <c r="K314">
        <v>0.25369999999999998</v>
      </c>
      <c r="L314">
        <v>2</v>
      </c>
      <c r="M314">
        <v>59</v>
      </c>
      <c r="N314">
        <v>61</v>
      </c>
    </row>
    <row r="315" spans="1:14" x14ac:dyDescent="0.3">
      <c r="A315">
        <v>314</v>
      </c>
      <c r="B315" s="1">
        <v>40557</v>
      </c>
      <c r="C315">
        <v>1</v>
      </c>
      <c r="D315">
        <v>13</v>
      </c>
      <c r="E315" t="b">
        <v>0</v>
      </c>
      <c r="F315">
        <v>5</v>
      </c>
      <c r="G315">
        <v>1</v>
      </c>
      <c r="H315">
        <v>0.22</v>
      </c>
      <c r="I315">
        <v>0.19700000000000001</v>
      </c>
      <c r="J315">
        <v>0.37</v>
      </c>
      <c r="K315">
        <v>0.3881</v>
      </c>
      <c r="L315">
        <v>4</v>
      </c>
      <c r="M315">
        <v>73</v>
      </c>
      <c r="N315">
        <v>77</v>
      </c>
    </row>
    <row r="316" spans="1:14" x14ac:dyDescent="0.3">
      <c r="A316">
        <v>315</v>
      </c>
      <c r="B316" s="1">
        <v>40557</v>
      </c>
      <c r="C316">
        <v>1</v>
      </c>
      <c r="D316">
        <v>14</v>
      </c>
      <c r="E316" t="b">
        <v>0</v>
      </c>
      <c r="F316">
        <v>5</v>
      </c>
      <c r="G316">
        <v>1</v>
      </c>
      <c r="H316">
        <v>0.22</v>
      </c>
      <c r="I316">
        <v>0.21210000000000001</v>
      </c>
      <c r="J316">
        <v>0.41</v>
      </c>
      <c r="K316">
        <v>0.28360000000000002</v>
      </c>
      <c r="L316">
        <v>5</v>
      </c>
      <c r="M316">
        <v>59</v>
      </c>
      <c r="N316">
        <v>64</v>
      </c>
    </row>
    <row r="317" spans="1:14" x14ac:dyDescent="0.3">
      <c r="A317">
        <v>316</v>
      </c>
      <c r="B317" s="1">
        <v>40557</v>
      </c>
      <c r="C317">
        <v>1</v>
      </c>
      <c r="D317">
        <v>15</v>
      </c>
      <c r="E317" t="b">
        <v>0</v>
      </c>
      <c r="F317">
        <v>5</v>
      </c>
      <c r="G317">
        <v>1</v>
      </c>
      <c r="H317">
        <v>0.24</v>
      </c>
      <c r="I317">
        <v>0.2424</v>
      </c>
      <c r="J317">
        <v>0.38</v>
      </c>
      <c r="K317">
        <v>0.16420000000000001</v>
      </c>
      <c r="L317">
        <v>9</v>
      </c>
      <c r="M317">
        <v>59</v>
      </c>
      <c r="N317">
        <v>68</v>
      </c>
    </row>
    <row r="318" spans="1:14" x14ac:dyDescent="0.3">
      <c r="A318">
        <v>317</v>
      </c>
      <c r="B318" s="1">
        <v>40557</v>
      </c>
      <c r="C318">
        <v>1</v>
      </c>
      <c r="D318">
        <v>16</v>
      </c>
      <c r="E318" t="b">
        <v>0</v>
      </c>
      <c r="F318">
        <v>5</v>
      </c>
      <c r="G318">
        <v>1</v>
      </c>
      <c r="H318">
        <v>0.22</v>
      </c>
      <c r="I318">
        <v>0.2424</v>
      </c>
      <c r="J318">
        <v>0.41</v>
      </c>
      <c r="K318">
        <v>0.1045</v>
      </c>
      <c r="L318">
        <v>3</v>
      </c>
      <c r="M318">
        <v>87</v>
      </c>
      <c r="N318">
        <v>90</v>
      </c>
    </row>
    <row r="319" spans="1:14" x14ac:dyDescent="0.3">
      <c r="A319">
        <v>318</v>
      </c>
      <c r="B319" s="1">
        <v>40557</v>
      </c>
      <c r="C319">
        <v>1</v>
      </c>
      <c r="D319">
        <v>17</v>
      </c>
      <c r="E319" t="b">
        <v>0</v>
      </c>
      <c r="F319">
        <v>5</v>
      </c>
      <c r="G319">
        <v>1</v>
      </c>
      <c r="H319">
        <v>0.22</v>
      </c>
      <c r="I319">
        <v>0.2273</v>
      </c>
      <c r="J319">
        <v>0.41</v>
      </c>
      <c r="K319">
        <v>0.16420000000000001</v>
      </c>
      <c r="L319">
        <v>4</v>
      </c>
      <c r="M319">
        <v>155</v>
      </c>
      <c r="N319">
        <v>159</v>
      </c>
    </row>
    <row r="320" spans="1:14" x14ac:dyDescent="0.3">
      <c r="A320">
        <v>319</v>
      </c>
      <c r="B320" s="1">
        <v>40557</v>
      </c>
      <c r="C320">
        <v>1</v>
      </c>
      <c r="D320">
        <v>18</v>
      </c>
      <c r="E320" t="b">
        <v>0</v>
      </c>
      <c r="F320">
        <v>5</v>
      </c>
      <c r="G320">
        <v>1</v>
      </c>
      <c r="H320">
        <v>0.2</v>
      </c>
      <c r="I320">
        <v>0.2576</v>
      </c>
      <c r="J320">
        <v>0.47</v>
      </c>
      <c r="K320">
        <v>0</v>
      </c>
      <c r="L320">
        <v>5</v>
      </c>
      <c r="M320">
        <v>134</v>
      </c>
      <c r="N320">
        <v>139</v>
      </c>
    </row>
    <row r="321" spans="1:14" x14ac:dyDescent="0.3">
      <c r="A321">
        <v>320</v>
      </c>
      <c r="B321" s="1">
        <v>40557</v>
      </c>
      <c r="C321">
        <v>1</v>
      </c>
      <c r="D321">
        <v>19</v>
      </c>
      <c r="E321" t="b">
        <v>0</v>
      </c>
      <c r="F321">
        <v>5</v>
      </c>
      <c r="G321">
        <v>1</v>
      </c>
      <c r="H321">
        <v>0.16</v>
      </c>
      <c r="I321">
        <v>0.19700000000000001</v>
      </c>
      <c r="J321">
        <v>0.59</v>
      </c>
      <c r="K321">
        <v>8.9599999999999999E-2</v>
      </c>
      <c r="L321">
        <v>3</v>
      </c>
      <c r="M321">
        <v>89</v>
      </c>
      <c r="N321">
        <v>92</v>
      </c>
    </row>
    <row r="322" spans="1:14" x14ac:dyDescent="0.3">
      <c r="A322">
        <v>321</v>
      </c>
      <c r="B322" s="1">
        <v>40557</v>
      </c>
      <c r="C322">
        <v>1</v>
      </c>
      <c r="D322">
        <v>20</v>
      </c>
      <c r="E322" t="b">
        <v>0</v>
      </c>
      <c r="F322">
        <v>5</v>
      </c>
      <c r="G322">
        <v>1</v>
      </c>
      <c r="H322">
        <v>0.18</v>
      </c>
      <c r="I322">
        <v>0.2424</v>
      </c>
      <c r="J322">
        <v>0.59</v>
      </c>
      <c r="K322">
        <v>0</v>
      </c>
      <c r="L322">
        <v>0</v>
      </c>
      <c r="M322">
        <v>68</v>
      </c>
      <c r="N322">
        <v>68</v>
      </c>
    </row>
    <row r="323" spans="1:14" x14ac:dyDescent="0.3">
      <c r="A323">
        <v>322</v>
      </c>
      <c r="B323" s="1">
        <v>40557</v>
      </c>
      <c r="C323">
        <v>1</v>
      </c>
      <c r="D323">
        <v>21</v>
      </c>
      <c r="E323" t="b">
        <v>0</v>
      </c>
      <c r="F323">
        <v>5</v>
      </c>
      <c r="G323">
        <v>1</v>
      </c>
      <c r="H323">
        <v>0.16</v>
      </c>
      <c r="I323">
        <v>0.2273</v>
      </c>
      <c r="J323">
        <v>0.69</v>
      </c>
      <c r="K323">
        <v>0</v>
      </c>
      <c r="L323">
        <v>4</v>
      </c>
      <c r="M323">
        <v>48</v>
      </c>
      <c r="N323">
        <v>52</v>
      </c>
    </row>
    <row r="324" spans="1:14" x14ac:dyDescent="0.3">
      <c r="A324">
        <v>323</v>
      </c>
      <c r="B324" s="1">
        <v>40557</v>
      </c>
      <c r="C324">
        <v>1</v>
      </c>
      <c r="D324">
        <v>22</v>
      </c>
      <c r="E324" t="b">
        <v>0</v>
      </c>
      <c r="F324">
        <v>5</v>
      </c>
      <c r="G324">
        <v>2</v>
      </c>
      <c r="H324">
        <v>0.16</v>
      </c>
      <c r="I324">
        <v>0.2273</v>
      </c>
      <c r="J324">
        <v>0.69</v>
      </c>
      <c r="K324">
        <v>0</v>
      </c>
      <c r="L324">
        <v>2</v>
      </c>
      <c r="M324">
        <v>34</v>
      </c>
      <c r="N324">
        <v>36</v>
      </c>
    </row>
    <row r="325" spans="1:14" x14ac:dyDescent="0.3">
      <c r="A325">
        <v>324</v>
      </c>
      <c r="B325" s="1">
        <v>40557</v>
      </c>
      <c r="C325">
        <v>1</v>
      </c>
      <c r="D325">
        <v>23</v>
      </c>
      <c r="E325" t="b">
        <v>0</v>
      </c>
      <c r="F325">
        <v>5</v>
      </c>
      <c r="G325">
        <v>2</v>
      </c>
      <c r="H325">
        <v>0.18</v>
      </c>
      <c r="I325">
        <v>0.2424</v>
      </c>
      <c r="J325">
        <v>0.55000000000000004</v>
      </c>
      <c r="K325">
        <v>0</v>
      </c>
      <c r="L325">
        <v>1</v>
      </c>
      <c r="M325">
        <v>26</v>
      </c>
      <c r="N325">
        <v>27</v>
      </c>
    </row>
    <row r="326" spans="1:14" x14ac:dyDescent="0.3">
      <c r="A326">
        <v>325</v>
      </c>
      <c r="B326" s="1">
        <v>40558</v>
      </c>
      <c r="C326">
        <v>1</v>
      </c>
      <c r="D326">
        <v>0</v>
      </c>
      <c r="E326" t="b">
        <v>0</v>
      </c>
      <c r="F326">
        <v>6</v>
      </c>
      <c r="G326">
        <v>1</v>
      </c>
      <c r="H326">
        <v>0.18</v>
      </c>
      <c r="I326">
        <v>0.2424</v>
      </c>
      <c r="J326">
        <v>0.55000000000000004</v>
      </c>
      <c r="K326">
        <v>0</v>
      </c>
      <c r="L326">
        <v>3</v>
      </c>
      <c r="M326">
        <v>25</v>
      </c>
      <c r="N326">
        <v>28</v>
      </c>
    </row>
    <row r="327" spans="1:14" x14ac:dyDescent="0.3">
      <c r="A327">
        <v>326</v>
      </c>
      <c r="B327" s="1">
        <v>40558</v>
      </c>
      <c r="C327">
        <v>1</v>
      </c>
      <c r="D327">
        <v>1</v>
      </c>
      <c r="E327" t="b">
        <v>0</v>
      </c>
      <c r="F327">
        <v>6</v>
      </c>
      <c r="G327">
        <v>2</v>
      </c>
      <c r="H327">
        <v>0.16</v>
      </c>
      <c r="I327">
        <v>0.19700000000000001</v>
      </c>
      <c r="J327">
        <v>0.59</v>
      </c>
      <c r="K327">
        <v>8.9599999999999999E-2</v>
      </c>
      <c r="L327">
        <v>2</v>
      </c>
      <c r="M327">
        <v>18</v>
      </c>
      <c r="N327">
        <v>20</v>
      </c>
    </row>
    <row r="328" spans="1:14" x14ac:dyDescent="0.3">
      <c r="A328">
        <v>327</v>
      </c>
      <c r="B328" s="1">
        <v>40558</v>
      </c>
      <c r="C328">
        <v>1</v>
      </c>
      <c r="D328">
        <v>2</v>
      </c>
      <c r="E328" t="b">
        <v>0</v>
      </c>
      <c r="F328">
        <v>6</v>
      </c>
      <c r="G328">
        <v>2</v>
      </c>
      <c r="H328">
        <v>0.16</v>
      </c>
      <c r="I328">
        <v>0.19700000000000001</v>
      </c>
      <c r="J328">
        <v>0.59</v>
      </c>
      <c r="K328">
        <v>8.9599999999999999E-2</v>
      </c>
      <c r="L328">
        <v>0</v>
      </c>
      <c r="M328">
        <v>12</v>
      </c>
      <c r="N328">
        <v>12</v>
      </c>
    </row>
    <row r="329" spans="1:14" x14ac:dyDescent="0.3">
      <c r="A329">
        <v>328</v>
      </c>
      <c r="B329" s="1">
        <v>40558</v>
      </c>
      <c r="C329">
        <v>1</v>
      </c>
      <c r="D329">
        <v>3</v>
      </c>
      <c r="E329" t="b">
        <v>0</v>
      </c>
      <c r="F329">
        <v>6</v>
      </c>
      <c r="G329">
        <v>2</v>
      </c>
      <c r="H329">
        <v>0.16</v>
      </c>
      <c r="I329">
        <v>0.2273</v>
      </c>
      <c r="J329">
        <v>0.59</v>
      </c>
      <c r="K329">
        <v>0</v>
      </c>
      <c r="L329">
        <v>1</v>
      </c>
      <c r="M329">
        <v>7</v>
      </c>
      <c r="N329">
        <v>8</v>
      </c>
    </row>
    <row r="330" spans="1:14" x14ac:dyDescent="0.3">
      <c r="A330">
        <v>329</v>
      </c>
      <c r="B330" s="1">
        <v>40558</v>
      </c>
      <c r="C330">
        <v>1</v>
      </c>
      <c r="D330">
        <v>4</v>
      </c>
      <c r="E330" t="b">
        <v>0</v>
      </c>
      <c r="F330">
        <v>6</v>
      </c>
      <c r="G330">
        <v>2</v>
      </c>
      <c r="H330">
        <v>0.16</v>
      </c>
      <c r="I330">
        <v>0.2273</v>
      </c>
      <c r="J330">
        <v>0.59</v>
      </c>
      <c r="K330">
        <v>0</v>
      </c>
      <c r="L330">
        <v>0</v>
      </c>
      <c r="M330">
        <v>5</v>
      </c>
      <c r="N330">
        <v>5</v>
      </c>
    </row>
    <row r="331" spans="1:14" x14ac:dyDescent="0.3">
      <c r="A331">
        <v>330</v>
      </c>
      <c r="B331" s="1">
        <v>40558</v>
      </c>
      <c r="C331">
        <v>1</v>
      </c>
      <c r="D331">
        <v>5</v>
      </c>
      <c r="E331" t="b">
        <v>0</v>
      </c>
      <c r="F331">
        <v>6</v>
      </c>
      <c r="G331">
        <v>1</v>
      </c>
      <c r="H331">
        <v>0.16</v>
      </c>
      <c r="I331">
        <v>0.2273</v>
      </c>
      <c r="J331">
        <v>0.59</v>
      </c>
      <c r="K331">
        <v>0</v>
      </c>
      <c r="L331">
        <v>0</v>
      </c>
      <c r="M331">
        <v>1</v>
      </c>
      <c r="N331">
        <v>1</v>
      </c>
    </row>
    <row r="332" spans="1:14" x14ac:dyDescent="0.3">
      <c r="A332">
        <v>331</v>
      </c>
      <c r="B332" s="1">
        <v>40558</v>
      </c>
      <c r="C332">
        <v>1</v>
      </c>
      <c r="D332">
        <v>6</v>
      </c>
      <c r="E332" t="b">
        <v>0</v>
      </c>
      <c r="F332">
        <v>6</v>
      </c>
      <c r="G332">
        <v>1</v>
      </c>
      <c r="H332">
        <v>0.14000000000000001</v>
      </c>
      <c r="I332">
        <v>0.16669999999999999</v>
      </c>
      <c r="J332">
        <v>0.63</v>
      </c>
      <c r="K332">
        <v>0.1045</v>
      </c>
      <c r="L332">
        <v>1</v>
      </c>
      <c r="M332">
        <v>2</v>
      </c>
      <c r="N332">
        <v>3</v>
      </c>
    </row>
    <row r="333" spans="1:14" x14ac:dyDescent="0.3">
      <c r="A333">
        <v>332</v>
      </c>
      <c r="B333" s="1">
        <v>40558</v>
      </c>
      <c r="C333">
        <v>1</v>
      </c>
      <c r="D333">
        <v>7</v>
      </c>
      <c r="E333" t="b">
        <v>0</v>
      </c>
      <c r="F333">
        <v>6</v>
      </c>
      <c r="G333">
        <v>1</v>
      </c>
      <c r="H333">
        <v>0.14000000000000001</v>
      </c>
      <c r="I333">
        <v>0.21210000000000001</v>
      </c>
      <c r="J333">
        <v>0.63</v>
      </c>
      <c r="K333">
        <v>0</v>
      </c>
      <c r="L333">
        <v>1</v>
      </c>
      <c r="M333">
        <v>9</v>
      </c>
      <c r="N333">
        <v>10</v>
      </c>
    </row>
    <row r="334" spans="1:14" x14ac:dyDescent="0.3">
      <c r="A334">
        <v>333</v>
      </c>
      <c r="B334" s="1">
        <v>40558</v>
      </c>
      <c r="C334">
        <v>1</v>
      </c>
      <c r="D334">
        <v>8</v>
      </c>
      <c r="E334" t="b">
        <v>0</v>
      </c>
      <c r="F334">
        <v>6</v>
      </c>
      <c r="G334">
        <v>1</v>
      </c>
      <c r="H334">
        <v>0.14000000000000001</v>
      </c>
      <c r="I334">
        <v>0.1515</v>
      </c>
      <c r="J334">
        <v>0.63</v>
      </c>
      <c r="K334">
        <v>0.1343</v>
      </c>
      <c r="L334">
        <v>1</v>
      </c>
      <c r="M334">
        <v>22</v>
      </c>
      <c r="N334">
        <v>23</v>
      </c>
    </row>
    <row r="335" spans="1:14" x14ac:dyDescent="0.3">
      <c r="A335">
        <v>334</v>
      </c>
      <c r="B335" s="1">
        <v>40558</v>
      </c>
      <c r="C335">
        <v>1</v>
      </c>
      <c r="D335">
        <v>9</v>
      </c>
      <c r="E335" t="b">
        <v>0</v>
      </c>
      <c r="F335">
        <v>6</v>
      </c>
      <c r="G335">
        <v>1</v>
      </c>
      <c r="H335">
        <v>0.16</v>
      </c>
      <c r="I335">
        <v>0.18179999999999999</v>
      </c>
      <c r="J335">
        <v>0.64</v>
      </c>
      <c r="K335">
        <v>0.1343</v>
      </c>
      <c r="L335">
        <v>2</v>
      </c>
      <c r="M335">
        <v>31</v>
      </c>
      <c r="N335">
        <v>33</v>
      </c>
    </row>
    <row r="336" spans="1:14" x14ac:dyDescent="0.3">
      <c r="A336">
        <v>335</v>
      </c>
      <c r="B336" s="1">
        <v>40558</v>
      </c>
      <c r="C336">
        <v>1</v>
      </c>
      <c r="D336">
        <v>10</v>
      </c>
      <c r="E336" t="b">
        <v>0</v>
      </c>
      <c r="F336">
        <v>6</v>
      </c>
      <c r="G336">
        <v>1</v>
      </c>
      <c r="H336">
        <v>0.18</v>
      </c>
      <c r="I336">
        <v>0.19700000000000001</v>
      </c>
      <c r="J336">
        <v>0.59</v>
      </c>
      <c r="K336">
        <v>0.16420000000000001</v>
      </c>
      <c r="L336">
        <v>2</v>
      </c>
      <c r="M336">
        <v>57</v>
      </c>
      <c r="N336">
        <v>59</v>
      </c>
    </row>
    <row r="337" spans="1:14" x14ac:dyDescent="0.3">
      <c r="A337">
        <v>336</v>
      </c>
      <c r="B337" s="1">
        <v>40558</v>
      </c>
      <c r="C337">
        <v>1</v>
      </c>
      <c r="D337">
        <v>11</v>
      </c>
      <c r="E337" t="b">
        <v>0</v>
      </c>
      <c r="F337">
        <v>6</v>
      </c>
      <c r="G337">
        <v>1</v>
      </c>
      <c r="H337">
        <v>0.2</v>
      </c>
      <c r="I337">
        <v>0.19700000000000001</v>
      </c>
      <c r="J337">
        <v>0.55000000000000004</v>
      </c>
      <c r="K337">
        <v>0.22389999999999999</v>
      </c>
      <c r="L337">
        <v>18</v>
      </c>
      <c r="M337">
        <v>54</v>
      </c>
      <c r="N337">
        <v>72</v>
      </c>
    </row>
    <row r="338" spans="1:14" x14ac:dyDescent="0.3">
      <c r="A338">
        <v>337</v>
      </c>
      <c r="B338" s="1">
        <v>40558</v>
      </c>
      <c r="C338">
        <v>1</v>
      </c>
      <c r="D338">
        <v>12</v>
      </c>
      <c r="E338" t="b">
        <v>0</v>
      </c>
      <c r="F338">
        <v>6</v>
      </c>
      <c r="G338">
        <v>1</v>
      </c>
      <c r="H338">
        <v>0.24</v>
      </c>
      <c r="I338">
        <v>0.2273</v>
      </c>
      <c r="J338">
        <v>0.48</v>
      </c>
      <c r="K338">
        <v>0.22389999999999999</v>
      </c>
      <c r="L338">
        <v>15</v>
      </c>
      <c r="M338">
        <v>74</v>
      </c>
      <c r="N338">
        <v>89</v>
      </c>
    </row>
    <row r="339" spans="1:14" x14ac:dyDescent="0.3">
      <c r="A339">
        <v>338</v>
      </c>
      <c r="B339" s="1">
        <v>40558</v>
      </c>
      <c r="C339">
        <v>1</v>
      </c>
      <c r="D339">
        <v>13</v>
      </c>
      <c r="E339" t="b">
        <v>0</v>
      </c>
      <c r="F339">
        <v>6</v>
      </c>
      <c r="G339">
        <v>1</v>
      </c>
      <c r="H339">
        <v>0.28000000000000003</v>
      </c>
      <c r="I339">
        <v>0.2576</v>
      </c>
      <c r="J339">
        <v>0.38</v>
      </c>
      <c r="K339">
        <v>0.29849999999999999</v>
      </c>
      <c r="L339">
        <v>21</v>
      </c>
      <c r="M339">
        <v>80</v>
      </c>
      <c r="N339">
        <v>101</v>
      </c>
    </row>
    <row r="340" spans="1:14" x14ac:dyDescent="0.3">
      <c r="A340">
        <v>339</v>
      </c>
      <c r="B340" s="1">
        <v>40558</v>
      </c>
      <c r="C340">
        <v>1</v>
      </c>
      <c r="D340">
        <v>14</v>
      </c>
      <c r="E340" t="b">
        <v>0</v>
      </c>
      <c r="F340">
        <v>6</v>
      </c>
      <c r="G340">
        <v>1</v>
      </c>
      <c r="H340">
        <v>0.3</v>
      </c>
      <c r="I340">
        <v>0.28789999999999999</v>
      </c>
      <c r="J340">
        <v>0.39</v>
      </c>
      <c r="K340">
        <v>0.28360000000000002</v>
      </c>
      <c r="L340">
        <v>26</v>
      </c>
      <c r="M340">
        <v>92</v>
      </c>
      <c r="N340">
        <v>118</v>
      </c>
    </row>
    <row r="341" spans="1:14" x14ac:dyDescent="0.3">
      <c r="A341">
        <v>340</v>
      </c>
      <c r="B341" s="1">
        <v>40558</v>
      </c>
      <c r="C341">
        <v>1</v>
      </c>
      <c r="D341">
        <v>15</v>
      </c>
      <c r="E341" t="b">
        <v>0</v>
      </c>
      <c r="F341">
        <v>6</v>
      </c>
      <c r="G341">
        <v>2</v>
      </c>
      <c r="H341">
        <v>0.32</v>
      </c>
      <c r="I341">
        <v>0.31819999999999998</v>
      </c>
      <c r="J341">
        <v>0.36</v>
      </c>
      <c r="K341">
        <v>0.19400000000000001</v>
      </c>
      <c r="L341">
        <v>21</v>
      </c>
      <c r="M341">
        <v>108</v>
      </c>
      <c r="N341">
        <v>129</v>
      </c>
    </row>
    <row r="342" spans="1:14" x14ac:dyDescent="0.3">
      <c r="A342">
        <v>341</v>
      </c>
      <c r="B342" s="1">
        <v>40558</v>
      </c>
      <c r="C342">
        <v>1</v>
      </c>
      <c r="D342">
        <v>16</v>
      </c>
      <c r="E342" t="b">
        <v>0</v>
      </c>
      <c r="F342">
        <v>6</v>
      </c>
      <c r="G342">
        <v>2</v>
      </c>
      <c r="H342">
        <v>0.34</v>
      </c>
      <c r="I342">
        <v>0.33329999999999999</v>
      </c>
      <c r="J342">
        <v>0.34</v>
      </c>
      <c r="K342">
        <v>0.19400000000000001</v>
      </c>
      <c r="L342">
        <v>33</v>
      </c>
      <c r="M342">
        <v>95</v>
      </c>
      <c r="N342">
        <v>128</v>
      </c>
    </row>
    <row r="343" spans="1:14" x14ac:dyDescent="0.3">
      <c r="A343">
        <v>342</v>
      </c>
      <c r="B343" s="1">
        <v>40558</v>
      </c>
      <c r="C343">
        <v>1</v>
      </c>
      <c r="D343">
        <v>17</v>
      </c>
      <c r="E343" t="b">
        <v>0</v>
      </c>
      <c r="F343">
        <v>6</v>
      </c>
      <c r="G343">
        <v>2</v>
      </c>
      <c r="H343">
        <v>0.32</v>
      </c>
      <c r="I343">
        <v>0.30299999999999999</v>
      </c>
      <c r="J343">
        <v>0.36</v>
      </c>
      <c r="K343">
        <v>0.28360000000000002</v>
      </c>
      <c r="L343">
        <v>29</v>
      </c>
      <c r="M343">
        <v>54</v>
      </c>
      <c r="N343">
        <v>83</v>
      </c>
    </row>
    <row r="344" spans="1:14" x14ac:dyDescent="0.3">
      <c r="A344">
        <v>343</v>
      </c>
      <c r="B344" s="1">
        <v>40558</v>
      </c>
      <c r="C344">
        <v>1</v>
      </c>
      <c r="D344">
        <v>18</v>
      </c>
      <c r="E344" t="b">
        <v>0</v>
      </c>
      <c r="F344">
        <v>6</v>
      </c>
      <c r="G344">
        <v>2</v>
      </c>
      <c r="H344">
        <v>0.3</v>
      </c>
      <c r="I344">
        <v>0.28789999999999999</v>
      </c>
      <c r="J344">
        <v>0.45</v>
      </c>
      <c r="K344">
        <v>0.25369999999999998</v>
      </c>
      <c r="L344">
        <v>15</v>
      </c>
      <c r="M344">
        <v>69</v>
      </c>
      <c r="N344">
        <v>84</v>
      </c>
    </row>
    <row r="345" spans="1:14" x14ac:dyDescent="0.3">
      <c r="A345">
        <v>344</v>
      </c>
      <c r="B345" s="1">
        <v>40558</v>
      </c>
      <c r="C345">
        <v>1</v>
      </c>
      <c r="D345">
        <v>19</v>
      </c>
      <c r="E345" t="b">
        <v>0</v>
      </c>
      <c r="F345">
        <v>6</v>
      </c>
      <c r="G345">
        <v>2</v>
      </c>
      <c r="H345">
        <v>0.32</v>
      </c>
      <c r="I345">
        <v>0.30299999999999999</v>
      </c>
      <c r="J345">
        <v>0.39</v>
      </c>
      <c r="K345">
        <v>0.25369999999999998</v>
      </c>
      <c r="L345">
        <v>14</v>
      </c>
      <c r="M345">
        <v>60</v>
      </c>
      <c r="N345">
        <v>74</v>
      </c>
    </row>
    <row r="346" spans="1:14" x14ac:dyDescent="0.3">
      <c r="A346">
        <v>345</v>
      </c>
      <c r="B346" s="1">
        <v>40558</v>
      </c>
      <c r="C346">
        <v>1</v>
      </c>
      <c r="D346">
        <v>20</v>
      </c>
      <c r="E346" t="b">
        <v>0</v>
      </c>
      <c r="F346">
        <v>6</v>
      </c>
      <c r="G346">
        <v>2</v>
      </c>
      <c r="H346">
        <v>0.32</v>
      </c>
      <c r="I346">
        <v>0.30299999999999999</v>
      </c>
      <c r="J346">
        <v>0.39</v>
      </c>
      <c r="K346">
        <v>0.25369999999999998</v>
      </c>
      <c r="L346">
        <v>6</v>
      </c>
      <c r="M346">
        <v>35</v>
      </c>
      <c r="N346">
        <v>41</v>
      </c>
    </row>
    <row r="347" spans="1:14" x14ac:dyDescent="0.3">
      <c r="A347">
        <v>346</v>
      </c>
      <c r="B347" s="1">
        <v>40558</v>
      </c>
      <c r="C347">
        <v>1</v>
      </c>
      <c r="D347">
        <v>21</v>
      </c>
      <c r="E347" t="b">
        <v>0</v>
      </c>
      <c r="F347">
        <v>6</v>
      </c>
      <c r="G347">
        <v>2</v>
      </c>
      <c r="H347">
        <v>0.32</v>
      </c>
      <c r="I347">
        <v>0.30299999999999999</v>
      </c>
      <c r="J347">
        <v>0.39</v>
      </c>
      <c r="K347">
        <v>0.22389999999999999</v>
      </c>
      <c r="L347">
        <v>6</v>
      </c>
      <c r="M347">
        <v>51</v>
      </c>
      <c r="N347">
        <v>57</v>
      </c>
    </row>
    <row r="348" spans="1:14" x14ac:dyDescent="0.3">
      <c r="A348">
        <v>347</v>
      </c>
      <c r="B348" s="1">
        <v>40558</v>
      </c>
      <c r="C348">
        <v>1</v>
      </c>
      <c r="D348">
        <v>22</v>
      </c>
      <c r="E348" t="b">
        <v>0</v>
      </c>
      <c r="F348">
        <v>6</v>
      </c>
      <c r="G348">
        <v>2</v>
      </c>
      <c r="H348">
        <v>0.3</v>
      </c>
      <c r="I348">
        <v>0.31819999999999998</v>
      </c>
      <c r="J348">
        <v>0.42</v>
      </c>
      <c r="K348">
        <v>0.1045</v>
      </c>
      <c r="L348">
        <v>0</v>
      </c>
      <c r="M348">
        <v>26</v>
      </c>
      <c r="N348">
        <v>26</v>
      </c>
    </row>
    <row r="349" spans="1:14" x14ac:dyDescent="0.3">
      <c r="A349">
        <v>348</v>
      </c>
      <c r="B349" s="1">
        <v>40558</v>
      </c>
      <c r="C349">
        <v>1</v>
      </c>
      <c r="D349">
        <v>23</v>
      </c>
      <c r="E349" t="b">
        <v>0</v>
      </c>
      <c r="F349">
        <v>6</v>
      </c>
      <c r="G349">
        <v>1</v>
      </c>
      <c r="H349">
        <v>0.3</v>
      </c>
      <c r="I349">
        <v>0.28789999999999999</v>
      </c>
      <c r="J349">
        <v>0.45</v>
      </c>
      <c r="K349">
        <v>0.28360000000000002</v>
      </c>
      <c r="L349">
        <v>5</v>
      </c>
      <c r="M349">
        <v>39</v>
      </c>
      <c r="N349">
        <v>44</v>
      </c>
    </row>
    <row r="350" spans="1:14" x14ac:dyDescent="0.3">
      <c r="A350">
        <v>349</v>
      </c>
      <c r="B350" s="1">
        <v>40559</v>
      </c>
      <c r="C350">
        <v>1</v>
      </c>
      <c r="D350">
        <v>0</v>
      </c>
      <c r="E350" t="b">
        <v>0</v>
      </c>
      <c r="F350">
        <v>0</v>
      </c>
      <c r="G350">
        <v>1</v>
      </c>
      <c r="H350">
        <v>0.26</v>
      </c>
      <c r="I350">
        <v>0.30299999999999999</v>
      </c>
      <c r="J350">
        <v>0.56000000000000005</v>
      </c>
      <c r="K350">
        <v>0</v>
      </c>
      <c r="L350">
        <v>6</v>
      </c>
      <c r="M350">
        <v>33</v>
      </c>
      <c r="N350">
        <v>39</v>
      </c>
    </row>
    <row r="351" spans="1:14" x14ac:dyDescent="0.3">
      <c r="A351">
        <v>350</v>
      </c>
      <c r="B351" s="1">
        <v>40559</v>
      </c>
      <c r="C351">
        <v>1</v>
      </c>
      <c r="D351">
        <v>1</v>
      </c>
      <c r="E351" t="b">
        <v>0</v>
      </c>
      <c r="F351">
        <v>0</v>
      </c>
      <c r="G351">
        <v>1</v>
      </c>
      <c r="H351">
        <v>0.26</v>
      </c>
      <c r="I351">
        <v>0.2727</v>
      </c>
      <c r="J351">
        <v>0.56000000000000005</v>
      </c>
      <c r="K351">
        <v>0.1343</v>
      </c>
      <c r="L351">
        <v>4</v>
      </c>
      <c r="M351">
        <v>19</v>
      </c>
      <c r="N351">
        <v>23</v>
      </c>
    </row>
    <row r="352" spans="1:14" x14ac:dyDescent="0.3">
      <c r="A352">
        <v>351</v>
      </c>
      <c r="B352" s="1">
        <v>40559</v>
      </c>
      <c r="C352">
        <v>1</v>
      </c>
      <c r="D352">
        <v>2</v>
      </c>
      <c r="E352" t="b">
        <v>0</v>
      </c>
      <c r="F352">
        <v>0</v>
      </c>
      <c r="G352">
        <v>1</v>
      </c>
      <c r="H352">
        <v>0.26</v>
      </c>
      <c r="I352">
        <v>0.28789999999999999</v>
      </c>
      <c r="J352">
        <v>0.56000000000000005</v>
      </c>
      <c r="K352">
        <v>8.9599999999999999E-2</v>
      </c>
      <c r="L352">
        <v>3</v>
      </c>
      <c r="M352">
        <v>13</v>
      </c>
      <c r="N352">
        <v>16</v>
      </c>
    </row>
    <row r="353" spans="1:14" x14ac:dyDescent="0.3">
      <c r="A353">
        <v>352</v>
      </c>
      <c r="B353" s="1">
        <v>40559</v>
      </c>
      <c r="C353">
        <v>1</v>
      </c>
      <c r="D353">
        <v>3</v>
      </c>
      <c r="E353" t="b">
        <v>0</v>
      </c>
      <c r="F353">
        <v>0</v>
      </c>
      <c r="G353">
        <v>1</v>
      </c>
      <c r="H353">
        <v>0.22</v>
      </c>
      <c r="I353">
        <v>0.2727</v>
      </c>
      <c r="J353">
        <v>0.69</v>
      </c>
      <c r="K353">
        <v>0</v>
      </c>
      <c r="L353">
        <v>9</v>
      </c>
      <c r="M353">
        <v>6</v>
      </c>
      <c r="N353">
        <v>15</v>
      </c>
    </row>
    <row r="354" spans="1:14" x14ac:dyDescent="0.3">
      <c r="A354">
        <v>353</v>
      </c>
      <c r="B354" s="1">
        <v>40559</v>
      </c>
      <c r="C354">
        <v>1</v>
      </c>
      <c r="D354">
        <v>4</v>
      </c>
      <c r="E354" t="b">
        <v>0</v>
      </c>
      <c r="F354">
        <v>0</v>
      </c>
      <c r="G354">
        <v>1</v>
      </c>
      <c r="H354">
        <v>0.26</v>
      </c>
      <c r="I354">
        <v>0.2576</v>
      </c>
      <c r="J354">
        <v>0.56000000000000005</v>
      </c>
      <c r="K354">
        <v>0.16420000000000001</v>
      </c>
      <c r="L354">
        <v>0</v>
      </c>
      <c r="M354">
        <v>1</v>
      </c>
      <c r="N354">
        <v>1</v>
      </c>
    </row>
    <row r="355" spans="1:14" x14ac:dyDescent="0.3">
      <c r="A355">
        <v>354</v>
      </c>
      <c r="B355" s="1">
        <v>40559</v>
      </c>
      <c r="C355">
        <v>1</v>
      </c>
      <c r="D355">
        <v>5</v>
      </c>
      <c r="E355" t="b">
        <v>0</v>
      </c>
      <c r="F355">
        <v>0</v>
      </c>
      <c r="G355">
        <v>2</v>
      </c>
      <c r="H355">
        <v>0.26</v>
      </c>
      <c r="I355">
        <v>0.2576</v>
      </c>
      <c r="J355">
        <v>0.56000000000000005</v>
      </c>
      <c r="K355">
        <v>0.16420000000000001</v>
      </c>
      <c r="L355">
        <v>1</v>
      </c>
      <c r="M355">
        <v>1</v>
      </c>
      <c r="N355">
        <v>2</v>
      </c>
    </row>
    <row r="356" spans="1:14" x14ac:dyDescent="0.3">
      <c r="A356">
        <v>355</v>
      </c>
      <c r="B356" s="1">
        <v>40559</v>
      </c>
      <c r="C356">
        <v>1</v>
      </c>
      <c r="D356">
        <v>6</v>
      </c>
      <c r="E356" t="b">
        <v>0</v>
      </c>
      <c r="F356">
        <v>0</v>
      </c>
      <c r="G356">
        <v>2</v>
      </c>
      <c r="H356">
        <v>0.26</v>
      </c>
      <c r="I356">
        <v>0.2576</v>
      </c>
      <c r="J356">
        <v>0.56000000000000005</v>
      </c>
      <c r="K356">
        <v>0.16420000000000001</v>
      </c>
      <c r="L356">
        <v>0</v>
      </c>
      <c r="M356">
        <v>1</v>
      </c>
      <c r="N356">
        <v>1</v>
      </c>
    </row>
    <row r="357" spans="1:14" x14ac:dyDescent="0.3">
      <c r="A357">
        <v>356</v>
      </c>
      <c r="B357" s="1">
        <v>40559</v>
      </c>
      <c r="C357">
        <v>1</v>
      </c>
      <c r="D357">
        <v>7</v>
      </c>
      <c r="E357" t="b">
        <v>0</v>
      </c>
      <c r="F357">
        <v>0</v>
      </c>
      <c r="G357">
        <v>2</v>
      </c>
      <c r="H357">
        <v>0.24</v>
      </c>
      <c r="I357">
        <v>0.21210000000000001</v>
      </c>
      <c r="J357">
        <v>0.56000000000000005</v>
      </c>
      <c r="K357">
        <v>0.29849999999999999</v>
      </c>
      <c r="L357">
        <v>0</v>
      </c>
      <c r="M357">
        <v>3</v>
      </c>
      <c r="N357">
        <v>3</v>
      </c>
    </row>
    <row r="358" spans="1:14" x14ac:dyDescent="0.3">
      <c r="A358">
        <v>357</v>
      </c>
      <c r="B358" s="1">
        <v>40559</v>
      </c>
      <c r="C358">
        <v>1</v>
      </c>
      <c r="D358">
        <v>8</v>
      </c>
      <c r="E358" t="b">
        <v>0</v>
      </c>
      <c r="F358">
        <v>0</v>
      </c>
      <c r="G358">
        <v>1</v>
      </c>
      <c r="H358">
        <v>0.22</v>
      </c>
      <c r="I358">
        <v>0.21210000000000001</v>
      </c>
      <c r="J358">
        <v>0.55000000000000004</v>
      </c>
      <c r="K358">
        <v>0.28360000000000002</v>
      </c>
      <c r="L358">
        <v>0</v>
      </c>
      <c r="M358">
        <v>18</v>
      </c>
      <c r="N358">
        <v>18</v>
      </c>
    </row>
    <row r="359" spans="1:14" x14ac:dyDescent="0.3">
      <c r="A359">
        <v>358</v>
      </c>
      <c r="B359" s="1">
        <v>40559</v>
      </c>
      <c r="C359">
        <v>1</v>
      </c>
      <c r="D359">
        <v>9</v>
      </c>
      <c r="E359" t="b">
        <v>0</v>
      </c>
      <c r="F359">
        <v>0</v>
      </c>
      <c r="G359">
        <v>1</v>
      </c>
      <c r="H359">
        <v>0.22</v>
      </c>
      <c r="I359">
        <v>0.21210000000000001</v>
      </c>
      <c r="J359">
        <v>0.51</v>
      </c>
      <c r="K359">
        <v>0.25369999999999998</v>
      </c>
      <c r="L359">
        <v>3</v>
      </c>
      <c r="M359">
        <v>29</v>
      </c>
      <c r="N359">
        <v>32</v>
      </c>
    </row>
    <row r="360" spans="1:14" x14ac:dyDescent="0.3">
      <c r="A360">
        <v>359</v>
      </c>
      <c r="B360" s="1">
        <v>40559</v>
      </c>
      <c r="C360">
        <v>1</v>
      </c>
      <c r="D360">
        <v>10</v>
      </c>
      <c r="E360" t="b">
        <v>0</v>
      </c>
      <c r="F360">
        <v>0</v>
      </c>
      <c r="G360">
        <v>1</v>
      </c>
      <c r="H360">
        <v>0.22</v>
      </c>
      <c r="I360">
        <v>0.21210000000000001</v>
      </c>
      <c r="J360">
        <v>0.51</v>
      </c>
      <c r="K360">
        <v>0.28360000000000002</v>
      </c>
      <c r="L360">
        <v>8</v>
      </c>
      <c r="M360">
        <v>71</v>
      </c>
      <c r="N360">
        <v>79</v>
      </c>
    </row>
    <row r="361" spans="1:14" x14ac:dyDescent="0.3">
      <c r="A361">
        <v>360</v>
      </c>
      <c r="B361" s="1">
        <v>40559</v>
      </c>
      <c r="C361">
        <v>1</v>
      </c>
      <c r="D361">
        <v>11</v>
      </c>
      <c r="E361" t="b">
        <v>0</v>
      </c>
      <c r="F361">
        <v>0</v>
      </c>
      <c r="G361">
        <v>1</v>
      </c>
      <c r="H361">
        <v>0.24</v>
      </c>
      <c r="I361">
        <v>0.2273</v>
      </c>
      <c r="J361">
        <v>0.44</v>
      </c>
      <c r="K361">
        <v>0.25369999999999998</v>
      </c>
      <c r="L361">
        <v>23</v>
      </c>
      <c r="M361">
        <v>70</v>
      </c>
      <c r="N361">
        <v>93</v>
      </c>
    </row>
    <row r="362" spans="1:14" x14ac:dyDescent="0.3">
      <c r="A362">
        <v>361</v>
      </c>
      <c r="B362" s="1">
        <v>40559</v>
      </c>
      <c r="C362">
        <v>1</v>
      </c>
      <c r="D362">
        <v>12</v>
      </c>
      <c r="E362" t="b">
        <v>0</v>
      </c>
      <c r="F362">
        <v>0</v>
      </c>
      <c r="G362">
        <v>1</v>
      </c>
      <c r="H362">
        <v>0.24</v>
      </c>
      <c r="I362">
        <v>0.21210000000000001</v>
      </c>
      <c r="J362">
        <v>0.41</v>
      </c>
      <c r="K362">
        <v>0.28360000000000002</v>
      </c>
      <c r="L362">
        <v>29</v>
      </c>
      <c r="M362">
        <v>75</v>
      </c>
      <c r="N362">
        <v>104</v>
      </c>
    </row>
    <row r="363" spans="1:14" x14ac:dyDescent="0.3">
      <c r="A363">
        <v>362</v>
      </c>
      <c r="B363" s="1">
        <v>40559</v>
      </c>
      <c r="C363">
        <v>1</v>
      </c>
      <c r="D363">
        <v>13</v>
      </c>
      <c r="E363" t="b">
        <v>0</v>
      </c>
      <c r="F363">
        <v>0</v>
      </c>
      <c r="G363">
        <v>1</v>
      </c>
      <c r="H363">
        <v>0.26</v>
      </c>
      <c r="I363">
        <v>0.2273</v>
      </c>
      <c r="J363">
        <v>0.35</v>
      </c>
      <c r="K363">
        <v>0.29849999999999999</v>
      </c>
      <c r="L363">
        <v>23</v>
      </c>
      <c r="M363">
        <v>95</v>
      </c>
      <c r="N363">
        <v>118</v>
      </c>
    </row>
    <row r="364" spans="1:14" x14ac:dyDescent="0.3">
      <c r="A364">
        <v>363</v>
      </c>
      <c r="B364" s="1">
        <v>40559</v>
      </c>
      <c r="C364">
        <v>1</v>
      </c>
      <c r="D364">
        <v>14</v>
      </c>
      <c r="E364" t="b">
        <v>0</v>
      </c>
      <c r="F364">
        <v>0</v>
      </c>
      <c r="G364">
        <v>1</v>
      </c>
      <c r="H364">
        <v>0.28000000000000003</v>
      </c>
      <c r="I364">
        <v>0.2727</v>
      </c>
      <c r="J364">
        <v>0.36</v>
      </c>
      <c r="K364">
        <v>0.25369999999999998</v>
      </c>
      <c r="L364">
        <v>22</v>
      </c>
      <c r="M364">
        <v>69</v>
      </c>
      <c r="N364">
        <v>91</v>
      </c>
    </row>
    <row r="365" spans="1:14" x14ac:dyDescent="0.3">
      <c r="A365">
        <v>364</v>
      </c>
      <c r="B365" s="1">
        <v>40559</v>
      </c>
      <c r="C365">
        <v>1</v>
      </c>
      <c r="D365">
        <v>15</v>
      </c>
      <c r="E365" t="b">
        <v>0</v>
      </c>
      <c r="F365">
        <v>0</v>
      </c>
      <c r="G365">
        <v>1</v>
      </c>
      <c r="H365">
        <v>0.26</v>
      </c>
      <c r="I365">
        <v>0.2424</v>
      </c>
      <c r="J365">
        <v>0.38</v>
      </c>
      <c r="K365">
        <v>0.25369999999999998</v>
      </c>
      <c r="L365">
        <v>35</v>
      </c>
      <c r="M365">
        <v>78</v>
      </c>
      <c r="N365">
        <v>113</v>
      </c>
    </row>
    <row r="366" spans="1:14" x14ac:dyDescent="0.3">
      <c r="A366">
        <v>365</v>
      </c>
      <c r="B366" s="1">
        <v>40559</v>
      </c>
      <c r="C366">
        <v>1</v>
      </c>
      <c r="D366">
        <v>16</v>
      </c>
      <c r="E366" t="b">
        <v>0</v>
      </c>
      <c r="F366">
        <v>0</v>
      </c>
      <c r="G366">
        <v>1</v>
      </c>
      <c r="H366">
        <v>0.24</v>
      </c>
      <c r="I366">
        <v>0.2273</v>
      </c>
      <c r="J366">
        <v>0.38</v>
      </c>
      <c r="K366">
        <v>0.22389999999999999</v>
      </c>
      <c r="L366">
        <v>22</v>
      </c>
      <c r="M366">
        <v>77</v>
      </c>
      <c r="N366">
        <v>99</v>
      </c>
    </row>
    <row r="367" spans="1:14" x14ac:dyDescent="0.3">
      <c r="A367">
        <v>366</v>
      </c>
      <c r="B367" s="1">
        <v>40559</v>
      </c>
      <c r="C367">
        <v>1</v>
      </c>
      <c r="D367">
        <v>17</v>
      </c>
      <c r="E367" t="b">
        <v>0</v>
      </c>
      <c r="F367">
        <v>0</v>
      </c>
      <c r="G367">
        <v>1</v>
      </c>
      <c r="H367">
        <v>0.22</v>
      </c>
      <c r="I367">
        <v>0.21210000000000001</v>
      </c>
      <c r="J367">
        <v>0.37</v>
      </c>
      <c r="K367">
        <v>0.25369999999999998</v>
      </c>
      <c r="L367">
        <v>23</v>
      </c>
      <c r="M367">
        <v>82</v>
      </c>
      <c r="N367">
        <v>105</v>
      </c>
    </row>
    <row r="368" spans="1:14" x14ac:dyDescent="0.3">
      <c r="A368">
        <v>367</v>
      </c>
      <c r="B368" s="1">
        <v>40559</v>
      </c>
      <c r="C368">
        <v>1</v>
      </c>
      <c r="D368">
        <v>18</v>
      </c>
      <c r="E368" t="b">
        <v>0</v>
      </c>
      <c r="F368">
        <v>0</v>
      </c>
      <c r="G368">
        <v>1</v>
      </c>
      <c r="H368">
        <v>0.2</v>
      </c>
      <c r="I368">
        <v>0.21210000000000001</v>
      </c>
      <c r="J368">
        <v>0.4</v>
      </c>
      <c r="K368">
        <v>0.16420000000000001</v>
      </c>
      <c r="L368">
        <v>11</v>
      </c>
      <c r="M368">
        <v>56</v>
      </c>
      <c r="N368">
        <v>67</v>
      </c>
    </row>
    <row r="369" spans="1:14" x14ac:dyDescent="0.3">
      <c r="A369">
        <v>368</v>
      </c>
      <c r="B369" s="1">
        <v>40559</v>
      </c>
      <c r="C369">
        <v>1</v>
      </c>
      <c r="D369">
        <v>19</v>
      </c>
      <c r="E369" t="b">
        <v>0</v>
      </c>
      <c r="F369">
        <v>0</v>
      </c>
      <c r="G369">
        <v>1</v>
      </c>
      <c r="H369">
        <v>0.18</v>
      </c>
      <c r="I369">
        <v>0.19700000000000001</v>
      </c>
      <c r="J369">
        <v>0.47</v>
      </c>
      <c r="K369">
        <v>0.1343</v>
      </c>
      <c r="L369">
        <v>14</v>
      </c>
      <c r="M369">
        <v>47</v>
      </c>
      <c r="N369">
        <v>61</v>
      </c>
    </row>
    <row r="370" spans="1:14" x14ac:dyDescent="0.3">
      <c r="A370">
        <v>369</v>
      </c>
      <c r="B370" s="1">
        <v>40559</v>
      </c>
      <c r="C370">
        <v>1</v>
      </c>
      <c r="D370">
        <v>20</v>
      </c>
      <c r="E370" t="b">
        <v>0</v>
      </c>
      <c r="F370">
        <v>0</v>
      </c>
      <c r="G370">
        <v>1</v>
      </c>
      <c r="H370">
        <v>0.18</v>
      </c>
      <c r="I370">
        <v>0.19700000000000001</v>
      </c>
      <c r="J370">
        <v>0.47</v>
      </c>
      <c r="K370">
        <v>0.16420000000000001</v>
      </c>
      <c r="L370">
        <v>7</v>
      </c>
      <c r="M370">
        <v>50</v>
      </c>
      <c r="N370">
        <v>57</v>
      </c>
    </row>
    <row r="371" spans="1:14" x14ac:dyDescent="0.3">
      <c r="A371">
        <v>370</v>
      </c>
      <c r="B371" s="1">
        <v>40559</v>
      </c>
      <c r="C371">
        <v>1</v>
      </c>
      <c r="D371">
        <v>21</v>
      </c>
      <c r="E371" t="b">
        <v>0</v>
      </c>
      <c r="F371">
        <v>0</v>
      </c>
      <c r="G371">
        <v>1</v>
      </c>
      <c r="H371">
        <v>0.18</v>
      </c>
      <c r="I371">
        <v>0.19700000000000001</v>
      </c>
      <c r="J371">
        <v>0.51</v>
      </c>
      <c r="K371">
        <v>0.16420000000000001</v>
      </c>
      <c r="L371">
        <v>6</v>
      </c>
      <c r="M371">
        <v>22</v>
      </c>
      <c r="N371">
        <v>28</v>
      </c>
    </row>
    <row r="372" spans="1:14" x14ac:dyDescent="0.3">
      <c r="A372">
        <v>371</v>
      </c>
      <c r="B372" s="1">
        <v>40559</v>
      </c>
      <c r="C372">
        <v>1</v>
      </c>
      <c r="D372">
        <v>22</v>
      </c>
      <c r="E372" t="b">
        <v>0</v>
      </c>
      <c r="F372">
        <v>0</v>
      </c>
      <c r="G372">
        <v>2</v>
      </c>
      <c r="H372">
        <v>0.2</v>
      </c>
      <c r="I372">
        <v>0.21210000000000001</v>
      </c>
      <c r="J372">
        <v>0.49</v>
      </c>
      <c r="K372">
        <v>0.1343</v>
      </c>
      <c r="L372">
        <v>2</v>
      </c>
      <c r="M372">
        <v>19</v>
      </c>
      <c r="N372">
        <v>21</v>
      </c>
    </row>
    <row r="373" spans="1:14" x14ac:dyDescent="0.3">
      <c r="A373">
        <v>372</v>
      </c>
      <c r="B373" s="1">
        <v>40559</v>
      </c>
      <c r="C373">
        <v>1</v>
      </c>
      <c r="D373">
        <v>23</v>
      </c>
      <c r="E373" t="b">
        <v>0</v>
      </c>
      <c r="F373">
        <v>0</v>
      </c>
      <c r="G373">
        <v>2</v>
      </c>
      <c r="H373">
        <v>0.2</v>
      </c>
      <c r="I373">
        <v>0.2273</v>
      </c>
      <c r="J373">
        <v>0.4</v>
      </c>
      <c r="K373">
        <v>0.1045</v>
      </c>
      <c r="L373">
        <v>0</v>
      </c>
      <c r="M373">
        <v>18</v>
      </c>
      <c r="N373">
        <v>18</v>
      </c>
    </row>
    <row r="374" spans="1:14" x14ac:dyDescent="0.3">
      <c r="A374">
        <v>373</v>
      </c>
      <c r="B374" s="1">
        <v>40560</v>
      </c>
      <c r="C374">
        <v>1</v>
      </c>
      <c r="D374">
        <v>0</v>
      </c>
      <c r="E374" t="b">
        <v>1</v>
      </c>
      <c r="F374">
        <v>1</v>
      </c>
      <c r="G374">
        <v>2</v>
      </c>
      <c r="H374">
        <v>0.2</v>
      </c>
      <c r="I374">
        <v>0.19700000000000001</v>
      </c>
      <c r="J374">
        <v>0.47</v>
      </c>
      <c r="K374">
        <v>0.22389999999999999</v>
      </c>
      <c r="L374">
        <v>1</v>
      </c>
      <c r="M374">
        <v>16</v>
      </c>
      <c r="N374">
        <v>17</v>
      </c>
    </row>
    <row r="375" spans="1:14" x14ac:dyDescent="0.3">
      <c r="A375">
        <v>374</v>
      </c>
      <c r="B375" s="1">
        <v>40560</v>
      </c>
      <c r="C375">
        <v>1</v>
      </c>
      <c r="D375">
        <v>1</v>
      </c>
      <c r="E375" t="b">
        <v>1</v>
      </c>
      <c r="F375">
        <v>1</v>
      </c>
      <c r="G375">
        <v>2</v>
      </c>
      <c r="H375">
        <v>0.2</v>
      </c>
      <c r="I375">
        <v>0.19700000000000001</v>
      </c>
      <c r="J375">
        <v>0.44</v>
      </c>
      <c r="K375">
        <v>0.19400000000000001</v>
      </c>
      <c r="L375">
        <v>1</v>
      </c>
      <c r="M375">
        <v>15</v>
      </c>
      <c r="N375">
        <v>16</v>
      </c>
    </row>
    <row r="376" spans="1:14" x14ac:dyDescent="0.3">
      <c r="A376">
        <v>375</v>
      </c>
      <c r="B376" s="1">
        <v>40560</v>
      </c>
      <c r="C376">
        <v>1</v>
      </c>
      <c r="D376">
        <v>2</v>
      </c>
      <c r="E376" t="b">
        <v>1</v>
      </c>
      <c r="F376">
        <v>1</v>
      </c>
      <c r="G376">
        <v>2</v>
      </c>
      <c r="H376">
        <v>0.18</v>
      </c>
      <c r="I376">
        <v>0.16669999999999999</v>
      </c>
      <c r="J376">
        <v>0.43</v>
      </c>
      <c r="K376">
        <v>0.25369999999999998</v>
      </c>
      <c r="L376">
        <v>0</v>
      </c>
      <c r="M376">
        <v>8</v>
      </c>
      <c r="N376">
        <v>8</v>
      </c>
    </row>
    <row r="377" spans="1:14" x14ac:dyDescent="0.3">
      <c r="A377">
        <v>376</v>
      </c>
      <c r="B377" s="1">
        <v>40560</v>
      </c>
      <c r="C377">
        <v>1</v>
      </c>
      <c r="D377">
        <v>3</v>
      </c>
      <c r="E377" t="b">
        <v>1</v>
      </c>
      <c r="F377">
        <v>1</v>
      </c>
      <c r="G377">
        <v>2</v>
      </c>
      <c r="H377">
        <v>0.18</v>
      </c>
      <c r="I377">
        <v>0.18179999999999999</v>
      </c>
      <c r="J377">
        <v>0.43</v>
      </c>
      <c r="K377">
        <v>0.19400000000000001</v>
      </c>
      <c r="L377">
        <v>0</v>
      </c>
      <c r="M377">
        <v>2</v>
      </c>
      <c r="N377">
        <v>2</v>
      </c>
    </row>
    <row r="378" spans="1:14" x14ac:dyDescent="0.3">
      <c r="A378">
        <v>377</v>
      </c>
      <c r="B378" s="1">
        <v>40560</v>
      </c>
      <c r="C378">
        <v>1</v>
      </c>
      <c r="D378">
        <v>4</v>
      </c>
      <c r="E378" t="b">
        <v>1</v>
      </c>
      <c r="F378">
        <v>1</v>
      </c>
      <c r="G378">
        <v>2</v>
      </c>
      <c r="H378">
        <v>0.18</v>
      </c>
      <c r="I378">
        <v>0.19700000000000001</v>
      </c>
      <c r="J378">
        <v>0.43</v>
      </c>
      <c r="K378">
        <v>0.1343</v>
      </c>
      <c r="L378">
        <v>1</v>
      </c>
      <c r="M378">
        <v>2</v>
      </c>
      <c r="N378">
        <v>3</v>
      </c>
    </row>
    <row r="379" spans="1:14" x14ac:dyDescent="0.3">
      <c r="A379">
        <v>378</v>
      </c>
      <c r="B379" s="1">
        <v>40560</v>
      </c>
      <c r="C379">
        <v>1</v>
      </c>
      <c r="D379">
        <v>5</v>
      </c>
      <c r="E379" t="b">
        <v>1</v>
      </c>
      <c r="F379">
        <v>1</v>
      </c>
      <c r="G379">
        <v>2</v>
      </c>
      <c r="H379">
        <v>0.18</v>
      </c>
      <c r="I379">
        <v>0.19700000000000001</v>
      </c>
      <c r="J379">
        <v>0.43</v>
      </c>
      <c r="K379">
        <v>0.16420000000000001</v>
      </c>
      <c r="L379">
        <v>0</v>
      </c>
      <c r="M379">
        <v>1</v>
      </c>
      <c r="N379">
        <v>1</v>
      </c>
    </row>
    <row r="380" spans="1:14" x14ac:dyDescent="0.3">
      <c r="A380">
        <v>379</v>
      </c>
      <c r="B380" s="1">
        <v>40560</v>
      </c>
      <c r="C380">
        <v>1</v>
      </c>
      <c r="D380">
        <v>6</v>
      </c>
      <c r="E380" t="b">
        <v>1</v>
      </c>
      <c r="F380">
        <v>1</v>
      </c>
      <c r="G380">
        <v>2</v>
      </c>
      <c r="H380">
        <v>0.18</v>
      </c>
      <c r="I380">
        <v>0.18179999999999999</v>
      </c>
      <c r="J380">
        <v>0.43</v>
      </c>
      <c r="K380">
        <v>0.19400000000000001</v>
      </c>
      <c r="L380">
        <v>0</v>
      </c>
      <c r="M380">
        <v>5</v>
      </c>
      <c r="N380">
        <v>5</v>
      </c>
    </row>
    <row r="381" spans="1:14" x14ac:dyDescent="0.3">
      <c r="A381">
        <v>380</v>
      </c>
      <c r="B381" s="1">
        <v>40560</v>
      </c>
      <c r="C381">
        <v>1</v>
      </c>
      <c r="D381">
        <v>7</v>
      </c>
      <c r="E381" t="b">
        <v>1</v>
      </c>
      <c r="F381">
        <v>1</v>
      </c>
      <c r="G381">
        <v>2</v>
      </c>
      <c r="H381">
        <v>0.16</v>
      </c>
      <c r="I381">
        <v>0.18179999999999999</v>
      </c>
      <c r="J381">
        <v>0.5</v>
      </c>
      <c r="K381">
        <v>0.1343</v>
      </c>
      <c r="L381">
        <v>4</v>
      </c>
      <c r="M381">
        <v>9</v>
      </c>
      <c r="N381">
        <v>13</v>
      </c>
    </row>
    <row r="382" spans="1:14" x14ac:dyDescent="0.3">
      <c r="A382">
        <v>381</v>
      </c>
      <c r="B382" s="1">
        <v>40560</v>
      </c>
      <c r="C382">
        <v>1</v>
      </c>
      <c r="D382">
        <v>8</v>
      </c>
      <c r="E382" t="b">
        <v>1</v>
      </c>
      <c r="F382">
        <v>1</v>
      </c>
      <c r="G382">
        <v>2</v>
      </c>
      <c r="H382">
        <v>0.16</v>
      </c>
      <c r="I382">
        <v>0.1515</v>
      </c>
      <c r="J382">
        <v>0.47</v>
      </c>
      <c r="K382">
        <v>0.22389999999999999</v>
      </c>
      <c r="L382">
        <v>3</v>
      </c>
      <c r="M382">
        <v>30</v>
      </c>
      <c r="N382">
        <v>33</v>
      </c>
    </row>
    <row r="383" spans="1:14" x14ac:dyDescent="0.3">
      <c r="A383">
        <v>382</v>
      </c>
      <c r="B383" s="1">
        <v>40560</v>
      </c>
      <c r="C383">
        <v>1</v>
      </c>
      <c r="D383">
        <v>9</v>
      </c>
      <c r="E383" t="b">
        <v>1</v>
      </c>
      <c r="F383">
        <v>1</v>
      </c>
      <c r="G383">
        <v>2</v>
      </c>
      <c r="H383">
        <v>0.16</v>
      </c>
      <c r="I383">
        <v>0.1515</v>
      </c>
      <c r="J383">
        <v>0.47</v>
      </c>
      <c r="K383">
        <v>0.22389999999999999</v>
      </c>
      <c r="L383">
        <v>8</v>
      </c>
      <c r="M383">
        <v>39</v>
      </c>
      <c r="N383">
        <v>47</v>
      </c>
    </row>
    <row r="384" spans="1:14" x14ac:dyDescent="0.3">
      <c r="A384">
        <v>383</v>
      </c>
      <c r="B384" s="1">
        <v>40560</v>
      </c>
      <c r="C384">
        <v>1</v>
      </c>
      <c r="D384">
        <v>10</v>
      </c>
      <c r="E384" t="b">
        <v>1</v>
      </c>
      <c r="F384">
        <v>1</v>
      </c>
      <c r="G384">
        <v>2</v>
      </c>
      <c r="H384">
        <v>0.16</v>
      </c>
      <c r="I384">
        <v>0.1515</v>
      </c>
      <c r="J384">
        <v>0.5</v>
      </c>
      <c r="K384">
        <v>0.25369999999999998</v>
      </c>
      <c r="L384">
        <v>7</v>
      </c>
      <c r="M384">
        <v>50</v>
      </c>
      <c r="N384">
        <v>57</v>
      </c>
    </row>
    <row r="385" spans="1:14" x14ac:dyDescent="0.3">
      <c r="A385">
        <v>384</v>
      </c>
      <c r="B385" s="1">
        <v>40560</v>
      </c>
      <c r="C385">
        <v>1</v>
      </c>
      <c r="D385">
        <v>11</v>
      </c>
      <c r="E385" t="b">
        <v>1</v>
      </c>
      <c r="F385">
        <v>1</v>
      </c>
      <c r="G385">
        <v>2</v>
      </c>
      <c r="H385">
        <v>0.16</v>
      </c>
      <c r="I385">
        <v>0.1515</v>
      </c>
      <c r="J385">
        <v>0.55000000000000004</v>
      </c>
      <c r="K385">
        <v>0.19400000000000001</v>
      </c>
      <c r="L385">
        <v>9</v>
      </c>
      <c r="M385">
        <v>55</v>
      </c>
      <c r="N385">
        <v>64</v>
      </c>
    </row>
    <row r="386" spans="1:14" x14ac:dyDescent="0.3">
      <c r="A386">
        <v>385</v>
      </c>
      <c r="B386" s="1">
        <v>40560</v>
      </c>
      <c r="C386">
        <v>1</v>
      </c>
      <c r="D386">
        <v>12</v>
      </c>
      <c r="E386" t="b">
        <v>1</v>
      </c>
      <c r="F386">
        <v>1</v>
      </c>
      <c r="G386">
        <v>2</v>
      </c>
      <c r="H386">
        <v>0.18</v>
      </c>
      <c r="I386">
        <v>0.19700000000000001</v>
      </c>
      <c r="J386">
        <v>0.47</v>
      </c>
      <c r="K386">
        <v>0.1343</v>
      </c>
      <c r="L386">
        <v>10</v>
      </c>
      <c r="M386">
        <v>70</v>
      </c>
      <c r="N386">
        <v>80</v>
      </c>
    </row>
    <row r="387" spans="1:14" x14ac:dyDescent="0.3">
      <c r="A387">
        <v>386</v>
      </c>
      <c r="B387" s="1">
        <v>40560</v>
      </c>
      <c r="C387">
        <v>1</v>
      </c>
      <c r="D387">
        <v>13</v>
      </c>
      <c r="E387" t="b">
        <v>1</v>
      </c>
      <c r="F387">
        <v>1</v>
      </c>
      <c r="G387">
        <v>2</v>
      </c>
      <c r="H387">
        <v>0.18</v>
      </c>
      <c r="I387">
        <v>0.19700000000000001</v>
      </c>
      <c r="J387">
        <v>0.47</v>
      </c>
      <c r="K387">
        <v>0.1343</v>
      </c>
      <c r="L387">
        <v>13</v>
      </c>
      <c r="M387">
        <v>80</v>
      </c>
      <c r="N387">
        <v>93</v>
      </c>
    </row>
    <row r="388" spans="1:14" x14ac:dyDescent="0.3">
      <c r="A388">
        <v>387</v>
      </c>
      <c r="B388" s="1">
        <v>40560</v>
      </c>
      <c r="C388">
        <v>1</v>
      </c>
      <c r="D388">
        <v>14</v>
      </c>
      <c r="E388" t="b">
        <v>1</v>
      </c>
      <c r="F388">
        <v>1</v>
      </c>
      <c r="G388">
        <v>2</v>
      </c>
      <c r="H388">
        <v>0.18</v>
      </c>
      <c r="I388">
        <v>0.21210000000000001</v>
      </c>
      <c r="J388">
        <v>0.43</v>
      </c>
      <c r="K388">
        <v>0.1045</v>
      </c>
      <c r="L388">
        <v>12</v>
      </c>
      <c r="M388">
        <v>74</v>
      </c>
      <c r="N388">
        <v>86</v>
      </c>
    </row>
    <row r="389" spans="1:14" x14ac:dyDescent="0.3">
      <c r="A389">
        <v>388</v>
      </c>
      <c r="B389" s="1">
        <v>40560</v>
      </c>
      <c r="C389">
        <v>1</v>
      </c>
      <c r="D389">
        <v>15</v>
      </c>
      <c r="E389" t="b">
        <v>1</v>
      </c>
      <c r="F389">
        <v>1</v>
      </c>
      <c r="G389">
        <v>2</v>
      </c>
      <c r="H389">
        <v>0.2</v>
      </c>
      <c r="I389">
        <v>0.21210000000000001</v>
      </c>
      <c r="J389">
        <v>0.47</v>
      </c>
      <c r="K389">
        <v>0.16420000000000001</v>
      </c>
      <c r="L389">
        <v>21</v>
      </c>
      <c r="M389">
        <v>72</v>
      </c>
      <c r="N389">
        <v>93</v>
      </c>
    </row>
    <row r="390" spans="1:14" x14ac:dyDescent="0.3">
      <c r="A390">
        <v>389</v>
      </c>
      <c r="B390" s="1">
        <v>40560</v>
      </c>
      <c r="C390">
        <v>1</v>
      </c>
      <c r="D390">
        <v>16</v>
      </c>
      <c r="E390" t="b">
        <v>1</v>
      </c>
      <c r="F390">
        <v>1</v>
      </c>
      <c r="G390">
        <v>2</v>
      </c>
      <c r="H390">
        <v>0.2</v>
      </c>
      <c r="I390">
        <v>0.21210000000000001</v>
      </c>
      <c r="J390">
        <v>0.47</v>
      </c>
      <c r="K390">
        <v>0.16420000000000001</v>
      </c>
      <c r="L390">
        <v>6</v>
      </c>
      <c r="M390">
        <v>76</v>
      </c>
      <c r="N390">
        <v>82</v>
      </c>
    </row>
    <row r="391" spans="1:14" x14ac:dyDescent="0.3">
      <c r="A391">
        <v>390</v>
      </c>
      <c r="B391" s="1">
        <v>40560</v>
      </c>
      <c r="C391">
        <v>1</v>
      </c>
      <c r="D391">
        <v>17</v>
      </c>
      <c r="E391" t="b">
        <v>1</v>
      </c>
      <c r="F391">
        <v>1</v>
      </c>
      <c r="G391">
        <v>1</v>
      </c>
      <c r="H391">
        <v>0.2</v>
      </c>
      <c r="I391">
        <v>0.19700000000000001</v>
      </c>
      <c r="J391">
        <v>0.51</v>
      </c>
      <c r="K391">
        <v>0.19400000000000001</v>
      </c>
      <c r="L391">
        <v>4</v>
      </c>
      <c r="M391">
        <v>67</v>
      </c>
      <c r="N391">
        <v>71</v>
      </c>
    </row>
    <row r="392" spans="1:14" x14ac:dyDescent="0.3">
      <c r="A392">
        <v>391</v>
      </c>
      <c r="B392" s="1">
        <v>40560</v>
      </c>
      <c r="C392">
        <v>1</v>
      </c>
      <c r="D392">
        <v>18</v>
      </c>
      <c r="E392" t="b">
        <v>1</v>
      </c>
      <c r="F392">
        <v>1</v>
      </c>
      <c r="G392">
        <v>2</v>
      </c>
      <c r="H392">
        <v>0.18</v>
      </c>
      <c r="I392">
        <v>0.16669999999999999</v>
      </c>
      <c r="J392">
        <v>0.55000000000000004</v>
      </c>
      <c r="K392">
        <v>0.25369999999999998</v>
      </c>
      <c r="L392">
        <v>7</v>
      </c>
      <c r="M392">
        <v>85</v>
      </c>
      <c r="N392">
        <v>92</v>
      </c>
    </row>
    <row r="393" spans="1:14" x14ac:dyDescent="0.3">
      <c r="A393">
        <v>392</v>
      </c>
      <c r="B393" s="1">
        <v>40560</v>
      </c>
      <c r="C393">
        <v>1</v>
      </c>
      <c r="D393">
        <v>19</v>
      </c>
      <c r="E393" t="b">
        <v>1</v>
      </c>
      <c r="F393">
        <v>1</v>
      </c>
      <c r="G393">
        <v>3</v>
      </c>
      <c r="H393">
        <v>0.18</v>
      </c>
      <c r="I393">
        <v>0.18179999999999999</v>
      </c>
      <c r="J393">
        <v>0.59</v>
      </c>
      <c r="K393">
        <v>0.19400000000000001</v>
      </c>
      <c r="L393">
        <v>2</v>
      </c>
      <c r="M393">
        <v>58</v>
      </c>
      <c r="N393">
        <v>60</v>
      </c>
    </row>
    <row r="394" spans="1:14" x14ac:dyDescent="0.3">
      <c r="A394">
        <v>393</v>
      </c>
      <c r="B394" s="1">
        <v>40560</v>
      </c>
      <c r="C394">
        <v>1</v>
      </c>
      <c r="D394">
        <v>20</v>
      </c>
      <c r="E394" t="b">
        <v>1</v>
      </c>
      <c r="F394">
        <v>1</v>
      </c>
      <c r="G394">
        <v>3</v>
      </c>
      <c r="H394">
        <v>0.16</v>
      </c>
      <c r="I394">
        <v>0.1515</v>
      </c>
      <c r="J394">
        <v>0.8</v>
      </c>
      <c r="K394">
        <v>0.19400000000000001</v>
      </c>
      <c r="L394">
        <v>4</v>
      </c>
      <c r="M394">
        <v>29</v>
      </c>
      <c r="N394">
        <v>33</v>
      </c>
    </row>
    <row r="395" spans="1:14" x14ac:dyDescent="0.3">
      <c r="A395">
        <v>394</v>
      </c>
      <c r="B395" s="1">
        <v>40560</v>
      </c>
      <c r="C395">
        <v>1</v>
      </c>
      <c r="D395">
        <v>21</v>
      </c>
      <c r="E395" t="b">
        <v>1</v>
      </c>
      <c r="F395">
        <v>1</v>
      </c>
      <c r="G395">
        <v>3</v>
      </c>
      <c r="H395">
        <v>0.16</v>
      </c>
      <c r="I395">
        <v>0.1515</v>
      </c>
      <c r="J395">
        <v>0.8</v>
      </c>
      <c r="K395">
        <v>0.19400000000000001</v>
      </c>
      <c r="L395">
        <v>3</v>
      </c>
      <c r="M395">
        <v>24</v>
      </c>
      <c r="N395">
        <v>27</v>
      </c>
    </row>
    <row r="396" spans="1:14" x14ac:dyDescent="0.3">
      <c r="A396">
        <v>395</v>
      </c>
      <c r="B396" s="1">
        <v>40560</v>
      </c>
      <c r="C396">
        <v>1</v>
      </c>
      <c r="D396">
        <v>22</v>
      </c>
      <c r="E396" t="b">
        <v>1</v>
      </c>
      <c r="F396">
        <v>1</v>
      </c>
      <c r="G396">
        <v>3</v>
      </c>
      <c r="H396">
        <v>0.14000000000000001</v>
      </c>
      <c r="I396">
        <v>0.1212</v>
      </c>
      <c r="J396">
        <v>0.93</v>
      </c>
      <c r="K396">
        <v>0.25369999999999998</v>
      </c>
      <c r="L396">
        <v>0</v>
      </c>
      <c r="M396">
        <v>13</v>
      </c>
      <c r="N396">
        <v>13</v>
      </c>
    </row>
    <row r="397" spans="1:14" x14ac:dyDescent="0.3">
      <c r="A397">
        <v>396</v>
      </c>
      <c r="B397" s="1">
        <v>40560</v>
      </c>
      <c r="C397">
        <v>1</v>
      </c>
      <c r="D397">
        <v>23</v>
      </c>
      <c r="E397" t="b">
        <v>1</v>
      </c>
      <c r="F397">
        <v>1</v>
      </c>
      <c r="G397">
        <v>3</v>
      </c>
      <c r="H397">
        <v>0.16</v>
      </c>
      <c r="I397">
        <v>0.13639999999999999</v>
      </c>
      <c r="J397">
        <v>0.86</v>
      </c>
      <c r="K397">
        <v>0.28360000000000002</v>
      </c>
      <c r="L397">
        <v>1</v>
      </c>
      <c r="M397">
        <v>3</v>
      </c>
      <c r="N397">
        <v>4</v>
      </c>
    </row>
    <row r="398" spans="1:14" x14ac:dyDescent="0.3">
      <c r="A398">
        <v>397</v>
      </c>
      <c r="B398" s="1">
        <v>40561</v>
      </c>
      <c r="C398">
        <v>1</v>
      </c>
      <c r="D398">
        <v>12</v>
      </c>
      <c r="E398" t="b">
        <v>0</v>
      </c>
      <c r="F398">
        <v>2</v>
      </c>
      <c r="G398">
        <v>2</v>
      </c>
      <c r="H398">
        <v>0.2</v>
      </c>
      <c r="I398">
        <v>0.18179999999999999</v>
      </c>
      <c r="J398">
        <v>0.86</v>
      </c>
      <c r="K398">
        <v>0.32840000000000003</v>
      </c>
      <c r="L398">
        <v>0</v>
      </c>
      <c r="M398">
        <v>3</v>
      </c>
      <c r="N398">
        <v>3</v>
      </c>
    </row>
    <row r="399" spans="1:14" x14ac:dyDescent="0.3">
      <c r="A399">
        <v>398</v>
      </c>
      <c r="B399" s="1">
        <v>40561</v>
      </c>
      <c r="C399">
        <v>1</v>
      </c>
      <c r="D399">
        <v>13</v>
      </c>
      <c r="E399" t="b">
        <v>0</v>
      </c>
      <c r="F399">
        <v>2</v>
      </c>
      <c r="G399">
        <v>2</v>
      </c>
      <c r="H399">
        <v>0.2</v>
      </c>
      <c r="I399">
        <v>0.19700000000000001</v>
      </c>
      <c r="J399">
        <v>0.86</v>
      </c>
      <c r="K399">
        <v>0.22389999999999999</v>
      </c>
      <c r="L399">
        <v>0</v>
      </c>
      <c r="M399">
        <v>22</v>
      </c>
      <c r="N399">
        <v>22</v>
      </c>
    </row>
    <row r="400" spans="1:14" x14ac:dyDescent="0.3">
      <c r="A400">
        <v>399</v>
      </c>
      <c r="B400" s="1">
        <v>40561</v>
      </c>
      <c r="C400">
        <v>1</v>
      </c>
      <c r="D400">
        <v>14</v>
      </c>
      <c r="E400" t="b">
        <v>0</v>
      </c>
      <c r="F400">
        <v>2</v>
      </c>
      <c r="G400">
        <v>2</v>
      </c>
      <c r="H400">
        <v>0.22</v>
      </c>
      <c r="I400">
        <v>0.2273</v>
      </c>
      <c r="J400">
        <v>0.8</v>
      </c>
      <c r="K400">
        <v>0.16420000000000001</v>
      </c>
      <c r="L400">
        <v>2</v>
      </c>
      <c r="M400">
        <v>26</v>
      </c>
      <c r="N400">
        <v>28</v>
      </c>
    </row>
    <row r="401" spans="1:14" x14ac:dyDescent="0.3">
      <c r="A401">
        <v>400</v>
      </c>
      <c r="B401" s="1">
        <v>40561</v>
      </c>
      <c r="C401">
        <v>1</v>
      </c>
      <c r="D401">
        <v>15</v>
      </c>
      <c r="E401" t="b">
        <v>0</v>
      </c>
      <c r="F401">
        <v>2</v>
      </c>
      <c r="G401">
        <v>2</v>
      </c>
      <c r="H401">
        <v>0.22</v>
      </c>
      <c r="I401">
        <v>0.2273</v>
      </c>
      <c r="J401">
        <v>0.87</v>
      </c>
      <c r="K401">
        <v>0.16420000000000001</v>
      </c>
      <c r="L401">
        <v>3</v>
      </c>
      <c r="M401">
        <v>32</v>
      </c>
      <c r="N401">
        <v>35</v>
      </c>
    </row>
    <row r="402" spans="1:14" x14ac:dyDescent="0.3">
      <c r="A402">
        <v>401</v>
      </c>
      <c r="B402" s="1">
        <v>40561</v>
      </c>
      <c r="C402">
        <v>1</v>
      </c>
      <c r="D402">
        <v>16</v>
      </c>
      <c r="E402" t="b">
        <v>0</v>
      </c>
      <c r="F402">
        <v>2</v>
      </c>
      <c r="G402">
        <v>2</v>
      </c>
      <c r="H402">
        <v>0.22</v>
      </c>
      <c r="I402">
        <v>0.2273</v>
      </c>
      <c r="J402">
        <v>0.87</v>
      </c>
      <c r="K402">
        <v>0.19400000000000001</v>
      </c>
      <c r="L402">
        <v>0</v>
      </c>
      <c r="M402">
        <v>61</v>
      </c>
      <c r="N402">
        <v>61</v>
      </c>
    </row>
    <row r="403" spans="1:14" x14ac:dyDescent="0.3">
      <c r="A403">
        <v>402</v>
      </c>
      <c r="B403" s="1">
        <v>40561</v>
      </c>
      <c r="C403">
        <v>1</v>
      </c>
      <c r="D403">
        <v>17</v>
      </c>
      <c r="E403" t="b">
        <v>0</v>
      </c>
      <c r="F403">
        <v>2</v>
      </c>
      <c r="G403">
        <v>2</v>
      </c>
      <c r="H403">
        <v>0.22</v>
      </c>
      <c r="I403">
        <v>0.2273</v>
      </c>
      <c r="J403">
        <v>0.82</v>
      </c>
      <c r="K403">
        <v>0.19400000000000001</v>
      </c>
      <c r="L403">
        <v>1</v>
      </c>
      <c r="M403">
        <v>124</v>
      </c>
      <c r="N403">
        <v>125</v>
      </c>
    </row>
    <row r="404" spans="1:14" x14ac:dyDescent="0.3">
      <c r="A404">
        <v>403</v>
      </c>
      <c r="B404" s="1">
        <v>40561</v>
      </c>
      <c r="C404">
        <v>1</v>
      </c>
      <c r="D404">
        <v>18</v>
      </c>
      <c r="E404" t="b">
        <v>0</v>
      </c>
      <c r="F404">
        <v>2</v>
      </c>
      <c r="G404">
        <v>2</v>
      </c>
      <c r="H404">
        <v>0.22</v>
      </c>
      <c r="I404">
        <v>0.2273</v>
      </c>
      <c r="J404">
        <v>0.8</v>
      </c>
      <c r="K404">
        <v>0.16420000000000001</v>
      </c>
      <c r="L404">
        <v>1</v>
      </c>
      <c r="M404">
        <v>132</v>
      </c>
      <c r="N404">
        <v>133</v>
      </c>
    </row>
    <row r="405" spans="1:14" x14ac:dyDescent="0.3">
      <c r="A405">
        <v>404</v>
      </c>
      <c r="B405" s="1">
        <v>40561</v>
      </c>
      <c r="C405">
        <v>1</v>
      </c>
      <c r="D405">
        <v>19</v>
      </c>
      <c r="E405" t="b">
        <v>0</v>
      </c>
      <c r="F405">
        <v>2</v>
      </c>
      <c r="G405">
        <v>2</v>
      </c>
      <c r="H405">
        <v>0.22</v>
      </c>
      <c r="I405">
        <v>0.2273</v>
      </c>
      <c r="J405">
        <v>0.8</v>
      </c>
      <c r="K405">
        <v>0.1343</v>
      </c>
      <c r="L405">
        <v>1</v>
      </c>
      <c r="M405">
        <v>98</v>
      </c>
      <c r="N405">
        <v>99</v>
      </c>
    </row>
    <row r="406" spans="1:14" x14ac:dyDescent="0.3">
      <c r="A406">
        <v>405</v>
      </c>
      <c r="B406" s="1">
        <v>40561</v>
      </c>
      <c r="C406">
        <v>1</v>
      </c>
      <c r="D406">
        <v>20</v>
      </c>
      <c r="E406" t="b">
        <v>0</v>
      </c>
      <c r="F406">
        <v>2</v>
      </c>
      <c r="G406">
        <v>2</v>
      </c>
      <c r="H406">
        <v>0.22</v>
      </c>
      <c r="I406">
        <v>0.2727</v>
      </c>
      <c r="J406">
        <v>0.87</v>
      </c>
      <c r="K406">
        <v>0</v>
      </c>
      <c r="L406">
        <v>0</v>
      </c>
      <c r="M406">
        <v>83</v>
      </c>
      <c r="N406">
        <v>83</v>
      </c>
    </row>
    <row r="407" spans="1:14" x14ac:dyDescent="0.3">
      <c r="A407">
        <v>406</v>
      </c>
      <c r="B407" s="1">
        <v>40561</v>
      </c>
      <c r="C407">
        <v>1</v>
      </c>
      <c r="D407">
        <v>21</v>
      </c>
      <c r="E407" t="b">
        <v>0</v>
      </c>
      <c r="F407">
        <v>2</v>
      </c>
      <c r="G407">
        <v>2</v>
      </c>
      <c r="H407">
        <v>0.22</v>
      </c>
      <c r="I407">
        <v>0.2424</v>
      </c>
      <c r="J407">
        <v>0.93</v>
      </c>
      <c r="K407">
        <v>0.1045</v>
      </c>
      <c r="L407">
        <v>0</v>
      </c>
      <c r="M407">
        <v>41</v>
      </c>
      <c r="N407">
        <v>41</v>
      </c>
    </row>
    <row r="408" spans="1:14" x14ac:dyDescent="0.3">
      <c r="A408">
        <v>407</v>
      </c>
      <c r="B408" s="1">
        <v>40561</v>
      </c>
      <c r="C408">
        <v>1</v>
      </c>
      <c r="D408">
        <v>22</v>
      </c>
      <c r="E408" t="b">
        <v>0</v>
      </c>
      <c r="F408">
        <v>2</v>
      </c>
      <c r="G408">
        <v>2</v>
      </c>
      <c r="H408">
        <v>0.22</v>
      </c>
      <c r="I408">
        <v>0.2576</v>
      </c>
      <c r="J408">
        <v>0.93</v>
      </c>
      <c r="K408">
        <v>8.9599999999999999E-2</v>
      </c>
      <c r="L408">
        <v>0</v>
      </c>
      <c r="M408">
        <v>33</v>
      </c>
      <c r="N408">
        <v>33</v>
      </c>
    </row>
    <row r="409" spans="1:14" x14ac:dyDescent="0.3">
      <c r="A409">
        <v>408</v>
      </c>
      <c r="B409" s="1">
        <v>40561</v>
      </c>
      <c r="C409">
        <v>1</v>
      </c>
      <c r="D409">
        <v>23</v>
      </c>
      <c r="E409" t="b">
        <v>0</v>
      </c>
      <c r="F409">
        <v>2</v>
      </c>
      <c r="G409">
        <v>2</v>
      </c>
      <c r="H409">
        <v>0.22</v>
      </c>
      <c r="I409">
        <v>0.2727</v>
      </c>
      <c r="J409">
        <v>0.93</v>
      </c>
      <c r="K409">
        <v>0</v>
      </c>
      <c r="L409">
        <v>1</v>
      </c>
      <c r="M409">
        <v>19</v>
      </c>
      <c r="N409">
        <v>20</v>
      </c>
    </row>
    <row r="410" spans="1:14" x14ac:dyDescent="0.3">
      <c r="A410">
        <v>409</v>
      </c>
      <c r="B410" s="1">
        <v>40562</v>
      </c>
      <c r="C410">
        <v>1</v>
      </c>
      <c r="D410">
        <v>0</v>
      </c>
      <c r="E410" t="b">
        <v>0</v>
      </c>
      <c r="F410">
        <v>3</v>
      </c>
      <c r="G410">
        <v>2</v>
      </c>
      <c r="H410">
        <v>0.22</v>
      </c>
      <c r="I410">
        <v>0.2727</v>
      </c>
      <c r="J410">
        <v>0.93</v>
      </c>
      <c r="K410">
        <v>0</v>
      </c>
      <c r="L410">
        <v>0</v>
      </c>
      <c r="M410">
        <v>3</v>
      </c>
      <c r="N410">
        <v>3</v>
      </c>
    </row>
    <row r="411" spans="1:14" x14ac:dyDescent="0.3">
      <c r="A411">
        <v>410</v>
      </c>
      <c r="B411" s="1">
        <v>40562</v>
      </c>
      <c r="C411">
        <v>1</v>
      </c>
      <c r="D411">
        <v>1</v>
      </c>
      <c r="E411" t="b">
        <v>0</v>
      </c>
      <c r="F411">
        <v>3</v>
      </c>
      <c r="G411">
        <v>3</v>
      </c>
      <c r="H411">
        <v>0.22</v>
      </c>
      <c r="I411">
        <v>0.2273</v>
      </c>
      <c r="J411">
        <v>0.93</v>
      </c>
      <c r="K411">
        <v>0.1343</v>
      </c>
      <c r="L411">
        <v>1</v>
      </c>
      <c r="M411">
        <v>6</v>
      </c>
      <c r="N411">
        <v>7</v>
      </c>
    </row>
    <row r="412" spans="1:14" x14ac:dyDescent="0.3">
      <c r="A412">
        <v>411</v>
      </c>
      <c r="B412" s="1">
        <v>40562</v>
      </c>
      <c r="C412">
        <v>1</v>
      </c>
      <c r="D412">
        <v>2</v>
      </c>
      <c r="E412" t="b">
        <v>0</v>
      </c>
      <c r="F412">
        <v>3</v>
      </c>
      <c r="G412">
        <v>3</v>
      </c>
      <c r="H412">
        <v>0.22</v>
      </c>
      <c r="I412">
        <v>0.2273</v>
      </c>
      <c r="J412">
        <v>0.93</v>
      </c>
      <c r="K412">
        <v>0.1343</v>
      </c>
      <c r="L412">
        <v>0</v>
      </c>
      <c r="M412">
        <v>3</v>
      </c>
      <c r="N412">
        <v>3</v>
      </c>
    </row>
    <row r="413" spans="1:14" x14ac:dyDescent="0.3">
      <c r="A413">
        <v>412</v>
      </c>
      <c r="B413" s="1">
        <v>40562</v>
      </c>
      <c r="C413">
        <v>1</v>
      </c>
      <c r="D413">
        <v>4</v>
      </c>
      <c r="E413" t="b">
        <v>0</v>
      </c>
      <c r="F413">
        <v>3</v>
      </c>
      <c r="G413">
        <v>3</v>
      </c>
      <c r="H413">
        <v>0.22</v>
      </c>
      <c r="I413">
        <v>0.2273</v>
      </c>
      <c r="J413">
        <v>0.93</v>
      </c>
      <c r="K413">
        <v>0.1343</v>
      </c>
      <c r="L413">
        <v>1</v>
      </c>
      <c r="M413">
        <v>1</v>
      </c>
      <c r="N413">
        <v>2</v>
      </c>
    </row>
    <row r="414" spans="1:14" x14ac:dyDescent="0.3">
      <c r="A414">
        <v>413</v>
      </c>
      <c r="B414" s="1">
        <v>40562</v>
      </c>
      <c r="C414">
        <v>1</v>
      </c>
      <c r="D414">
        <v>5</v>
      </c>
      <c r="E414" t="b">
        <v>0</v>
      </c>
      <c r="F414">
        <v>3</v>
      </c>
      <c r="G414">
        <v>2</v>
      </c>
      <c r="H414">
        <v>0.22</v>
      </c>
      <c r="I414">
        <v>0.2576</v>
      </c>
      <c r="J414">
        <v>0.93</v>
      </c>
      <c r="K414">
        <v>8.9599999999999999E-2</v>
      </c>
      <c r="L414">
        <v>0</v>
      </c>
      <c r="M414">
        <v>7</v>
      </c>
      <c r="N414">
        <v>7</v>
      </c>
    </row>
    <row r="415" spans="1:14" x14ac:dyDescent="0.3">
      <c r="A415">
        <v>414</v>
      </c>
      <c r="B415" s="1">
        <v>40562</v>
      </c>
      <c r="C415">
        <v>1</v>
      </c>
      <c r="D415">
        <v>6</v>
      </c>
      <c r="E415" t="b">
        <v>0</v>
      </c>
      <c r="F415">
        <v>3</v>
      </c>
      <c r="G415">
        <v>2</v>
      </c>
      <c r="H415">
        <v>0.22</v>
      </c>
      <c r="I415">
        <v>0.2576</v>
      </c>
      <c r="J415">
        <v>0.93</v>
      </c>
      <c r="K415">
        <v>8.9599999999999999E-2</v>
      </c>
      <c r="L415">
        <v>0</v>
      </c>
      <c r="M415">
        <v>32</v>
      </c>
      <c r="N415">
        <v>32</v>
      </c>
    </row>
    <row r="416" spans="1:14" x14ac:dyDescent="0.3">
      <c r="A416">
        <v>415</v>
      </c>
      <c r="B416" s="1">
        <v>40562</v>
      </c>
      <c r="C416">
        <v>1</v>
      </c>
      <c r="D416">
        <v>7</v>
      </c>
      <c r="E416" t="b">
        <v>0</v>
      </c>
      <c r="F416">
        <v>3</v>
      </c>
      <c r="G416">
        <v>2</v>
      </c>
      <c r="H416">
        <v>0.24</v>
      </c>
      <c r="I416">
        <v>0.2576</v>
      </c>
      <c r="J416">
        <v>0.92</v>
      </c>
      <c r="K416">
        <v>0.1045</v>
      </c>
      <c r="L416">
        <v>1</v>
      </c>
      <c r="M416">
        <v>89</v>
      </c>
      <c r="N416">
        <v>90</v>
      </c>
    </row>
    <row r="417" spans="1:14" x14ac:dyDescent="0.3">
      <c r="A417">
        <v>416</v>
      </c>
      <c r="B417" s="1">
        <v>40562</v>
      </c>
      <c r="C417">
        <v>1</v>
      </c>
      <c r="D417">
        <v>8</v>
      </c>
      <c r="E417" t="b">
        <v>0</v>
      </c>
      <c r="F417">
        <v>3</v>
      </c>
      <c r="G417">
        <v>2</v>
      </c>
      <c r="H417">
        <v>0.24</v>
      </c>
      <c r="I417">
        <v>0.2576</v>
      </c>
      <c r="J417">
        <v>0.93</v>
      </c>
      <c r="K417">
        <v>0.1045</v>
      </c>
      <c r="L417">
        <v>1</v>
      </c>
      <c r="M417">
        <v>196</v>
      </c>
      <c r="N417">
        <v>197</v>
      </c>
    </row>
    <row r="418" spans="1:14" x14ac:dyDescent="0.3">
      <c r="A418">
        <v>417</v>
      </c>
      <c r="B418" s="1">
        <v>40562</v>
      </c>
      <c r="C418">
        <v>1</v>
      </c>
      <c r="D418">
        <v>9</v>
      </c>
      <c r="E418" t="b">
        <v>0</v>
      </c>
      <c r="F418">
        <v>3</v>
      </c>
      <c r="G418">
        <v>2</v>
      </c>
      <c r="H418">
        <v>0.24</v>
      </c>
      <c r="I418">
        <v>0.2576</v>
      </c>
      <c r="J418">
        <v>0.93</v>
      </c>
      <c r="K418">
        <v>0.1045</v>
      </c>
      <c r="L418">
        <v>2</v>
      </c>
      <c r="M418">
        <v>107</v>
      </c>
      <c r="N418">
        <v>109</v>
      </c>
    </row>
    <row r="419" spans="1:14" x14ac:dyDescent="0.3">
      <c r="A419">
        <v>418</v>
      </c>
      <c r="B419" s="1">
        <v>40562</v>
      </c>
      <c r="C419">
        <v>1</v>
      </c>
      <c r="D419">
        <v>10</v>
      </c>
      <c r="E419" t="b">
        <v>0</v>
      </c>
      <c r="F419">
        <v>3</v>
      </c>
      <c r="G419">
        <v>2</v>
      </c>
      <c r="H419">
        <v>0.26</v>
      </c>
      <c r="I419">
        <v>0.2727</v>
      </c>
      <c r="J419">
        <v>0.93</v>
      </c>
      <c r="K419">
        <v>0.1343</v>
      </c>
      <c r="L419">
        <v>1</v>
      </c>
      <c r="M419">
        <v>46</v>
      </c>
      <c r="N419">
        <v>47</v>
      </c>
    </row>
    <row r="420" spans="1:14" x14ac:dyDescent="0.3">
      <c r="A420">
        <v>419</v>
      </c>
      <c r="B420" s="1">
        <v>40562</v>
      </c>
      <c r="C420">
        <v>1</v>
      </c>
      <c r="D420">
        <v>11</v>
      </c>
      <c r="E420" t="b">
        <v>0</v>
      </c>
      <c r="F420">
        <v>3</v>
      </c>
      <c r="G420">
        <v>2</v>
      </c>
      <c r="H420">
        <v>0.28000000000000003</v>
      </c>
      <c r="I420">
        <v>0.30299999999999999</v>
      </c>
      <c r="J420">
        <v>0.87</v>
      </c>
      <c r="K420">
        <v>8.9599999999999999E-2</v>
      </c>
      <c r="L420">
        <v>5</v>
      </c>
      <c r="M420">
        <v>47</v>
      </c>
      <c r="N420">
        <v>52</v>
      </c>
    </row>
    <row r="421" spans="1:14" x14ac:dyDescent="0.3">
      <c r="A421">
        <v>420</v>
      </c>
      <c r="B421" s="1">
        <v>40562</v>
      </c>
      <c r="C421">
        <v>1</v>
      </c>
      <c r="D421">
        <v>12</v>
      </c>
      <c r="E421" t="b">
        <v>0</v>
      </c>
      <c r="F421">
        <v>3</v>
      </c>
      <c r="G421">
        <v>2</v>
      </c>
      <c r="H421">
        <v>0.3</v>
      </c>
      <c r="I421">
        <v>0.31819999999999998</v>
      </c>
      <c r="J421">
        <v>0.81</v>
      </c>
      <c r="K421">
        <v>8.9599999999999999E-2</v>
      </c>
      <c r="L421">
        <v>5</v>
      </c>
      <c r="M421">
        <v>65</v>
      </c>
      <c r="N421">
        <v>70</v>
      </c>
    </row>
    <row r="422" spans="1:14" x14ac:dyDescent="0.3">
      <c r="A422">
        <v>421</v>
      </c>
      <c r="B422" s="1">
        <v>40562</v>
      </c>
      <c r="C422">
        <v>1</v>
      </c>
      <c r="D422">
        <v>13</v>
      </c>
      <c r="E422" t="b">
        <v>0</v>
      </c>
      <c r="F422">
        <v>3</v>
      </c>
      <c r="G422">
        <v>1</v>
      </c>
      <c r="H422">
        <v>0.4</v>
      </c>
      <c r="I422">
        <v>0.40910000000000002</v>
      </c>
      <c r="J422">
        <v>0.62</v>
      </c>
      <c r="K422">
        <v>0.28360000000000002</v>
      </c>
      <c r="L422">
        <v>11</v>
      </c>
      <c r="M422">
        <v>67</v>
      </c>
      <c r="N422">
        <v>78</v>
      </c>
    </row>
    <row r="423" spans="1:14" x14ac:dyDescent="0.3">
      <c r="A423">
        <v>422</v>
      </c>
      <c r="B423" s="1">
        <v>40562</v>
      </c>
      <c r="C423">
        <v>1</v>
      </c>
      <c r="D423">
        <v>14</v>
      </c>
      <c r="E423" t="b">
        <v>0</v>
      </c>
      <c r="F423">
        <v>3</v>
      </c>
      <c r="G423">
        <v>1</v>
      </c>
      <c r="H423">
        <v>0.4</v>
      </c>
      <c r="I423">
        <v>0.40910000000000002</v>
      </c>
      <c r="J423">
        <v>0.57999999999999996</v>
      </c>
      <c r="K423">
        <v>0.25369999999999998</v>
      </c>
      <c r="L423">
        <v>7</v>
      </c>
      <c r="M423">
        <v>68</v>
      </c>
      <c r="N423">
        <v>75</v>
      </c>
    </row>
    <row r="424" spans="1:14" x14ac:dyDescent="0.3">
      <c r="A424">
        <v>423</v>
      </c>
      <c r="B424" s="1">
        <v>40562</v>
      </c>
      <c r="C424">
        <v>1</v>
      </c>
      <c r="D424">
        <v>15</v>
      </c>
      <c r="E424" t="b">
        <v>0</v>
      </c>
      <c r="F424">
        <v>3</v>
      </c>
      <c r="G424">
        <v>1</v>
      </c>
      <c r="H424">
        <v>0.4</v>
      </c>
      <c r="I424">
        <v>0.40910000000000002</v>
      </c>
      <c r="J424">
        <v>0.54</v>
      </c>
      <c r="K424">
        <v>0.28360000000000002</v>
      </c>
      <c r="L424">
        <v>4</v>
      </c>
      <c r="M424">
        <v>78</v>
      </c>
      <c r="N424">
        <v>82</v>
      </c>
    </row>
    <row r="425" spans="1:14" x14ac:dyDescent="0.3">
      <c r="A425">
        <v>424</v>
      </c>
      <c r="B425" s="1">
        <v>40562</v>
      </c>
      <c r="C425">
        <v>1</v>
      </c>
      <c r="D425">
        <v>16</v>
      </c>
      <c r="E425" t="b">
        <v>0</v>
      </c>
      <c r="F425">
        <v>3</v>
      </c>
      <c r="G425">
        <v>1</v>
      </c>
      <c r="H425">
        <v>0.38</v>
      </c>
      <c r="I425">
        <v>0.39389999999999997</v>
      </c>
      <c r="J425">
        <v>0.57999999999999996</v>
      </c>
      <c r="K425">
        <v>0.3881</v>
      </c>
      <c r="L425">
        <v>10</v>
      </c>
      <c r="M425">
        <v>94</v>
      </c>
      <c r="N425">
        <v>104</v>
      </c>
    </row>
    <row r="426" spans="1:14" x14ac:dyDescent="0.3">
      <c r="A426">
        <v>425</v>
      </c>
      <c r="B426" s="1">
        <v>40562</v>
      </c>
      <c r="C426">
        <v>1</v>
      </c>
      <c r="D426">
        <v>17</v>
      </c>
      <c r="E426" t="b">
        <v>0</v>
      </c>
      <c r="F426">
        <v>3</v>
      </c>
      <c r="G426">
        <v>1</v>
      </c>
      <c r="H426">
        <v>0.36</v>
      </c>
      <c r="I426">
        <v>0.33329999999999999</v>
      </c>
      <c r="J426">
        <v>0.56999999999999995</v>
      </c>
      <c r="K426">
        <v>0.32840000000000003</v>
      </c>
      <c r="L426">
        <v>7</v>
      </c>
      <c r="M426">
        <v>190</v>
      </c>
      <c r="N426">
        <v>197</v>
      </c>
    </row>
    <row r="427" spans="1:14" x14ac:dyDescent="0.3">
      <c r="A427">
        <v>426</v>
      </c>
      <c r="B427" s="1">
        <v>40562</v>
      </c>
      <c r="C427">
        <v>1</v>
      </c>
      <c r="D427">
        <v>18</v>
      </c>
      <c r="E427" t="b">
        <v>0</v>
      </c>
      <c r="F427">
        <v>3</v>
      </c>
      <c r="G427">
        <v>1</v>
      </c>
      <c r="H427">
        <v>0.34</v>
      </c>
      <c r="I427">
        <v>0.31819999999999998</v>
      </c>
      <c r="J427">
        <v>0.61</v>
      </c>
      <c r="K427">
        <v>0.28360000000000002</v>
      </c>
      <c r="L427">
        <v>5</v>
      </c>
      <c r="M427">
        <v>156</v>
      </c>
      <c r="N427">
        <v>161</v>
      </c>
    </row>
    <row r="428" spans="1:14" x14ac:dyDescent="0.3">
      <c r="A428">
        <v>427</v>
      </c>
      <c r="B428" s="1">
        <v>40562</v>
      </c>
      <c r="C428">
        <v>1</v>
      </c>
      <c r="D428">
        <v>19</v>
      </c>
      <c r="E428" t="b">
        <v>0</v>
      </c>
      <c r="F428">
        <v>3</v>
      </c>
      <c r="G428">
        <v>1</v>
      </c>
      <c r="H428">
        <v>0.32</v>
      </c>
      <c r="I428">
        <v>0.28789999999999999</v>
      </c>
      <c r="J428">
        <v>0.56999999999999995</v>
      </c>
      <c r="K428">
        <v>0.41789999999999999</v>
      </c>
      <c r="L428">
        <v>4</v>
      </c>
      <c r="M428">
        <v>108</v>
      </c>
      <c r="N428">
        <v>112</v>
      </c>
    </row>
    <row r="429" spans="1:14" x14ac:dyDescent="0.3">
      <c r="A429">
        <v>428</v>
      </c>
      <c r="B429" s="1">
        <v>40562</v>
      </c>
      <c r="C429">
        <v>1</v>
      </c>
      <c r="D429">
        <v>20</v>
      </c>
      <c r="E429" t="b">
        <v>0</v>
      </c>
      <c r="F429">
        <v>3</v>
      </c>
      <c r="G429">
        <v>1</v>
      </c>
      <c r="H429">
        <v>0.32</v>
      </c>
      <c r="I429">
        <v>0.30299999999999999</v>
      </c>
      <c r="J429">
        <v>0.49</v>
      </c>
      <c r="K429">
        <v>0.29849999999999999</v>
      </c>
      <c r="L429">
        <v>2</v>
      </c>
      <c r="M429">
        <v>74</v>
      </c>
      <c r="N429">
        <v>76</v>
      </c>
    </row>
    <row r="430" spans="1:14" x14ac:dyDescent="0.3">
      <c r="A430">
        <v>429</v>
      </c>
      <c r="B430" s="1">
        <v>40562</v>
      </c>
      <c r="C430">
        <v>1</v>
      </c>
      <c r="D430">
        <v>21</v>
      </c>
      <c r="E430" t="b">
        <v>0</v>
      </c>
      <c r="F430">
        <v>3</v>
      </c>
      <c r="G430">
        <v>1</v>
      </c>
      <c r="H430">
        <v>0.32</v>
      </c>
      <c r="I430">
        <v>0.28789999999999999</v>
      </c>
      <c r="J430">
        <v>0.49</v>
      </c>
      <c r="K430">
        <v>0.41789999999999999</v>
      </c>
      <c r="L430">
        <v>4</v>
      </c>
      <c r="M430">
        <v>55</v>
      </c>
      <c r="N430">
        <v>59</v>
      </c>
    </row>
    <row r="431" spans="1:14" x14ac:dyDescent="0.3">
      <c r="A431">
        <v>430</v>
      </c>
      <c r="B431" s="1">
        <v>40562</v>
      </c>
      <c r="C431">
        <v>1</v>
      </c>
      <c r="D431">
        <v>22</v>
      </c>
      <c r="E431" t="b">
        <v>0</v>
      </c>
      <c r="F431">
        <v>3</v>
      </c>
      <c r="G431">
        <v>1</v>
      </c>
      <c r="H431">
        <v>0.3</v>
      </c>
      <c r="I431">
        <v>0.30299999999999999</v>
      </c>
      <c r="J431">
        <v>0.52</v>
      </c>
      <c r="K431">
        <v>0.16420000000000001</v>
      </c>
      <c r="L431">
        <v>6</v>
      </c>
      <c r="M431">
        <v>53</v>
      </c>
      <c r="N431">
        <v>59</v>
      </c>
    </row>
    <row r="432" spans="1:14" x14ac:dyDescent="0.3">
      <c r="A432">
        <v>431</v>
      </c>
      <c r="B432" s="1">
        <v>40562</v>
      </c>
      <c r="C432">
        <v>1</v>
      </c>
      <c r="D432">
        <v>23</v>
      </c>
      <c r="E432" t="b">
        <v>0</v>
      </c>
      <c r="F432">
        <v>3</v>
      </c>
      <c r="G432">
        <v>1</v>
      </c>
      <c r="H432">
        <v>0.3</v>
      </c>
      <c r="I432">
        <v>0.2727</v>
      </c>
      <c r="J432">
        <v>0.52</v>
      </c>
      <c r="K432">
        <v>0.4627</v>
      </c>
      <c r="L432">
        <v>1</v>
      </c>
      <c r="M432">
        <v>27</v>
      </c>
      <c r="N432">
        <v>28</v>
      </c>
    </row>
    <row r="433" spans="1:14" x14ac:dyDescent="0.3">
      <c r="A433">
        <v>432</v>
      </c>
      <c r="B433" s="1">
        <v>40563</v>
      </c>
      <c r="C433">
        <v>1</v>
      </c>
      <c r="D433">
        <v>0</v>
      </c>
      <c r="E433" t="b">
        <v>0</v>
      </c>
      <c r="F433">
        <v>4</v>
      </c>
      <c r="G433">
        <v>1</v>
      </c>
      <c r="H433">
        <v>0.26</v>
      </c>
      <c r="I433">
        <v>0.2273</v>
      </c>
      <c r="J433">
        <v>0.56000000000000005</v>
      </c>
      <c r="K433">
        <v>0.3881</v>
      </c>
      <c r="L433">
        <v>5</v>
      </c>
      <c r="M433">
        <v>8</v>
      </c>
      <c r="N433">
        <v>13</v>
      </c>
    </row>
    <row r="434" spans="1:14" x14ac:dyDescent="0.3">
      <c r="A434">
        <v>433</v>
      </c>
      <c r="B434" s="1">
        <v>40563</v>
      </c>
      <c r="C434">
        <v>1</v>
      </c>
      <c r="D434">
        <v>1</v>
      </c>
      <c r="E434" t="b">
        <v>0</v>
      </c>
      <c r="F434">
        <v>4</v>
      </c>
      <c r="G434">
        <v>1</v>
      </c>
      <c r="H434">
        <v>0.26</v>
      </c>
      <c r="I434">
        <v>0.2727</v>
      </c>
      <c r="J434">
        <v>0.56000000000000005</v>
      </c>
      <c r="K434">
        <v>0</v>
      </c>
      <c r="L434">
        <v>2</v>
      </c>
      <c r="M434">
        <v>3</v>
      </c>
      <c r="N434">
        <v>5</v>
      </c>
    </row>
    <row r="435" spans="1:14" x14ac:dyDescent="0.3">
      <c r="A435">
        <v>434</v>
      </c>
      <c r="B435" s="1">
        <v>40563</v>
      </c>
      <c r="C435">
        <v>1</v>
      </c>
      <c r="D435">
        <v>2</v>
      </c>
      <c r="E435" t="b">
        <v>0</v>
      </c>
      <c r="F435">
        <v>4</v>
      </c>
      <c r="G435">
        <v>1</v>
      </c>
      <c r="H435">
        <v>0.26</v>
      </c>
      <c r="I435">
        <v>0.2727</v>
      </c>
      <c r="J435">
        <v>0.56000000000000005</v>
      </c>
      <c r="K435">
        <v>0</v>
      </c>
      <c r="L435">
        <v>0</v>
      </c>
      <c r="M435">
        <v>2</v>
      </c>
      <c r="N435">
        <v>2</v>
      </c>
    </row>
    <row r="436" spans="1:14" x14ac:dyDescent="0.3">
      <c r="A436">
        <v>435</v>
      </c>
      <c r="B436" s="1">
        <v>40563</v>
      </c>
      <c r="C436">
        <v>1</v>
      </c>
      <c r="D436">
        <v>3</v>
      </c>
      <c r="E436" t="b">
        <v>0</v>
      </c>
      <c r="F436">
        <v>4</v>
      </c>
      <c r="G436">
        <v>1</v>
      </c>
      <c r="H436">
        <v>0.26</v>
      </c>
      <c r="I436">
        <v>0.2576</v>
      </c>
      <c r="J436">
        <v>0.56000000000000005</v>
      </c>
      <c r="K436">
        <v>0.16420000000000001</v>
      </c>
      <c r="L436">
        <v>0</v>
      </c>
      <c r="M436">
        <v>1</v>
      </c>
      <c r="N436">
        <v>1</v>
      </c>
    </row>
    <row r="437" spans="1:14" x14ac:dyDescent="0.3">
      <c r="A437">
        <v>436</v>
      </c>
      <c r="B437" s="1">
        <v>40563</v>
      </c>
      <c r="C437">
        <v>1</v>
      </c>
      <c r="D437">
        <v>4</v>
      </c>
      <c r="E437" t="b">
        <v>0</v>
      </c>
      <c r="F437">
        <v>4</v>
      </c>
      <c r="G437">
        <v>1</v>
      </c>
      <c r="H437">
        <v>0.26</v>
      </c>
      <c r="I437">
        <v>0.2576</v>
      </c>
      <c r="J437">
        <v>0.56000000000000005</v>
      </c>
      <c r="K437">
        <v>0.16420000000000001</v>
      </c>
      <c r="L437">
        <v>0</v>
      </c>
      <c r="M437">
        <v>1</v>
      </c>
      <c r="N437">
        <v>1</v>
      </c>
    </row>
    <row r="438" spans="1:14" x14ac:dyDescent="0.3">
      <c r="A438">
        <v>437</v>
      </c>
      <c r="B438" s="1">
        <v>40563</v>
      </c>
      <c r="C438">
        <v>1</v>
      </c>
      <c r="D438">
        <v>5</v>
      </c>
      <c r="E438" t="b">
        <v>0</v>
      </c>
      <c r="F438">
        <v>4</v>
      </c>
      <c r="G438">
        <v>1</v>
      </c>
      <c r="H438">
        <v>0.24</v>
      </c>
      <c r="I438">
        <v>0.2273</v>
      </c>
      <c r="J438">
        <v>0.6</v>
      </c>
      <c r="K438">
        <v>0.22389999999999999</v>
      </c>
      <c r="L438">
        <v>0</v>
      </c>
      <c r="M438">
        <v>6</v>
      </c>
      <c r="N438">
        <v>6</v>
      </c>
    </row>
    <row r="439" spans="1:14" x14ac:dyDescent="0.3">
      <c r="A439">
        <v>438</v>
      </c>
      <c r="B439" s="1">
        <v>40563</v>
      </c>
      <c r="C439">
        <v>1</v>
      </c>
      <c r="D439">
        <v>6</v>
      </c>
      <c r="E439" t="b">
        <v>0</v>
      </c>
      <c r="F439">
        <v>4</v>
      </c>
      <c r="G439">
        <v>1</v>
      </c>
      <c r="H439">
        <v>0.22</v>
      </c>
      <c r="I439">
        <v>0.21210000000000001</v>
      </c>
      <c r="J439">
        <v>0.6</v>
      </c>
      <c r="K439">
        <v>0.22389999999999999</v>
      </c>
      <c r="L439">
        <v>0</v>
      </c>
      <c r="M439">
        <v>35</v>
      </c>
      <c r="N439">
        <v>35</v>
      </c>
    </row>
    <row r="440" spans="1:14" x14ac:dyDescent="0.3">
      <c r="A440">
        <v>439</v>
      </c>
      <c r="B440" s="1">
        <v>40563</v>
      </c>
      <c r="C440">
        <v>1</v>
      </c>
      <c r="D440">
        <v>7</v>
      </c>
      <c r="E440" t="b">
        <v>0</v>
      </c>
      <c r="F440">
        <v>4</v>
      </c>
      <c r="G440">
        <v>1</v>
      </c>
      <c r="H440">
        <v>0.22</v>
      </c>
      <c r="I440">
        <v>0.21210000000000001</v>
      </c>
      <c r="J440">
        <v>0.55000000000000004</v>
      </c>
      <c r="K440">
        <v>0.22389999999999999</v>
      </c>
      <c r="L440">
        <v>1</v>
      </c>
      <c r="M440">
        <v>100</v>
      </c>
      <c r="N440">
        <v>101</v>
      </c>
    </row>
    <row r="441" spans="1:14" x14ac:dyDescent="0.3">
      <c r="A441">
        <v>440</v>
      </c>
      <c r="B441" s="1">
        <v>40563</v>
      </c>
      <c r="C441">
        <v>1</v>
      </c>
      <c r="D441">
        <v>8</v>
      </c>
      <c r="E441" t="b">
        <v>0</v>
      </c>
      <c r="F441">
        <v>4</v>
      </c>
      <c r="G441">
        <v>1</v>
      </c>
      <c r="H441">
        <v>0.22</v>
      </c>
      <c r="I441">
        <v>0.21210000000000001</v>
      </c>
      <c r="J441">
        <v>0.55000000000000004</v>
      </c>
      <c r="K441">
        <v>0.28360000000000002</v>
      </c>
      <c r="L441">
        <v>2</v>
      </c>
      <c r="M441">
        <v>247</v>
      </c>
      <c r="N441">
        <v>249</v>
      </c>
    </row>
    <row r="442" spans="1:14" x14ac:dyDescent="0.3">
      <c r="A442">
        <v>441</v>
      </c>
      <c r="B442" s="1">
        <v>40563</v>
      </c>
      <c r="C442">
        <v>1</v>
      </c>
      <c r="D442">
        <v>9</v>
      </c>
      <c r="E442" t="b">
        <v>0</v>
      </c>
      <c r="F442">
        <v>4</v>
      </c>
      <c r="G442">
        <v>2</v>
      </c>
      <c r="H442">
        <v>0.24</v>
      </c>
      <c r="I442">
        <v>0.2273</v>
      </c>
      <c r="J442">
        <v>0.52</v>
      </c>
      <c r="K442">
        <v>0.22389999999999999</v>
      </c>
      <c r="L442">
        <v>3</v>
      </c>
      <c r="M442">
        <v>140</v>
      </c>
      <c r="N442">
        <v>143</v>
      </c>
    </row>
    <row r="443" spans="1:14" x14ac:dyDescent="0.3">
      <c r="A443">
        <v>442</v>
      </c>
      <c r="B443" s="1">
        <v>40563</v>
      </c>
      <c r="C443">
        <v>1</v>
      </c>
      <c r="D443">
        <v>10</v>
      </c>
      <c r="E443" t="b">
        <v>0</v>
      </c>
      <c r="F443">
        <v>4</v>
      </c>
      <c r="G443">
        <v>1</v>
      </c>
      <c r="H443">
        <v>0.26</v>
      </c>
      <c r="I443">
        <v>0.2273</v>
      </c>
      <c r="J443">
        <v>0.48</v>
      </c>
      <c r="K443">
        <v>0.29849999999999999</v>
      </c>
      <c r="L443">
        <v>1</v>
      </c>
      <c r="M443">
        <v>56</v>
      </c>
      <c r="N443">
        <v>57</v>
      </c>
    </row>
    <row r="444" spans="1:14" x14ac:dyDescent="0.3">
      <c r="A444">
        <v>443</v>
      </c>
      <c r="B444" s="1">
        <v>40563</v>
      </c>
      <c r="C444">
        <v>1</v>
      </c>
      <c r="D444">
        <v>11</v>
      </c>
      <c r="E444" t="b">
        <v>0</v>
      </c>
      <c r="F444">
        <v>4</v>
      </c>
      <c r="G444">
        <v>2</v>
      </c>
      <c r="H444">
        <v>0.28000000000000003</v>
      </c>
      <c r="I444">
        <v>0.2727</v>
      </c>
      <c r="J444">
        <v>0.45</v>
      </c>
      <c r="K444">
        <v>0.16420000000000001</v>
      </c>
      <c r="L444">
        <v>5</v>
      </c>
      <c r="M444">
        <v>63</v>
      </c>
      <c r="N444">
        <v>68</v>
      </c>
    </row>
    <row r="445" spans="1:14" x14ac:dyDescent="0.3">
      <c r="A445">
        <v>444</v>
      </c>
      <c r="B445" s="1">
        <v>40563</v>
      </c>
      <c r="C445">
        <v>1</v>
      </c>
      <c r="D445">
        <v>12</v>
      </c>
      <c r="E445" t="b">
        <v>0</v>
      </c>
      <c r="F445">
        <v>4</v>
      </c>
      <c r="G445">
        <v>2</v>
      </c>
      <c r="H445">
        <v>0.3</v>
      </c>
      <c r="I445">
        <v>0.33329999999999999</v>
      </c>
      <c r="J445">
        <v>0.42</v>
      </c>
      <c r="K445">
        <v>0</v>
      </c>
      <c r="L445">
        <v>7</v>
      </c>
      <c r="M445">
        <v>77</v>
      </c>
      <c r="N445">
        <v>84</v>
      </c>
    </row>
    <row r="446" spans="1:14" x14ac:dyDescent="0.3">
      <c r="A446">
        <v>445</v>
      </c>
      <c r="B446" s="1">
        <v>40563</v>
      </c>
      <c r="C446">
        <v>1</v>
      </c>
      <c r="D446">
        <v>13</v>
      </c>
      <c r="E446" t="b">
        <v>0</v>
      </c>
      <c r="F446">
        <v>4</v>
      </c>
      <c r="G446">
        <v>2</v>
      </c>
      <c r="H446">
        <v>0.28000000000000003</v>
      </c>
      <c r="I446">
        <v>0.28789999999999999</v>
      </c>
      <c r="J446">
        <v>0.45</v>
      </c>
      <c r="K446">
        <v>0.1045</v>
      </c>
      <c r="L446">
        <v>12</v>
      </c>
      <c r="M446">
        <v>86</v>
      </c>
      <c r="N446">
        <v>98</v>
      </c>
    </row>
    <row r="447" spans="1:14" x14ac:dyDescent="0.3">
      <c r="A447">
        <v>446</v>
      </c>
      <c r="B447" s="1">
        <v>40563</v>
      </c>
      <c r="C447">
        <v>1</v>
      </c>
      <c r="D447">
        <v>14</v>
      </c>
      <c r="E447" t="b">
        <v>0</v>
      </c>
      <c r="F447">
        <v>4</v>
      </c>
      <c r="G447">
        <v>2</v>
      </c>
      <c r="H447">
        <v>0.3</v>
      </c>
      <c r="I447">
        <v>0.30299999999999999</v>
      </c>
      <c r="J447">
        <v>0.45</v>
      </c>
      <c r="K447">
        <v>0.1343</v>
      </c>
      <c r="L447">
        <v>6</v>
      </c>
      <c r="M447">
        <v>75</v>
      </c>
      <c r="N447">
        <v>81</v>
      </c>
    </row>
    <row r="448" spans="1:14" x14ac:dyDescent="0.3">
      <c r="A448">
        <v>447</v>
      </c>
      <c r="B448" s="1">
        <v>40563</v>
      </c>
      <c r="C448">
        <v>1</v>
      </c>
      <c r="D448">
        <v>15</v>
      </c>
      <c r="E448" t="b">
        <v>0</v>
      </c>
      <c r="F448">
        <v>4</v>
      </c>
      <c r="G448">
        <v>2</v>
      </c>
      <c r="H448">
        <v>0.32</v>
      </c>
      <c r="I448">
        <v>0.31819999999999998</v>
      </c>
      <c r="J448">
        <v>0.45</v>
      </c>
      <c r="K448">
        <v>0.19400000000000001</v>
      </c>
      <c r="L448">
        <v>8</v>
      </c>
      <c r="M448">
        <v>62</v>
      </c>
      <c r="N448">
        <v>70</v>
      </c>
    </row>
    <row r="449" spans="1:14" x14ac:dyDescent="0.3">
      <c r="A449">
        <v>448</v>
      </c>
      <c r="B449" s="1">
        <v>40563</v>
      </c>
      <c r="C449">
        <v>1</v>
      </c>
      <c r="D449">
        <v>16</v>
      </c>
      <c r="E449" t="b">
        <v>0</v>
      </c>
      <c r="F449">
        <v>4</v>
      </c>
      <c r="G449">
        <v>2</v>
      </c>
      <c r="H449">
        <v>0.3</v>
      </c>
      <c r="I449">
        <v>0.30299999999999999</v>
      </c>
      <c r="J449">
        <v>0.49</v>
      </c>
      <c r="K449">
        <v>0.1343</v>
      </c>
      <c r="L449">
        <v>8</v>
      </c>
      <c r="M449">
        <v>83</v>
      </c>
      <c r="N449">
        <v>91</v>
      </c>
    </row>
    <row r="450" spans="1:14" x14ac:dyDescent="0.3">
      <c r="A450">
        <v>449</v>
      </c>
      <c r="B450" s="1">
        <v>40563</v>
      </c>
      <c r="C450">
        <v>1</v>
      </c>
      <c r="D450">
        <v>17</v>
      </c>
      <c r="E450" t="b">
        <v>0</v>
      </c>
      <c r="F450">
        <v>4</v>
      </c>
      <c r="G450">
        <v>2</v>
      </c>
      <c r="H450">
        <v>0.3</v>
      </c>
      <c r="I450">
        <v>0.31819999999999998</v>
      </c>
      <c r="J450">
        <v>0.49</v>
      </c>
      <c r="K450">
        <v>0.1045</v>
      </c>
      <c r="L450">
        <v>8</v>
      </c>
      <c r="M450">
        <v>207</v>
      </c>
      <c r="N450">
        <v>215</v>
      </c>
    </row>
    <row r="451" spans="1:14" x14ac:dyDescent="0.3">
      <c r="A451">
        <v>450</v>
      </c>
      <c r="B451" s="1">
        <v>40563</v>
      </c>
      <c r="C451">
        <v>1</v>
      </c>
      <c r="D451">
        <v>18</v>
      </c>
      <c r="E451" t="b">
        <v>0</v>
      </c>
      <c r="F451">
        <v>4</v>
      </c>
      <c r="G451">
        <v>2</v>
      </c>
      <c r="H451">
        <v>0.26</v>
      </c>
      <c r="I451">
        <v>0.2576</v>
      </c>
      <c r="J451">
        <v>0.56000000000000005</v>
      </c>
      <c r="K451">
        <v>0.19400000000000001</v>
      </c>
      <c r="L451">
        <v>1</v>
      </c>
      <c r="M451">
        <v>184</v>
      </c>
      <c r="N451">
        <v>185</v>
      </c>
    </row>
    <row r="452" spans="1:14" x14ac:dyDescent="0.3">
      <c r="A452">
        <v>451</v>
      </c>
      <c r="B452" s="1">
        <v>40563</v>
      </c>
      <c r="C452">
        <v>1</v>
      </c>
      <c r="D452">
        <v>19</v>
      </c>
      <c r="E452" t="b">
        <v>0</v>
      </c>
      <c r="F452">
        <v>4</v>
      </c>
      <c r="G452">
        <v>1</v>
      </c>
      <c r="H452">
        <v>0.26</v>
      </c>
      <c r="I452">
        <v>0.2273</v>
      </c>
      <c r="J452">
        <v>0.56000000000000005</v>
      </c>
      <c r="K452">
        <v>0.32840000000000003</v>
      </c>
      <c r="L452">
        <v>6</v>
      </c>
      <c r="M452">
        <v>146</v>
      </c>
      <c r="N452">
        <v>152</v>
      </c>
    </row>
    <row r="453" spans="1:14" x14ac:dyDescent="0.3">
      <c r="A453">
        <v>452</v>
      </c>
      <c r="B453" s="1">
        <v>40563</v>
      </c>
      <c r="C453">
        <v>1</v>
      </c>
      <c r="D453">
        <v>20</v>
      </c>
      <c r="E453" t="b">
        <v>0</v>
      </c>
      <c r="F453">
        <v>4</v>
      </c>
      <c r="G453">
        <v>2</v>
      </c>
      <c r="H453">
        <v>0.26</v>
      </c>
      <c r="I453">
        <v>0.2424</v>
      </c>
      <c r="J453">
        <v>0.6</v>
      </c>
      <c r="K453">
        <v>0.28360000000000002</v>
      </c>
      <c r="L453">
        <v>2</v>
      </c>
      <c r="M453">
        <v>124</v>
      </c>
      <c r="N453">
        <v>126</v>
      </c>
    </row>
    <row r="454" spans="1:14" x14ac:dyDescent="0.3">
      <c r="A454">
        <v>453</v>
      </c>
      <c r="B454" s="1">
        <v>40563</v>
      </c>
      <c r="C454">
        <v>1</v>
      </c>
      <c r="D454">
        <v>21</v>
      </c>
      <c r="E454" t="b">
        <v>0</v>
      </c>
      <c r="F454">
        <v>4</v>
      </c>
      <c r="G454">
        <v>2</v>
      </c>
      <c r="H454">
        <v>0.24</v>
      </c>
      <c r="I454">
        <v>0.2273</v>
      </c>
      <c r="J454">
        <v>0.6</v>
      </c>
      <c r="K454">
        <v>0.25369999999999998</v>
      </c>
      <c r="L454">
        <v>3</v>
      </c>
      <c r="M454">
        <v>54</v>
      </c>
      <c r="N454">
        <v>57</v>
      </c>
    </row>
    <row r="455" spans="1:14" x14ac:dyDescent="0.3">
      <c r="A455">
        <v>454</v>
      </c>
      <c r="B455" s="1">
        <v>40563</v>
      </c>
      <c r="C455">
        <v>1</v>
      </c>
      <c r="D455">
        <v>22</v>
      </c>
      <c r="E455" t="b">
        <v>0</v>
      </c>
      <c r="F455">
        <v>4</v>
      </c>
      <c r="G455">
        <v>2</v>
      </c>
      <c r="H455">
        <v>0.24</v>
      </c>
      <c r="I455">
        <v>0.21210000000000001</v>
      </c>
      <c r="J455">
        <v>0.65</v>
      </c>
      <c r="K455">
        <v>0.28360000000000002</v>
      </c>
      <c r="L455">
        <v>0</v>
      </c>
      <c r="M455">
        <v>56</v>
      </c>
      <c r="N455">
        <v>56</v>
      </c>
    </row>
    <row r="456" spans="1:14" x14ac:dyDescent="0.3">
      <c r="A456">
        <v>455</v>
      </c>
      <c r="B456" s="1">
        <v>40563</v>
      </c>
      <c r="C456">
        <v>1</v>
      </c>
      <c r="D456">
        <v>23</v>
      </c>
      <c r="E456" t="b">
        <v>0</v>
      </c>
      <c r="F456">
        <v>4</v>
      </c>
      <c r="G456">
        <v>2</v>
      </c>
      <c r="H456">
        <v>0.24</v>
      </c>
      <c r="I456">
        <v>0.21210000000000001</v>
      </c>
      <c r="J456">
        <v>0.65</v>
      </c>
      <c r="K456">
        <v>0.32840000000000003</v>
      </c>
      <c r="L456">
        <v>3</v>
      </c>
      <c r="M456">
        <v>28</v>
      </c>
      <c r="N456">
        <v>31</v>
      </c>
    </row>
    <row r="457" spans="1:14" x14ac:dyDescent="0.3">
      <c r="A457">
        <v>456</v>
      </c>
      <c r="B457" s="1">
        <v>40564</v>
      </c>
      <c r="C457">
        <v>1</v>
      </c>
      <c r="D457">
        <v>0</v>
      </c>
      <c r="E457" t="b">
        <v>0</v>
      </c>
      <c r="F457">
        <v>5</v>
      </c>
      <c r="G457">
        <v>2</v>
      </c>
      <c r="H457">
        <v>0.24</v>
      </c>
      <c r="I457">
        <v>0.2273</v>
      </c>
      <c r="J457">
        <v>0.7</v>
      </c>
      <c r="K457">
        <v>0.25369999999999998</v>
      </c>
      <c r="L457">
        <v>1</v>
      </c>
      <c r="M457">
        <v>20</v>
      </c>
      <c r="N457">
        <v>21</v>
      </c>
    </row>
    <row r="458" spans="1:14" x14ac:dyDescent="0.3">
      <c r="A458">
        <v>457</v>
      </c>
      <c r="B458" s="1">
        <v>40564</v>
      </c>
      <c r="C458">
        <v>1</v>
      </c>
      <c r="D458">
        <v>1</v>
      </c>
      <c r="E458" t="b">
        <v>0</v>
      </c>
      <c r="F458">
        <v>5</v>
      </c>
      <c r="G458">
        <v>2</v>
      </c>
      <c r="H458">
        <v>0.24</v>
      </c>
      <c r="I458">
        <v>0.2273</v>
      </c>
      <c r="J458">
        <v>0.7</v>
      </c>
      <c r="K458">
        <v>0.25369999999999998</v>
      </c>
      <c r="L458">
        <v>0</v>
      </c>
      <c r="M458">
        <v>6</v>
      </c>
      <c r="N458">
        <v>6</v>
      </c>
    </row>
    <row r="459" spans="1:14" x14ac:dyDescent="0.3">
      <c r="A459">
        <v>458</v>
      </c>
      <c r="B459" s="1">
        <v>40564</v>
      </c>
      <c r="C459">
        <v>1</v>
      </c>
      <c r="D459">
        <v>2</v>
      </c>
      <c r="E459" t="b">
        <v>0</v>
      </c>
      <c r="F459">
        <v>5</v>
      </c>
      <c r="G459">
        <v>3</v>
      </c>
      <c r="H459">
        <v>0.24</v>
      </c>
      <c r="I459">
        <v>0.2424</v>
      </c>
      <c r="J459">
        <v>0.75</v>
      </c>
      <c r="K459">
        <v>0.16420000000000001</v>
      </c>
      <c r="L459">
        <v>0</v>
      </c>
      <c r="M459">
        <v>2</v>
      </c>
      <c r="N459">
        <v>2</v>
      </c>
    </row>
    <row r="460" spans="1:14" x14ac:dyDescent="0.3">
      <c r="A460">
        <v>459</v>
      </c>
      <c r="B460" s="1">
        <v>40564</v>
      </c>
      <c r="C460">
        <v>1</v>
      </c>
      <c r="D460">
        <v>3</v>
      </c>
      <c r="E460" t="b">
        <v>0</v>
      </c>
      <c r="F460">
        <v>5</v>
      </c>
      <c r="G460">
        <v>3</v>
      </c>
      <c r="H460">
        <v>0.22</v>
      </c>
      <c r="I460">
        <v>0.21210000000000001</v>
      </c>
      <c r="J460">
        <v>0.8</v>
      </c>
      <c r="K460">
        <v>0.29849999999999999</v>
      </c>
      <c r="L460">
        <v>0</v>
      </c>
      <c r="M460">
        <v>1</v>
      </c>
      <c r="N460">
        <v>1</v>
      </c>
    </row>
    <row r="461" spans="1:14" x14ac:dyDescent="0.3">
      <c r="A461">
        <v>460</v>
      </c>
      <c r="B461" s="1">
        <v>40564</v>
      </c>
      <c r="C461">
        <v>1</v>
      </c>
      <c r="D461">
        <v>4</v>
      </c>
      <c r="E461" t="b">
        <v>0</v>
      </c>
      <c r="F461">
        <v>5</v>
      </c>
      <c r="G461">
        <v>2</v>
      </c>
      <c r="H461">
        <v>0.22</v>
      </c>
      <c r="I461">
        <v>0.2576</v>
      </c>
      <c r="J461">
        <v>0.87</v>
      </c>
      <c r="K461">
        <v>8.9599999999999999E-2</v>
      </c>
      <c r="L461">
        <v>0</v>
      </c>
      <c r="M461">
        <v>1</v>
      </c>
      <c r="N461">
        <v>1</v>
      </c>
    </row>
    <row r="462" spans="1:14" x14ac:dyDescent="0.3">
      <c r="A462">
        <v>461</v>
      </c>
      <c r="B462" s="1">
        <v>40564</v>
      </c>
      <c r="C462">
        <v>1</v>
      </c>
      <c r="D462">
        <v>5</v>
      </c>
      <c r="E462" t="b">
        <v>0</v>
      </c>
      <c r="F462">
        <v>5</v>
      </c>
      <c r="G462">
        <v>1</v>
      </c>
      <c r="H462">
        <v>0.24</v>
      </c>
      <c r="I462">
        <v>0.19700000000000001</v>
      </c>
      <c r="J462">
        <v>0.6</v>
      </c>
      <c r="K462">
        <v>0.41789999999999999</v>
      </c>
      <c r="L462">
        <v>1</v>
      </c>
      <c r="M462">
        <v>4</v>
      </c>
      <c r="N462">
        <v>5</v>
      </c>
    </row>
    <row r="463" spans="1:14" x14ac:dyDescent="0.3">
      <c r="A463">
        <v>462</v>
      </c>
      <c r="B463" s="1">
        <v>40564</v>
      </c>
      <c r="C463">
        <v>1</v>
      </c>
      <c r="D463">
        <v>6</v>
      </c>
      <c r="E463" t="b">
        <v>0</v>
      </c>
      <c r="F463">
        <v>5</v>
      </c>
      <c r="G463">
        <v>1</v>
      </c>
      <c r="H463">
        <v>0.22</v>
      </c>
      <c r="I463">
        <v>0.21210000000000001</v>
      </c>
      <c r="J463">
        <v>0.55000000000000004</v>
      </c>
      <c r="K463">
        <v>0.25369999999999998</v>
      </c>
      <c r="L463">
        <v>0</v>
      </c>
      <c r="M463">
        <v>27</v>
      </c>
      <c r="N463">
        <v>27</v>
      </c>
    </row>
    <row r="464" spans="1:14" x14ac:dyDescent="0.3">
      <c r="A464">
        <v>463</v>
      </c>
      <c r="B464" s="1">
        <v>40564</v>
      </c>
      <c r="C464">
        <v>1</v>
      </c>
      <c r="D464">
        <v>7</v>
      </c>
      <c r="E464" t="b">
        <v>0</v>
      </c>
      <c r="F464">
        <v>5</v>
      </c>
      <c r="G464">
        <v>1</v>
      </c>
      <c r="H464">
        <v>0.2</v>
      </c>
      <c r="I464">
        <v>0.18179999999999999</v>
      </c>
      <c r="J464">
        <v>0.51</v>
      </c>
      <c r="K464">
        <v>0.28360000000000002</v>
      </c>
      <c r="L464">
        <v>2</v>
      </c>
      <c r="M464">
        <v>66</v>
      </c>
      <c r="N464">
        <v>68</v>
      </c>
    </row>
    <row r="465" spans="1:14" x14ac:dyDescent="0.3">
      <c r="A465">
        <v>464</v>
      </c>
      <c r="B465" s="1">
        <v>40564</v>
      </c>
      <c r="C465">
        <v>1</v>
      </c>
      <c r="D465">
        <v>8</v>
      </c>
      <c r="E465" t="b">
        <v>0</v>
      </c>
      <c r="F465">
        <v>5</v>
      </c>
      <c r="G465">
        <v>1</v>
      </c>
      <c r="H465">
        <v>0.2</v>
      </c>
      <c r="I465">
        <v>0.18179999999999999</v>
      </c>
      <c r="J465">
        <v>0.47</v>
      </c>
      <c r="K465">
        <v>0.32840000000000003</v>
      </c>
      <c r="L465">
        <v>7</v>
      </c>
      <c r="M465">
        <v>210</v>
      </c>
      <c r="N465">
        <v>217</v>
      </c>
    </row>
    <row r="466" spans="1:14" x14ac:dyDescent="0.3">
      <c r="A466">
        <v>465</v>
      </c>
      <c r="B466" s="1">
        <v>40564</v>
      </c>
      <c r="C466">
        <v>1</v>
      </c>
      <c r="D466">
        <v>9</v>
      </c>
      <c r="E466" t="b">
        <v>0</v>
      </c>
      <c r="F466">
        <v>5</v>
      </c>
      <c r="G466">
        <v>1</v>
      </c>
      <c r="H466">
        <v>0.2</v>
      </c>
      <c r="I466">
        <v>0.18179999999999999</v>
      </c>
      <c r="J466">
        <v>0.51</v>
      </c>
      <c r="K466">
        <v>0.35820000000000002</v>
      </c>
      <c r="L466">
        <v>7</v>
      </c>
      <c r="M466">
        <v>159</v>
      </c>
      <c r="N466">
        <v>166</v>
      </c>
    </row>
    <row r="467" spans="1:14" x14ac:dyDescent="0.3">
      <c r="A467">
        <v>466</v>
      </c>
      <c r="B467" s="1">
        <v>40564</v>
      </c>
      <c r="C467">
        <v>1</v>
      </c>
      <c r="D467">
        <v>10</v>
      </c>
      <c r="E467" t="b">
        <v>0</v>
      </c>
      <c r="F467">
        <v>5</v>
      </c>
      <c r="G467">
        <v>1</v>
      </c>
      <c r="H467">
        <v>0.2</v>
      </c>
      <c r="I467">
        <v>0.16669999999999999</v>
      </c>
      <c r="J467">
        <v>0.47</v>
      </c>
      <c r="K467">
        <v>0.4627</v>
      </c>
      <c r="L467">
        <v>6</v>
      </c>
      <c r="M467">
        <v>57</v>
      </c>
      <c r="N467">
        <v>63</v>
      </c>
    </row>
    <row r="468" spans="1:14" x14ac:dyDescent="0.3">
      <c r="A468">
        <v>467</v>
      </c>
      <c r="B468" s="1">
        <v>40564</v>
      </c>
      <c r="C468">
        <v>1</v>
      </c>
      <c r="D468">
        <v>11</v>
      </c>
      <c r="E468" t="b">
        <v>0</v>
      </c>
      <c r="F468">
        <v>5</v>
      </c>
      <c r="G468">
        <v>1</v>
      </c>
      <c r="H468">
        <v>0.22</v>
      </c>
      <c r="I468">
        <v>0.18179999999999999</v>
      </c>
      <c r="J468">
        <v>0.41</v>
      </c>
      <c r="K468">
        <v>0.4627</v>
      </c>
      <c r="L468">
        <v>6</v>
      </c>
      <c r="M468">
        <v>53</v>
      </c>
      <c r="N468">
        <v>59</v>
      </c>
    </row>
    <row r="469" spans="1:14" x14ac:dyDescent="0.3">
      <c r="A469">
        <v>468</v>
      </c>
      <c r="B469" s="1">
        <v>40564</v>
      </c>
      <c r="C469">
        <v>1</v>
      </c>
      <c r="D469">
        <v>12</v>
      </c>
      <c r="E469" t="b">
        <v>0</v>
      </c>
      <c r="F469">
        <v>5</v>
      </c>
      <c r="G469">
        <v>1</v>
      </c>
      <c r="H469">
        <v>0.22</v>
      </c>
      <c r="I469">
        <v>0.18179999999999999</v>
      </c>
      <c r="J469">
        <v>0.27</v>
      </c>
      <c r="K469">
        <v>0.58209999999999995</v>
      </c>
      <c r="L469">
        <v>11</v>
      </c>
      <c r="M469">
        <v>67</v>
      </c>
      <c r="N469">
        <v>78</v>
      </c>
    </row>
    <row r="470" spans="1:14" x14ac:dyDescent="0.3">
      <c r="A470">
        <v>469</v>
      </c>
      <c r="B470" s="1">
        <v>40564</v>
      </c>
      <c r="C470">
        <v>1</v>
      </c>
      <c r="D470">
        <v>13</v>
      </c>
      <c r="E470" t="b">
        <v>0</v>
      </c>
      <c r="F470">
        <v>5</v>
      </c>
      <c r="G470">
        <v>1</v>
      </c>
      <c r="H470">
        <v>0.2</v>
      </c>
      <c r="I470">
        <v>0.1515</v>
      </c>
      <c r="J470">
        <v>0.21</v>
      </c>
      <c r="K470">
        <v>0.58209999999999995</v>
      </c>
      <c r="L470">
        <v>8</v>
      </c>
      <c r="M470">
        <v>65</v>
      </c>
      <c r="N470">
        <v>73</v>
      </c>
    </row>
    <row r="471" spans="1:14" x14ac:dyDescent="0.3">
      <c r="A471">
        <v>470</v>
      </c>
      <c r="B471" s="1">
        <v>40564</v>
      </c>
      <c r="C471">
        <v>1</v>
      </c>
      <c r="D471">
        <v>14</v>
      </c>
      <c r="E471" t="b">
        <v>0</v>
      </c>
      <c r="F471">
        <v>5</v>
      </c>
      <c r="G471">
        <v>1</v>
      </c>
      <c r="H471">
        <v>0.2</v>
      </c>
      <c r="I471">
        <v>0.1515</v>
      </c>
      <c r="J471">
        <v>0.25</v>
      </c>
      <c r="K471">
        <v>0.52239999999999998</v>
      </c>
      <c r="L471">
        <v>6</v>
      </c>
      <c r="M471">
        <v>56</v>
      </c>
      <c r="N471">
        <v>62</v>
      </c>
    </row>
    <row r="472" spans="1:14" x14ac:dyDescent="0.3">
      <c r="A472">
        <v>471</v>
      </c>
      <c r="B472" s="1">
        <v>40564</v>
      </c>
      <c r="C472">
        <v>1</v>
      </c>
      <c r="D472">
        <v>15</v>
      </c>
      <c r="E472" t="b">
        <v>0</v>
      </c>
      <c r="F472">
        <v>5</v>
      </c>
      <c r="G472">
        <v>1</v>
      </c>
      <c r="H472">
        <v>0.16</v>
      </c>
      <c r="I472">
        <v>0.1212</v>
      </c>
      <c r="J472">
        <v>0.26</v>
      </c>
      <c r="K472">
        <v>0.44779999999999998</v>
      </c>
      <c r="L472">
        <v>4</v>
      </c>
      <c r="M472">
        <v>61</v>
      </c>
      <c r="N472">
        <v>65</v>
      </c>
    </row>
    <row r="473" spans="1:14" x14ac:dyDescent="0.3">
      <c r="A473">
        <v>472</v>
      </c>
      <c r="B473" s="1">
        <v>40564</v>
      </c>
      <c r="C473">
        <v>1</v>
      </c>
      <c r="D473">
        <v>16</v>
      </c>
      <c r="E473" t="b">
        <v>0</v>
      </c>
      <c r="F473">
        <v>5</v>
      </c>
      <c r="G473">
        <v>1</v>
      </c>
      <c r="H473">
        <v>0.16</v>
      </c>
      <c r="I473">
        <v>0.13639999999999999</v>
      </c>
      <c r="J473">
        <v>0.26</v>
      </c>
      <c r="K473">
        <v>0.35820000000000002</v>
      </c>
      <c r="L473">
        <v>0</v>
      </c>
      <c r="M473">
        <v>97</v>
      </c>
      <c r="N473">
        <v>97</v>
      </c>
    </row>
    <row r="474" spans="1:14" x14ac:dyDescent="0.3">
      <c r="A474">
        <v>473</v>
      </c>
      <c r="B474" s="1">
        <v>40564</v>
      </c>
      <c r="C474">
        <v>1</v>
      </c>
      <c r="D474">
        <v>17</v>
      </c>
      <c r="E474" t="b">
        <v>0</v>
      </c>
      <c r="F474">
        <v>5</v>
      </c>
      <c r="G474">
        <v>1</v>
      </c>
      <c r="H474">
        <v>0.14000000000000001</v>
      </c>
      <c r="I474">
        <v>0.1212</v>
      </c>
      <c r="J474">
        <v>0.28000000000000003</v>
      </c>
      <c r="K474">
        <v>0.35820000000000002</v>
      </c>
      <c r="L474">
        <v>10</v>
      </c>
      <c r="M474">
        <v>151</v>
      </c>
      <c r="N474">
        <v>161</v>
      </c>
    </row>
    <row r="475" spans="1:14" x14ac:dyDescent="0.3">
      <c r="A475">
        <v>474</v>
      </c>
      <c r="B475" s="1">
        <v>40564</v>
      </c>
      <c r="C475">
        <v>1</v>
      </c>
      <c r="D475">
        <v>18</v>
      </c>
      <c r="E475" t="b">
        <v>0</v>
      </c>
      <c r="F475">
        <v>5</v>
      </c>
      <c r="G475">
        <v>1</v>
      </c>
      <c r="H475">
        <v>0.12</v>
      </c>
      <c r="I475">
        <v>0.1212</v>
      </c>
      <c r="J475">
        <v>0.3</v>
      </c>
      <c r="K475">
        <v>0.25369999999999998</v>
      </c>
      <c r="L475">
        <v>1</v>
      </c>
      <c r="M475">
        <v>119</v>
      </c>
      <c r="N475">
        <v>120</v>
      </c>
    </row>
    <row r="476" spans="1:14" x14ac:dyDescent="0.3">
      <c r="A476">
        <v>475</v>
      </c>
      <c r="B476" s="1">
        <v>40564</v>
      </c>
      <c r="C476">
        <v>1</v>
      </c>
      <c r="D476">
        <v>19</v>
      </c>
      <c r="E476" t="b">
        <v>0</v>
      </c>
      <c r="F476">
        <v>5</v>
      </c>
      <c r="G476">
        <v>1</v>
      </c>
      <c r="H476">
        <v>0.12</v>
      </c>
      <c r="I476">
        <v>0.1061</v>
      </c>
      <c r="J476">
        <v>0.3</v>
      </c>
      <c r="K476">
        <v>0.32840000000000003</v>
      </c>
      <c r="L476">
        <v>3</v>
      </c>
      <c r="M476">
        <v>93</v>
      </c>
      <c r="N476">
        <v>96</v>
      </c>
    </row>
    <row r="477" spans="1:14" x14ac:dyDescent="0.3">
      <c r="A477">
        <v>476</v>
      </c>
      <c r="B477" s="1">
        <v>40564</v>
      </c>
      <c r="C477">
        <v>1</v>
      </c>
      <c r="D477">
        <v>20</v>
      </c>
      <c r="E477" t="b">
        <v>0</v>
      </c>
      <c r="F477">
        <v>5</v>
      </c>
      <c r="G477">
        <v>1</v>
      </c>
      <c r="H477">
        <v>0.1</v>
      </c>
      <c r="I477">
        <v>7.5800000000000006E-2</v>
      </c>
      <c r="J477">
        <v>0.33</v>
      </c>
      <c r="K477">
        <v>0.41789999999999999</v>
      </c>
      <c r="L477">
        <v>1</v>
      </c>
      <c r="M477">
        <v>52</v>
      </c>
      <c r="N477">
        <v>53</v>
      </c>
    </row>
    <row r="478" spans="1:14" x14ac:dyDescent="0.3">
      <c r="A478">
        <v>477</v>
      </c>
      <c r="B478" s="1">
        <v>40564</v>
      </c>
      <c r="C478">
        <v>1</v>
      </c>
      <c r="D478">
        <v>21</v>
      </c>
      <c r="E478" t="b">
        <v>0</v>
      </c>
      <c r="F478">
        <v>5</v>
      </c>
      <c r="G478">
        <v>1</v>
      </c>
      <c r="H478">
        <v>0.08</v>
      </c>
      <c r="I478">
        <v>7.5800000000000006E-2</v>
      </c>
      <c r="J478">
        <v>0.38</v>
      </c>
      <c r="K478">
        <v>0.28360000000000002</v>
      </c>
      <c r="L478">
        <v>0</v>
      </c>
      <c r="M478">
        <v>41</v>
      </c>
      <c r="N478">
        <v>41</v>
      </c>
    </row>
    <row r="479" spans="1:14" x14ac:dyDescent="0.3">
      <c r="A479">
        <v>478</v>
      </c>
      <c r="B479" s="1">
        <v>40564</v>
      </c>
      <c r="C479">
        <v>1</v>
      </c>
      <c r="D479">
        <v>22</v>
      </c>
      <c r="E479" t="b">
        <v>0</v>
      </c>
      <c r="F479">
        <v>5</v>
      </c>
      <c r="G479">
        <v>1</v>
      </c>
      <c r="H479">
        <v>0.06</v>
      </c>
      <c r="I479">
        <v>3.0300000000000001E-2</v>
      </c>
      <c r="J479">
        <v>0.41</v>
      </c>
      <c r="K479">
        <v>0.3881</v>
      </c>
      <c r="L479">
        <v>1</v>
      </c>
      <c r="M479">
        <v>33</v>
      </c>
      <c r="N479">
        <v>34</v>
      </c>
    </row>
    <row r="480" spans="1:14" x14ac:dyDescent="0.3">
      <c r="A480">
        <v>479</v>
      </c>
      <c r="B480" s="1">
        <v>40564</v>
      </c>
      <c r="C480">
        <v>1</v>
      </c>
      <c r="D480">
        <v>23</v>
      </c>
      <c r="E480" t="b">
        <v>0</v>
      </c>
      <c r="F480">
        <v>5</v>
      </c>
      <c r="G480">
        <v>1</v>
      </c>
      <c r="H480">
        <v>0.06</v>
      </c>
      <c r="I480">
        <v>4.5499999999999999E-2</v>
      </c>
      <c r="J480">
        <v>0.38</v>
      </c>
      <c r="K480">
        <v>0.32840000000000003</v>
      </c>
      <c r="L480">
        <v>0</v>
      </c>
      <c r="M480">
        <v>27</v>
      </c>
      <c r="N480">
        <v>27</v>
      </c>
    </row>
    <row r="481" spans="1:14" x14ac:dyDescent="0.3">
      <c r="A481">
        <v>480</v>
      </c>
      <c r="B481" s="1">
        <v>40565</v>
      </c>
      <c r="C481">
        <v>1</v>
      </c>
      <c r="D481">
        <v>0</v>
      </c>
      <c r="E481" t="b">
        <v>0</v>
      </c>
      <c r="F481">
        <v>6</v>
      </c>
      <c r="G481">
        <v>1</v>
      </c>
      <c r="H481">
        <v>0.04</v>
      </c>
      <c r="I481">
        <v>3.0300000000000001E-2</v>
      </c>
      <c r="J481">
        <v>0.45</v>
      </c>
      <c r="K481">
        <v>0.25369999999999998</v>
      </c>
      <c r="L481">
        <v>0</v>
      </c>
      <c r="M481">
        <v>13</v>
      </c>
      <c r="N481">
        <v>13</v>
      </c>
    </row>
    <row r="482" spans="1:14" x14ac:dyDescent="0.3">
      <c r="A482">
        <v>481</v>
      </c>
      <c r="B482" s="1">
        <v>40565</v>
      </c>
      <c r="C482">
        <v>1</v>
      </c>
      <c r="D482">
        <v>1</v>
      </c>
      <c r="E482" t="b">
        <v>0</v>
      </c>
      <c r="F482">
        <v>6</v>
      </c>
      <c r="G482">
        <v>2</v>
      </c>
      <c r="H482">
        <v>0.04</v>
      </c>
      <c r="I482">
        <v>0</v>
      </c>
      <c r="J482">
        <v>0.41</v>
      </c>
      <c r="K482">
        <v>0.3881</v>
      </c>
      <c r="L482">
        <v>3</v>
      </c>
      <c r="M482">
        <v>9</v>
      </c>
      <c r="N482">
        <v>12</v>
      </c>
    </row>
    <row r="483" spans="1:14" x14ac:dyDescent="0.3">
      <c r="A483">
        <v>482</v>
      </c>
      <c r="B483" s="1">
        <v>40565</v>
      </c>
      <c r="C483">
        <v>1</v>
      </c>
      <c r="D483">
        <v>2</v>
      </c>
      <c r="E483" t="b">
        <v>0</v>
      </c>
      <c r="F483">
        <v>6</v>
      </c>
      <c r="G483">
        <v>2</v>
      </c>
      <c r="H483">
        <v>0.04</v>
      </c>
      <c r="I483">
        <v>3.0300000000000001E-2</v>
      </c>
      <c r="J483">
        <v>0.41</v>
      </c>
      <c r="K483">
        <v>0.25369999999999998</v>
      </c>
      <c r="L483">
        <v>0</v>
      </c>
      <c r="M483">
        <v>11</v>
      </c>
      <c r="N483">
        <v>11</v>
      </c>
    </row>
    <row r="484" spans="1:14" x14ac:dyDescent="0.3">
      <c r="A484">
        <v>483</v>
      </c>
      <c r="B484" s="1">
        <v>40565</v>
      </c>
      <c r="C484">
        <v>1</v>
      </c>
      <c r="D484">
        <v>3</v>
      </c>
      <c r="E484" t="b">
        <v>0</v>
      </c>
      <c r="F484">
        <v>6</v>
      </c>
      <c r="G484">
        <v>2</v>
      </c>
      <c r="H484">
        <v>0.04</v>
      </c>
      <c r="I484">
        <v>3.0300000000000001E-2</v>
      </c>
      <c r="J484">
        <v>0.41</v>
      </c>
      <c r="K484">
        <v>0.28360000000000002</v>
      </c>
      <c r="L484">
        <v>1</v>
      </c>
      <c r="M484">
        <v>6</v>
      </c>
      <c r="N484">
        <v>7</v>
      </c>
    </row>
    <row r="485" spans="1:14" x14ac:dyDescent="0.3">
      <c r="A485">
        <v>484</v>
      </c>
      <c r="B485" s="1">
        <v>40565</v>
      </c>
      <c r="C485">
        <v>1</v>
      </c>
      <c r="D485">
        <v>4</v>
      </c>
      <c r="E485" t="b">
        <v>0</v>
      </c>
      <c r="F485">
        <v>6</v>
      </c>
      <c r="G485">
        <v>2</v>
      </c>
      <c r="H485">
        <v>0.02</v>
      </c>
      <c r="I485">
        <v>1.52E-2</v>
      </c>
      <c r="J485">
        <v>0.48</v>
      </c>
      <c r="K485">
        <v>0.29849999999999999</v>
      </c>
      <c r="L485">
        <v>0</v>
      </c>
      <c r="M485">
        <v>3</v>
      </c>
      <c r="N485">
        <v>3</v>
      </c>
    </row>
    <row r="486" spans="1:14" x14ac:dyDescent="0.3">
      <c r="A486">
        <v>485</v>
      </c>
      <c r="B486" s="1">
        <v>40565</v>
      </c>
      <c r="C486">
        <v>1</v>
      </c>
      <c r="D486">
        <v>6</v>
      </c>
      <c r="E486" t="b">
        <v>0</v>
      </c>
      <c r="F486">
        <v>6</v>
      </c>
      <c r="G486">
        <v>2</v>
      </c>
      <c r="H486">
        <v>0.02</v>
      </c>
      <c r="I486">
        <v>3.0300000000000001E-2</v>
      </c>
      <c r="J486">
        <v>0.44</v>
      </c>
      <c r="K486">
        <v>0.22389999999999999</v>
      </c>
      <c r="L486">
        <v>0</v>
      </c>
      <c r="M486">
        <v>2</v>
      </c>
      <c r="N486">
        <v>2</v>
      </c>
    </row>
    <row r="487" spans="1:14" x14ac:dyDescent="0.3">
      <c r="A487">
        <v>486</v>
      </c>
      <c r="B487" s="1">
        <v>40565</v>
      </c>
      <c r="C487">
        <v>1</v>
      </c>
      <c r="D487">
        <v>7</v>
      </c>
      <c r="E487" t="b">
        <v>0</v>
      </c>
      <c r="F487">
        <v>6</v>
      </c>
      <c r="G487">
        <v>1</v>
      </c>
      <c r="H487">
        <v>0.02</v>
      </c>
      <c r="I487">
        <v>1.52E-2</v>
      </c>
      <c r="J487">
        <v>0.44</v>
      </c>
      <c r="K487">
        <v>0.28360000000000002</v>
      </c>
      <c r="L487">
        <v>0</v>
      </c>
      <c r="M487">
        <v>8</v>
      </c>
      <c r="N487">
        <v>8</v>
      </c>
    </row>
    <row r="488" spans="1:14" x14ac:dyDescent="0.3">
      <c r="A488">
        <v>487</v>
      </c>
      <c r="B488" s="1">
        <v>40565</v>
      </c>
      <c r="C488">
        <v>1</v>
      </c>
      <c r="D488">
        <v>8</v>
      </c>
      <c r="E488" t="b">
        <v>0</v>
      </c>
      <c r="F488">
        <v>6</v>
      </c>
      <c r="G488">
        <v>1</v>
      </c>
      <c r="H488">
        <v>0.02</v>
      </c>
      <c r="I488">
        <v>0</v>
      </c>
      <c r="J488">
        <v>0.44</v>
      </c>
      <c r="K488">
        <v>0.32840000000000003</v>
      </c>
      <c r="L488">
        <v>1</v>
      </c>
      <c r="M488">
        <v>26</v>
      </c>
      <c r="N488">
        <v>27</v>
      </c>
    </row>
    <row r="489" spans="1:14" x14ac:dyDescent="0.3">
      <c r="A489">
        <v>488</v>
      </c>
      <c r="B489" s="1">
        <v>40565</v>
      </c>
      <c r="C489">
        <v>1</v>
      </c>
      <c r="D489">
        <v>9</v>
      </c>
      <c r="E489" t="b">
        <v>0</v>
      </c>
      <c r="F489">
        <v>6</v>
      </c>
      <c r="G489">
        <v>1</v>
      </c>
      <c r="H489">
        <v>0.04</v>
      </c>
      <c r="I489">
        <v>3.0300000000000001E-2</v>
      </c>
      <c r="J489">
        <v>0.41</v>
      </c>
      <c r="K489">
        <v>0.25369999999999998</v>
      </c>
      <c r="L489">
        <v>3</v>
      </c>
      <c r="M489">
        <v>37</v>
      </c>
      <c r="N489">
        <v>40</v>
      </c>
    </row>
    <row r="490" spans="1:14" x14ac:dyDescent="0.3">
      <c r="A490">
        <v>489</v>
      </c>
      <c r="B490" s="1">
        <v>40565</v>
      </c>
      <c r="C490">
        <v>1</v>
      </c>
      <c r="D490">
        <v>10</v>
      </c>
      <c r="E490" t="b">
        <v>0</v>
      </c>
      <c r="F490">
        <v>6</v>
      </c>
      <c r="G490">
        <v>2</v>
      </c>
      <c r="H490">
        <v>0.04</v>
      </c>
      <c r="I490">
        <v>6.0600000000000001E-2</v>
      </c>
      <c r="J490">
        <v>0.41</v>
      </c>
      <c r="K490">
        <v>0.16420000000000001</v>
      </c>
      <c r="L490">
        <v>3</v>
      </c>
      <c r="M490">
        <v>50</v>
      </c>
      <c r="N490">
        <v>53</v>
      </c>
    </row>
    <row r="491" spans="1:14" x14ac:dyDescent="0.3">
      <c r="A491">
        <v>490</v>
      </c>
      <c r="B491" s="1">
        <v>40565</v>
      </c>
      <c r="C491">
        <v>1</v>
      </c>
      <c r="D491">
        <v>11</v>
      </c>
      <c r="E491" t="b">
        <v>0</v>
      </c>
      <c r="F491">
        <v>6</v>
      </c>
      <c r="G491">
        <v>2</v>
      </c>
      <c r="H491">
        <v>0.06</v>
      </c>
      <c r="I491">
        <v>7.5800000000000006E-2</v>
      </c>
      <c r="J491">
        <v>0.38</v>
      </c>
      <c r="K491">
        <v>0.1343</v>
      </c>
      <c r="L491">
        <v>4</v>
      </c>
      <c r="M491">
        <v>59</v>
      </c>
      <c r="N491">
        <v>63</v>
      </c>
    </row>
    <row r="492" spans="1:14" x14ac:dyDescent="0.3">
      <c r="A492">
        <v>491</v>
      </c>
      <c r="B492" s="1">
        <v>40565</v>
      </c>
      <c r="C492">
        <v>1</v>
      </c>
      <c r="D492">
        <v>12</v>
      </c>
      <c r="E492" t="b">
        <v>0</v>
      </c>
      <c r="F492">
        <v>6</v>
      </c>
      <c r="G492">
        <v>2</v>
      </c>
      <c r="H492">
        <v>0.06</v>
      </c>
      <c r="I492">
        <v>0.1061</v>
      </c>
      <c r="J492">
        <v>0.38</v>
      </c>
      <c r="K492">
        <v>0.1045</v>
      </c>
      <c r="L492">
        <v>10</v>
      </c>
      <c r="M492">
        <v>60</v>
      </c>
      <c r="N492">
        <v>70</v>
      </c>
    </row>
    <row r="493" spans="1:14" x14ac:dyDescent="0.3">
      <c r="A493">
        <v>492</v>
      </c>
      <c r="B493" s="1">
        <v>40565</v>
      </c>
      <c r="C493">
        <v>1</v>
      </c>
      <c r="D493">
        <v>13</v>
      </c>
      <c r="E493" t="b">
        <v>0</v>
      </c>
      <c r="F493">
        <v>6</v>
      </c>
      <c r="G493">
        <v>1</v>
      </c>
      <c r="H493">
        <v>0.08</v>
      </c>
      <c r="I493">
        <v>0.16669999999999999</v>
      </c>
      <c r="J493">
        <v>0.35</v>
      </c>
      <c r="K493">
        <v>0</v>
      </c>
      <c r="L493">
        <v>12</v>
      </c>
      <c r="M493">
        <v>72</v>
      </c>
      <c r="N493">
        <v>84</v>
      </c>
    </row>
    <row r="494" spans="1:14" x14ac:dyDescent="0.3">
      <c r="A494">
        <v>493</v>
      </c>
      <c r="B494" s="1">
        <v>40565</v>
      </c>
      <c r="C494">
        <v>1</v>
      </c>
      <c r="D494">
        <v>14</v>
      </c>
      <c r="E494" t="b">
        <v>0</v>
      </c>
      <c r="F494">
        <v>6</v>
      </c>
      <c r="G494">
        <v>1</v>
      </c>
      <c r="H494">
        <v>0.1</v>
      </c>
      <c r="I494">
        <v>0.13639999999999999</v>
      </c>
      <c r="J494">
        <v>0.33</v>
      </c>
      <c r="K494">
        <v>0.1045</v>
      </c>
      <c r="L494">
        <v>11</v>
      </c>
      <c r="M494">
        <v>64</v>
      </c>
      <c r="N494">
        <v>75</v>
      </c>
    </row>
    <row r="495" spans="1:14" x14ac:dyDescent="0.3">
      <c r="A495">
        <v>494</v>
      </c>
      <c r="B495" s="1">
        <v>40565</v>
      </c>
      <c r="C495">
        <v>1</v>
      </c>
      <c r="D495">
        <v>15</v>
      </c>
      <c r="E495" t="b">
        <v>0</v>
      </c>
      <c r="F495">
        <v>6</v>
      </c>
      <c r="G495">
        <v>1</v>
      </c>
      <c r="H495">
        <v>0.12</v>
      </c>
      <c r="I495">
        <v>0.1515</v>
      </c>
      <c r="J495">
        <v>0.28000000000000003</v>
      </c>
      <c r="K495">
        <v>0</v>
      </c>
      <c r="L495">
        <v>10</v>
      </c>
      <c r="M495">
        <v>93</v>
      </c>
      <c r="N495">
        <v>103</v>
      </c>
    </row>
    <row r="496" spans="1:14" x14ac:dyDescent="0.3">
      <c r="A496">
        <v>495</v>
      </c>
      <c r="B496" s="1">
        <v>40565</v>
      </c>
      <c r="C496">
        <v>1</v>
      </c>
      <c r="D496">
        <v>16</v>
      </c>
      <c r="E496" t="b">
        <v>0</v>
      </c>
      <c r="F496">
        <v>6</v>
      </c>
      <c r="G496">
        <v>1</v>
      </c>
      <c r="H496">
        <v>0.12</v>
      </c>
      <c r="I496">
        <v>0.13639999999999999</v>
      </c>
      <c r="J496">
        <v>0.28000000000000003</v>
      </c>
      <c r="K496">
        <v>0.19400000000000001</v>
      </c>
      <c r="L496">
        <v>11</v>
      </c>
      <c r="M496">
        <v>72</v>
      </c>
      <c r="N496">
        <v>83</v>
      </c>
    </row>
    <row r="497" spans="1:14" x14ac:dyDescent="0.3">
      <c r="A497">
        <v>496</v>
      </c>
      <c r="B497" s="1">
        <v>40565</v>
      </c>
      <c r="C497">
        <v>1</v>
      </c>
      <c r="D497">
        <v>17</v>
      </c>
      <c r="E497" t="b">
        <v>0</v>
      </c>
      <c r="F497">
        <v>6</v>
      </c>
      <c r="G497">
        <v>1</v>
      </c>
      <c r="H497">
        <v>0.12</v>
      </c>
      <c r="I497">
        <v>0.19700000000000001</v>
      </c>
      <c r="J497">
        <v>0.28000000000000003</v>
      </c>
      <c r="K497">
        <v>0</v>
      </c>
      <c r="L497">
        <v>8</v>
      </c>
      <c r="M497">
        <v>59</v>
      </c>
      <c r="N497">
        <v>67</v>
      </c>
    </row>
    <row r="498" spans="1:14" x14ac:dyDescent="0.3">
      <c r="A498">
        <v>497</v>
      </c>
      <c r="B498" s="1">
        <v>40565</v>
      </c>
      <c r="C498">
        <v>1</v>
      </c>
      <c r="D498">
        <v>18</v>
      </c>
      <c r="E498" t="b">
        <v>0</v>
      </c>
      <c r="F498">
        <v>6</v>
      </c>
      <c r="G498">
        <v>1</v>
      </c>
      <c r="H498">
        <v>0.08</v>
      </c>
      <c r="I498">
        <v>9.0899999999999995E-2</v>
      </c>
      <c r="J498">
        <v>0.35</v>
      </c>
      <c r="K498">
        <v>0.19400000000000001</v>
      </c>
      <c r="L498">
        <v>0</v>
      </c>
      <c r="M498">
        <v>54</v>
      </c>
      <c r="N498">
        <v>54</v>
      </c>
    </row>
    <row r="499" spans="1:14" x14ac:dyDescent="0.3">
      <c r="A499">
        <v>498</v>
      </c>
      <c r="B499" s="1">
        <v>40565</v>
      </c>
      <c r="C499">
        <v>1</v>
      </c>
      <c r="D499">
        <v>19</v>
      </c>
      <c r="E499" t="b">
        <v>0</v>
      </c>
      <c r="F499">
        <v>6</v>
      </c>
      <c r="G499">
        <v>1</v>
      </c>
      <c r="H499">
        <v>0.08</v>
      </c>
      <c r="I499">
        <v>0.1061</v>
      </c>
      <c r="J499">
        <v>0.35</v>
      </c>
      <c r="K499">
        <v>0.1343</v>
      </c>
      <c r="L499">
        <v>6</v>
      </c>
      <c r="M499">
        <v>53</v>
      </c>
      <c r="N499">
        <v>59</v>
      </c>
    </row>
    <row r="500" spans="1:14" x14ac:dyDescent="0.3">
      <c r="A500">
        <v>499</v>
      </c>
      <c r="B500" s="1">
        <v>40565</v>
      </c>
      <c r="C500">
        <v>1</v>
      </c>
      <c r="D500">
        <v>20</v>
      </c>
      <c r="E500" t="b">
        <v>0</v>
      </c>
      <c r="F500">
        <v>6</v>
      </c>
      <c r="G500">
        <v>1</v>
      </c>
      <c r="H500">
        <v>0.06</v>
      </c>
      <c r="I500">
        <v>7.5800000000000006E-2</v>
      </c>
      <c r="J500">
        <v>0.45</v>
      </c>
      <c r="K500">
        <v>0.16420000000000001</v>
      </c>
      <c r="L500">
        <v>1</v>
      </c>
      <c r="M500">
        <v>44</v>
      </c>
      <c r="N500">
        <v>45</v>
      </c>
    </row>
    <row r="501" spans="1:14" x14ac:dyDescent="0.3">
      <c r="A501">
        <v>500</v>
      </c>
      <c r="B501" s="1">
        <v>40565</v>
      </c>
      <c r="C501">
        <v>1</v>
      </c>
      <c r="D501">
        <v>21</v>
      </c>
      <c r="E501" t="b">
        <v>0</v>
      </c>
      <c r="F501">
        <v>6</v>
      </c>
      <c r="G501">
        <v>1</v>
      </c>
      <c r="H501">
        <v>0.06</v>
      </c>
      <c r="I501">
        <v>0.1061</v>
      </c>
      <c r="J501">
        <v>0.41</v>
      </c>
      <c r="K501">
        <v>8.9599999999999999E-2</v>
      </c>
      <c r="L501">
        <v>0</v>
      </c>
      <c r="M501">
        <v>39</v>
      </c>
      <c r="N501">
        <v>39</v>
      </c>
    </row>
    <row r="502" spans="1:14" x14ac:dyDescent="0.3">
      <c r="A502">
        <v>501</v>
      </c>
      <c r="B502" s="1">
        <v>40565</v>
      </c>
      <c r="C502">
        <v>1</v>
      </c>
      <c r="D502">
        <v>22</v>
      </c>
      <c r="E502" t="b">
        <v>0</v>
      </c>
      <c r="F502">
        <v>6</v>
      </c>
      <c r="G502">
        <v>1</v>
      </c>
      <c r="H502">
        <v>0.06</v>
      </c>
      <c r="I502">
        <v>0.1515</v>
      </c>
      <c r="J502">
        <v>0.49</v>
      </c>
      <c r="K502">
        <v>0</v>
      </c>
      <c r="L502">
        <v>7</v>
      </c>
      <c r="M502">
        <v>23</v>
      </c>
      <c r="N502">
        <v>30</v>
      </c>
    </row>
    <row r="503" spans="1:14" x14ac:dyDescent="0.3">
      <c r="A503">
        <v>502</v>
      </c>
      <c r="B503" s="1">
        <v>40565</v>
      </c>
      <c r="C503">
        <v>1</v>
      </c>
      <c r="D503">
        <v>23</v>
      </c>
      <c r="E503" t="b">
        <v>0</v>
      </c>
      <c r="F503">
        <v>6</v>
      </c>
      <c r="G503">
        <v>1</v>
      </c>
      <c r="H503">
        <v>0.04</v>
      </c>
      <c r="I503">
        <v>7.5800000000000006E-2</v>
      </c>
      <c r="J503">
        <v>0.56999999999999995</v>
      </c>
      <c r="K503">
        <v>0.1045</v>
      </c>
      <c r="L503">
        <v>2</v>
      </c>
      <c r="M503">
        <v>31</v>
      </c>
      <c r="N503">
        <v>33</v>
      </c>
    </row>
    <row r="504" spans="1:14" x14ac:dyDescent="0.3">
      <c r="A504">
        <v>503</v>
      </c>
      <c r="B504" s="1">
        <v>40566</v>
      </c>
      <c r="C504">
        <v>1</v>
      </c>
      <c r="D504">
        <v>0</v>
      </c>
      <c r="E504" t="b">
        <v>0</v>
      </c>
      <c r="F504">
        <v>0</v>
      </c>
      <c r="G504">
        <v>1</v>
      </c>
      <c r="H504">
        <v>0.04</v>
      </c>
      <c r="I504">
        <v>7.5800000000000006E-2</v>
      </c>
      <c r="J504">
        <v>0.56999999999999995</v>
      </c>
      <c r="K504">
        <v>0.1045</v>
      </c>
      <c r="L504">
        <v>2</v>
      </c>
      <c r="M504">
        <v>20</v>
      </c>
      <c r="N504">
        <v>22</v>
      </c>
    </row>
    <row r="505" spans="1:14" x14ac:dyDescent="0.3">
      <c r="A505">
        <v>504</v>
      </c>
      <c r="B505" s="1">
        <v>40566</v>
      </c>
      <c r="C505">
        <v>1</v>
      </c>
      <c r="D505">
        <v>1</v>
      </c>
      <c r="E505" t="b">
        <v>0</v>
      </c>
      <c r="F505">
        <v>0</v>
      </c>
      <c r="G505">
        <v>1</v>
      </c>
      <c r="H505">
        <v>0.04</v>
      </c>
      <c r="I505">
        <v>7.5800000000000006E-2</v>
      </c>
      <c r="J505">
        <v>0.56999999999999995</v>
      </c>
      <c r="K505">
        <v>0.1045</v>
      </c>
      <c r="L505">
        <v>1</v>
      </c>
      <c r="M505">
        <v>12</v>
      </c>
      <c r="N505">
        <v>13</v>
      </c>
    </row>
    <row r="506" spans="1:14" x14ac:dyDescent="0.3">
      <c r="A506">
        <v>505</v>
      </c>
      <c r="B506" s="1">
        <v>40566</v>
      </c>
      <c r="C506">
        <v>1</v>
      </c>
      <c r="D506">
        <v>2</v>
      </c>
      <c r="E506" t="b">
        <v>0</v>
      </c>
      <c r="F506">
        <v>0</v>
      </c>
      <c r="G506">
        <v>1</v>
      </c>
      <c r="H506">
        <v>0.02</v>
      </c>
      <c r="I506">
        <v>6.0600000000000001E-2</v>
      </c>
      <c r="J506">
        <v>0.62</v>
      </c>
      <c r="K506">
        <v>0.1343</v>
      </c>
      <c r="L506">
        <v>3</v>
      </c>
      <c r="M506">
        <v>15</v>
      </c>
      <c r="N506">
        <v>18</v>
      </c>
    </row>
    <row r="507" spans="1:14" x14ac:dyDescent="0.3">
      <c r="A507">
        <v>506</v>
      </c>
      <c r="B507" s="1">
        <v>40566</v>
      </c>
      <c r="C507">
        <v>1</v>
      </c>
      <c r="D507">
        <v>3</v>
      </c>
      <c r="E507" t="b">
        <v>0</v>
      </c>
      <c r="F507">
        <v>0</v>
      </c>
      <c r="G507">
        <v>1</v>
      </c>
      <c r="H507">
        <v>0.02</v>
      </c>
      <c r="I507">
        <v>6.0600000000000001E-2</v>
      </c>
      <c r="J507">
        <v>0.62</v>
      </c>
      <c r="K507">
        <v>0.1343</v>
      </c>
      <c r="L507">
        <v>1</v>
      </c>
      <c r="M507">
        <v>4</v>
      </c>
      <c r="N507">
        <v>5</v>
      </c>
    </row>
    <row r="508" spans="1:14" x14ac:dyDescent="0.3">
      <c r="A508">
        <v>507</v>
      </c>
      <c r="B508" s="1">
        <v>40566</v>
      </c>
      <c r="C508">
        <v>1</v>
      </c>
      <c r="D508">
        <v>5</v>
      </c>
      <c r="E508" t="b">
        <v>0</v>
      </c>
      <c r="F508">
        <v>0</v>
      </c>
      <c r="G508">
        <v>2</v>
      </c>
      <c r="H508">
        <v>0.04</v>
      </c>
      <c r="I508">
        <v>7.5800000000000006E-2</v>
      </c>
      <c r="J508">
        <v>0.56999999999999995</v>
      </c>
      <c r="K508">
        <v>0.1045</v>
      </c>
      <c r="L508">
        <v>0</v>
      </c>
      <c r="M508">
        <v>3</v>
      </c>
      <c r="N508">
        <v>3</v>
      </c>
    </row>
    <row r="509" spans="1:14" x14ac:dyDescent="0.3">
      <c r="A509">
        <v>508</v>
      </c>
      <c r="B509" s="1">
        <v>40566</v>
      </c>
      <c r="C509">
        <v>1</v>
      </c>
      <c r="D509">
        <v>6</v>
      </c>
      <c r="E509" t="b">
        <v>0</v>
      </c>
      <c r="F509">
        <v>0</v>
      </c>
      <c r="G509">
        <v>2</v>
      </c>
      <c r="H509">
        <v>0.04</v>
      </c>
      <c r="I509">
        <v>7.5800000000000006E-2</v>
      </c>
      <c r="J509">
        <v>0.56999999999999995</v>
      </c>
      <c r="K509">
        <v>0.1045</v>
      </c>
      <c r="L509">
        <v>0</v>
      </c>
      <c r="M509">
        <v>1</v>
      </c>
      <c r="N509">
        <v>1</v>
      </c>
    </row>
    <row r="510" spans="1:14" x14ac:dyDescent="0.3">
      <c r="A510">
        <v>509</v>
      </c>
      <c r="B510" s="1">
        <v>40566</v>
      </c>
      <c r="C510">
        <v>1</v>
      </c>
      <c r="D510">
        <v>7</v>
      </c>
      <c r="E510" t="b">
        <v>0</v>
      </c>
      <c r="F510">
        <v>0</v>
      </c>
      <c r="G510">
        <v>1</v>
      </c>
      <c r="H510">
        <v>0.08</v>
      </c>
      <c r="I510">
        <v>0.1061</v>
      </c>
      <c r="J510">
        <v>0.57999999999999996</v>
      </c>
      <c r="K510">
        <v>0.16420000000000001</v>
      </c>
      <c r="L510">
        <v>1</v>
      </c>
      <c r="M510">
        <v>1</v>
      </c>
      <c r="N510">
        <v>2</v>
      </c>
    </row>
    <row r="511" spans="1:14" x14ac:dyDescent="0.3">
      <c r="A511">
        <v>510</v>
      </c>
      <c r="B511" s="1">
        <v>40566</v>
      </c>
      <c r="C511">
        <v>1</v>
      </c>
      <c r="D511">
        <v>8</v>
      </c>
      <c r="E511" t="b">
        <v>0</v>
      </c>
      <c r="F511">
        <v>0</v>
      </c>
      <c r="G511">
        <v>1</v>
      </c>
      <c r="H511">
        <v>0.06</v>
      </c>
      <c r="I511">
        <v>7.5800000000000006E-2</v>
      </c>
      <c r="J511">
        <v>0.62</v>
      </c>
      <c r="K511">
        <v>0.16420000000000001</v>
      </c>
      <c r="L511">
        <v>2</v>
      </c>
      <c r="M511">
        <v>17</v>
      </c>
      <c r="N511">
        <v>19</v>
      </c>
    </row>
    <row r="512" spans="1:14" x14ac:dyDescent="0.3">
      <c r="A512">
        <v>511</v>
      </c>
      <c r="B512" s="1">
        <v>40566</v>
      </c>
      <c r="C512">
        <v>1</v>
      </c>
      <c r="D512">
        <v>9</v>
      </c>
      <c r="E512" t="b">
        <v>0</v>
      </c>
      <c r="F512">
        <v>0</v>
      </c>
      <c r="G512">
        <v>1</v>
      </c>
      <c r="H512">
        <v>0.1</v>
      </c>
      <c r="I512">
        <v>7.5800000000000006E-2</v>
      </c>
      <c r="J512">
        <v>0.54</v>
      </c>
      <c r="K512">
        <v>0.35820000000000002</v>
      </c>
      <c r="L512">
        <v>3</v>
      </c>
      <c r="M512">
        <v>25</v>
      </c>
      <c r="N512">
        <v>28</v>
      </c>
    </row>
    <row r="513" spans="1:14" x14ac:dyDescent="0.3">
      <c r="A513">
        <v>512</v>
      </c>
      <c r="B513" s="1">
        <v>40566</v>
      </c>
      <c r="C513">
        <v>1</v>
      </c>
      <c r="D513">
        <v>10</v>
      </c>
      <c r="E513" t="b">
        <v>0</v>
      </c>
      <c r="F513">
        <v>0</v>
      </c>
      <c r="G513">
        <v>1</v>
      </c>
      <c r="H513">
        <v>0.14000000000000001</v>
      </c>
      <c r="I513">
        <v>0.1061</v>
      </c>
      <c r="J513">
        <v>0.46</v>
      </c>
      <c r="K513">
        <v>0.3881</v>
      </c>
      <c r="L513">
        <v>7</v>
      </c>
      <c r="M513">
        <v>51</v>
      </c>
      <c r="N513">
        <v>58</v>
      </c>
    </row>
    <row r="514" spans="1:14" x14ac:dyDescent="0.3">
      <c r="A514">
        <v>513</v>
      </c>
      <c r="B514" s="1">
        <v>40566</v>
      </c>
      <c r="C514">
        <v>1</v>
      </c>
      <c r="D514">
        <v>11</v>
      </c>
      <c r="E514" t="b">
        <v>0</v>
      </c>
      <c r="F514">
        <v>0</v>
      </c>
      <c r="G514">
        <v>1</v>
      </c>
      <c r="H514">
        <v>0.14000000000000001</v>
      </c>
      <c r="I514">
        <v>0.13639999999999999</v>
      </c>
      <c r="J514">
        <v>0.43</v>
      </c>
      <c r="K514">
        <v>0.22389999999999999</v>
      </c>
      <c r="L514">
        <v>22</v>
      </c>
      <c r="M514">
        <v>77</v>
      </c>
      <c r="N514">
        <v>99</v>
      </c>
    </row>
    <row r="515" spans="1:14" x14ac:dyDescent="0.3">
      <c r="A515">
        <v>514</v>
      </c>
      <c r="B515" s="1">
        <v>40566</v>
      </c>
      <c r="C515">
        <v>1</v>
      </c>
      <c r="D515">
        <v>12</v>
      </c>
      <c r="E515" t="b">
        <v>0</v>
      </c>
      <c r="F515">
        <v>0</v>
      </c>
      <c r="G515">
        <v>1</v>
      </c>
      <c r="H515">
        <v>0.16</v>
      </c>
      <c r="I515">
        <v>0.1212</v>
      </c>
      <c r="J515">
        <v>0.37</v>
      </c>
      <c r="K515">
        <v>0.4627</v>
      </c>
      <c r="L515">
        <v>24</v>
      </c>
      <c r="M515">
        <v>92</v>
      </c>
      <c r="N515">
        <v>116</v>
      </c>
    </row>
    <row r="516" spans="1:14" x14ac:dyDescent="0.3">
      <c r="A516">
        <v>515</v>
      </c>
      <c r="B516" s="1">
        <v>40566</v>
      </c>
      <c r="C516">
        <v>1</v>
      </c>
      <c r="D516">
        <v>13</v>
      </c>
      <c r="E516" t="b">
        <v>0</v>
      </c>
      <c r="F516">
        <v>0</v>
      </c>
      <c r="G516">
        <v>1</v>
      </c>
      <c r="H516">
        <v>0.14000000000000001</v>
      </c>
      <c r="I516">
        <v>0.1061</v>
      </c>
      <c r="J516">
        <v>0.33</v>
      </c>
      <c r="K516">
        <v>0.3881</v>
      </c>
      <c r="L516">
        <v>12</v>
      </c>
      <c r="M516">
        <v>75</v>
      </c>
      <c r="N516">
        <v>87</v>
      </c>
    </row>
    <row r="517" spans="1:14" x14ac:dyDescent="0.3">
      <c r="A517">
        <v>516</v>
      </c>
      <c r="B517" s="1">
        <v>40566</v>
      </c>
      <c r="C517">
        <v>1</v>
      </c>
      <c r="D517">
        <v>14</v>
      </c>
      <c r="E517" t="b">
        <v>0</v>
      </c>
      <c r="F517">
        <v>0</v>
      </c>
      <c r="G517">
        <v>1</v>
      </c>
      <c r="H517">
        <v>0.16</v>
      </c>
      <c r="I517">
        <v>0.13639999999999999</v>
      </c>
      <c r="J517">
        <v>0.28000000000000003</v>
      </c>
      <c r="K517">
        <v>0.35820000000000002</v>
      </c>
      <c r="L517">
        <v>17</v>
      </c>
      <c r="M517">
        <v>93</v>
      </c>
      <c r="N517">
        <v>110</v>
      </c>
    </row>
    <row r="518" spans="1:14" x14ac:dyDescent="0.3">
      <c r="A518">
        <v>517</v>
      </c>
      <c r="B518" s="1">
        <v>40566</v>
      </c>
      <c r="C518">
        <v>1</v>
      </c>
      <c r="D518">
        <v>15</v>
      </c>
      <c r="E518" t="b">
        <v>0</v>
      </c>
      <c r="F518">
        <v>0</v>
      </c>
      <c r="G518">
        <v>1</v>
      </c>
      <c r="H518">
        <v>0.16</v>
      </c>
      <c r="I518">
        <v>0.13639999999999999</v>
      </c>
      <c r="J518">
        <v>0.28000000000000003</v>
      </c>
      <c r="K518">
        <v>0.35820000000000002</v>
      </c>
      <c r="L518">
        <v>13</v>
      </c>
      <c r="M518">
        <v>64</v>
      </c>
      <c r="N518">
        <v>77</v>
      </c>
    </row>
    <row r="519" spans="1:14" x14ac:dyDescent="0.3">
      <c r="A519">
        <v>518</v>
      </c>
      <c r="B519" s="1">
        <v>40566</v>
      </c>
      <c r="C519">
        <v>1</v>
      </c>
      <c r="D519">
        <v>16</v>
      </c>
      <c r="E519" t="b">
        <v>0</v>
      </c>
      <c r="F519">
        <v>0</v>
      </c>
      <c r="G519">
        <v>1</v>
      </c>
      <c r="H519">
        <v>0.16</v>
      </c>
      <c r="I519">
        <v>0.13639999999999999</v>
      </c>
      <c r="J519">
        <v>0.26</v>
      </c>
      <c r="K519">
        <v>0.32840000000000003</v>
      </c>
      <c r="L519">
        <v>9</v>
      </c>
      <c r="M519">
        <v>56</v>
      </c>
      <c r="N519">
        <v>65</v>
      </c>
    </row>
    <row r="520" spans="1:14" x14ac:dyDescent="0.3">
      <c r="A520">
        <v>519</v>
      </c>
      <c r="B520" s="1">
        <v>40566</v>
      </c>
      <c r="C520">
        <v>1</v>
      </c>
      <c r="D520">
        <v>17</v>
      </c>
      <c r="E520" t="b">
        <v>0</v>
      </c>
      <c r="F520">
        <v>0</v>
      </c>
      <c r="G520">
        <v>1</v>
      </c>
      <c r="H520">
        <v>0.14000000000000001</v>
      </c>
      <c r="I520">
        <v>0.1061</v>
      </c>
      <c r="J520">
        <v>0.26</v>
      </c>
      <c r="K520">
        <v>0.3881</v>
      </c>
      <c r="L520">
        <v>5</v>
      </c>
      <c r="M520">
        <v>50</v>
      </c>
      <c r="N520">
        <v>55</v>
      </c>
    </row>
    <row r="521" spans="1:14" x14ac:dyDescent="0.3">
      <c r="A521">
        <v>520</v>
      </c>
      <c r="B521" s="1">
        <v>40566</v>
      </c>
      <c r="C521">
        <v>1</v>
      </c>
      <c r="D521">
        <v>18</v>
      </c>
      <c r="E521" t="b">
        <v>0</v>
      </c>
      <c r="F521">
        <v>0</v>
      </c>
      <c r="G521">
        <v>1</v>
      </c>
      <c r="H521">
        <v>0.12</v>
      </c>
      <c r="I521">
        <v>0.1212</v>
      </c>
      <c r="J521">
        <v>0.3</v>
      </c>
      <c r="K521">
        <v>0.25369999999999998</v>
      </c>
      <c r="L521">
        <v>5</v>
      </c>
      <c r="M521">
        <v>44</v>
      </c>
      <c r="N521">
        <v>49</v>
      </c>
    </row>
    <row r="522" spans="1:14" x14ac:dyDescent="0.3">
      <c r="A522">
        <v>521</v>
      </c>
      <c r="B522" s="1">
        <v>40566</v>
      </c>
      <c r="C522">
        <v>1</v>
      </c>
      <c r="D522">
        <v>19</v>
      </c>
      <c r="E522" t="b">
        <v>0</v>
      </c>
      <c r="F522">
        <v>0</v>
      </c>
      <c r="G522">
        <v>1</v>
      </c>
      <c r="H522">
        <v>0.12</v>
      </c>
      <c r="I522">
        <v>0.1212</v>
      </c>
      <c r="J522">
        <v>0.3</v>
      </c>
      <c r="K522">
        <v>0.28360000000000002</v>
      </c>
      <c r="L522">
        <v>5</v>
      </c>
      <c r="M522">
        <v>45</v>
      </c>
      <c r="N522">
        <v>50</v>
      </c>
    </row>
    <row r="523" spans="1:14" x14ac:dyDescent="0.3">
      <c r="A523">
        <v>522</v>
      </c>
      <c r="B523" s="1">
        <v>40566</v>
      </c>
      <c r="C523">
        <v>1</v>
      </c>
      <c r="D523">
        <v>20</v>
      </c>
      <c r="E523" t="b">
        <v>0</v>
      </c>
      <c r="F523">
        <v>0</v>
      </c>
      <c r="G523">
        <v>1</v>
      </c>
      <c r="H523">
        <v>0.1</v>
      </c>
      <c r="I523">
        <v>0.1061</v>
      </c>
      <c r="J523">
        <v>0.36</v>
      </c>
      <c r="K523">
        <v>0.25369999999999998</v>
      </c>
      <c r="L523">
        <v>4</v>
      </c>
      <c r="M523">
        <v>31</v>
      </c>
      <c r="N523">
        <v>35</v>
      </c>
    </row>
    <row r="524" spans="1:14" x14ac:dyDescent="0.3">
      <c r="A524">
        <v>523</v>
      </c>
      <c r="B524" s="1">
        <v>40566</v>
      </c>
      <c r="C524">
        <v>1</v>
      </c>
      <c r="D524">
        <v>21</v>
      </c>
      <c r="E524" t="b">
        <v>0</v>
      </c>
      <c r="F524">
        <v>0</v>
      </c>
      <c r="G524">
        <v>1</v>
      </c>
      <c r="H524">
        <v>0.1</v>
      </c>
      <c r="I524">
        <v>0.1061</v>
      </c>
      <c r="J524">
        <v>0.36</v>
      </c>
      <c r="K524">
        <v>0.19400000000000001</v>
      </c>
      <c r="L524">
        <v>5</v>
      </c>
      <c r="M524">
        <v>20</v>
      </c>
      <c r="N524">
        <v>25</v>
      </c>
    </row>
    <row r="525" spans="1:14" x14ac:dyDescent="0.3">
      <c r="A525">
        <v>524</v>
      </c>
      <c r="B525" s="1">
        <v>40566</v>
      </c>
      <c r="C525">
        <v>1</v>
      </c>
      <c r="D525">
        <v>22</v>
      </c>
      <c r="E525" t="b">
        <v>0</v>
      </c>
      <c r="F525">
        <v>0</v>
      </c>
      <c r="G525">
        <v>1</v>
      </c>
      <c r="H525">
        <v>0.08</v>
      </c>
      <c r="I525">
        <v>9.0899999999999995E-2</v>
      </c>
      <c r="J525">
        <v>0.38</v>
      </c>
      <c r="K525">
        <v>0.19400000000000001</v>
      </c>
      <c r="L525">
        <v>5</v>
      </c>
      <c r="M525">
        <v>23</v>
      </c>
      <c r="N525">
        <v>28</v>
      </c>
    </row>
    <row r="526" spans="1:14" x14ac:dyDescent="0.3">
      <c r="A526">
        <v>525</v>
      </c>
      <c r="B526" s="1">
        <v>40566</v>
      </c>
      <c r="C526">
        <v>1</v>
      </c>
      <c r="D526">
        <v>23</v>
      </c>
      <c r="E526" t="b">
        <v>0</v>
      </c>
      <c r="F526">
        <v>0</v>
      </c>
      <c r="G526">
        <v>1</v>
      </c>
      <c r="H526">
        <v>0.06</v>
      </c>
      <c r="I526">
        <v>6.0600000000000001E-2</v>
      </c>
      <c r="J526">
        <v>0.41</v>
      </c>
      <c r="K526">
        <v>0.22389999999999999</v>
      </c>
      <c r="L526">
        <v>4</v>
      </c>
      <c r="M526">
        <v>17</v>
      </c>
      <c r="N526">
        <v>21</v>
      </c>
    </row>
    <row r="527" spans="1:14" x14ac:dyDescent="0.3">
      <c r="A527">
        <v>526</v>
      </c>
      <c r="B527" s="1">
        <v>40567</v>
      </c>
      <c r="C527">
        <v>1</v>
      </c>
      <c r="D527">
        <v>0</v>
      </c>
      <c r="E527" t="b">
        <v>0</v>
      </c>
      <c r="F527">
        <v>1</v>
      </c>
      <c r="G527">
        <v>1</v>
      </c>
      <c r="H527">
        <v>0.06</v>
      </c>
      <c r="I527">
        <v>6.0600000000000001E-2</v>
      </c>
      <c r="J527">
        <v>0.41</v>
      </c>
      <c r="K527">
        <v>0.19400000000000001</v>
      </c>
      <c r="L527">
        <v>0</v>
      </c>
      <c r="M527">
        <v>7</v>
      </c>
      <c r="N527">
        <v>7</v>
      </c>
    </row>
    <row r="528" spans="1:14" x14ac:dyDescent="0.3">
      <c r="A528">
        <v>527</v>
      </c>
      <c r="B528" s="1">
        <v>40567</v>
      </c>
      <c r="C528">
        <v>1</v>
      </c>
      <c r="D528">
        <v>1</v>
      </c>
      <c r="E528" t="b">
        <v>0</v>
      </c>
      <c r="F528">
        <v>1</v>
      </c>
      <c r="G528">
        <v>1</v>
      </c>
      <c r="H528">
        <v>0.04</v>
      </c>
      <c r="I528">
        <v>4.5499999999999999E-2</v>
      </c>
      <c r="J528">
        <v>0.45</v>
      </c>
      <c r="K528">
        <v>0.19400000000000001</v>
      </c>
      <c r="L528">
        <v>0</v>
      </c>
      <c r="M528">
        <v>1</v>
      </c>
      <c r="N528">
        <v>1</v>
      </c>
    </row>
    <row r="529" spans="1:14" x14ac:dyDescent="0.3">
      <c r="A529">
        <v>528</v>
      </c>
      <c r="B529" s="1">
        <v>40567</v>
      </c>
      <c r="C529">
        <v>1</v>
      </c>
      <c r="D529">
        <v>3</v>
      </c>
      <c r="E529" t="b">
        <v>0</v>
      </c>
      <c r="F529">
        <v>1</v>
      </c>
      <c r="G529">
        <v>1</v>
      </c>
      <c r="H529">
        <v>0.04</v>
      </c>
      <c r="I529">
        <v>3.0300000000000001E-2</v>
      </c>
      <c r="J529">
        <v>0.45</v>
      </c>
      <c r="K529">
        <v>0.25369999999999998</v>
      </c>
      <c r="L529">
        <v>0</v>
      </c>
      <c r="M529">
        <v>1</v>
      </c>
      <c r="N529">
        <v>1</v>
      </c>
    </row>
    <row r="530" spans="1:14" x14ac:dyDescent="0.3">
      <c r="A530">
        <v>529</v>
      </c>
      <c r="B530" s="1">
        <v>40567</v>
      </c>
      <c r="C530">
        <v>1</v>
      </c>
      <c r="D530">
        <v>4</v>
      </c>
      <c r="E530" t="b">
        <v>0</v>
      </c>
      <c r="F530">
        <v>1</v>
      </c>
      <c r="G530">
        <v>1</v>
      </c>
      <c r="H530">
        <v>0.02</v>
      </c>
      <c r="I530">
        <v>6.0600000000000001E-2</v>
      </c>
      <c r="J530">
        <v>0.48</v>
      </c>
      <c r="K530">
        <v>0.1343</v>
      </c>
      <c r="L530">
        <v>0</v>
      </c>
      <c r="M530">
        <v>1</v>
      </c>
      <c r="N530">
        <v>1</v>
      </c>
    </row>
    <row r="531" spans="1:14" x14ac:dyDescent="0.3">
      <c r="A531">
        <v>530</v>
      </c>
      <c r="B531" s="1">
        <v>40567</v>
      </c>
      <c r="C531">
        <v>1</v>
      </c>
      <c r="D531">
        <v>5</v>
      </c>
      <c r="E531" t="b">
        <v>0</v>
      </c>
      <c r="F531">
        <v>1</v>
      </c>
      <c r="G531">
        <v>1</v>
      </c>
      <c r="H531">
        <v>0.02</v>
      </c>
      <c r="I531">
        <v>6.0600000000000001E-2</v>
      </c>
      <c r="J531">
        <v>0.48</v>
      </c>
      <c r="K531">
        <v>0.1343</v>
      </c>
      <c r="L531">
        <v>0</v>
      </c>
      <c r="M531">
        <v>5</v>
      </c>
      <c r="N531">
        <v>5</v>
      </c>
    </row>
    <row r="532" spans="1:14" x14ac:dyDescent="0.3">
      <c r="A532">
        <v>531</v>
      </c>
      <c r="B532" s="1">
        <v>40567</v>
      </c>
      <c r="C532">
        <v>1</v>
      </c>
      <c r="D532">
        <v>6</v>
      </c>
      <c r="E532" t="b">
        <v>0</v>
      </c>
      <c r="F532">
        <v>1</v>
      </c>
      <c r="G532">
        <v>1</v>
      </c>
      <c r="H532">
        <v>0.02</v>
      </c>
      <c r="I532">
        <v>7.5800000000000006E-2</v>
      </c>
      <c r="J532">
        <v>0.48</v>
      </c>
      <c r="K532">
        <v>8.9599999999999999E-2</v>
      </c>
      <c r="L532">
        <v>0</v>
      </c>
      <c r="M532">
        <v>15</v>
      </c>
      <c r="N532">
        <v>15</v>
      </c>
    </row>
    <row r="533" spans="1:14" x14ac:dyDescent="0.3">
      <c r="A533">
        <v>532</v>
      </c>
      <c r="B533" s="1">
        <v>40567</v>
      </c>
      <c r="C533">
        <v>1</v>
      </c>
      <c r="D533">
        <v>7</v>
      </c>
      <c r="E533" t="b">
        <v>0</v>
      </c>
      <c r="F533">
        <v>1</v>
      </c>
      <c r="G533">
        <v>1</v>
      </c>
      <c r="H533">
        <v>0.02</v>
      </c>
      <c r="I533">
        <v>0.1212</v>
      </c>
      <c r="J533">
        <v>0.48</v>
      </c>
      <c r="K533">
        <v>0</v>
      </c>
      <c r="L533">
        <v>5</v>
      </c>
      <c r="M533">
        <v>79</v>
      </c>
      <c r="N533">
        <v>84</v>
      </c>
    </row>
    <row r="534" spans="1:14" x14ac:dyDescent="0.3">
      <c r="A534">
        <v>533</v>
      </c>
      <c r="B534" s="1">
        <v>40567</v>
      </c>
      <c r="C534">
        <v>1</v>
      </c>
      <c r="D534">
        <v>8</v>
      </c>
      <c r="E534" t="b">
        <v>0</v>
      </c>
      <c r="F534">
        <v>1</v>
      </c>
      <c r="G534">
        <v>1</v>
      </c>
      <c r="H534">
        <v>0.04</v>
      </c>
      <c r="I534">
        <v>0.13639999999999999</v>
      </c>
      <c r="J534">
        <v>0.49</v>
      </c>
      <c r="K534">
        <v>0</v>
      </c>
      <c r="L534">
        <v>6</v>
      </c>
      <c r="M534">
        <v>171</v>
      </c>
      <c r="N534">
        <v>177</v>
      </c>
    </row>
    <row r="535" spans="1:14" x14ac:dyDescent="0.3">
      <c r="A535">
        <v>534</v>
      </c>
      <c r="B535" s="1">
        <v>40567</v>
      </c>
      <c r="C535">
        <v>1</v>
      </c>
      <c r="D535">
        <v>9</v>
      </c>
      <c r="E535" t="b">
        <v>0</v>
      </c>
      <c r="F535">
        <v>1</v>
      </c>
      <c r="G535">
        <v>1</v>
      </c>
      <c r="H535">
        <v>0.06</v>
      </c>
      <c r="I535">
        <v>0.1515</v>
      </c>
      <c r="J535">
        <v>0.41</v>
      </c>
      <c r="K535">
        <v>0</v>
      </c>
      <c r="L535">
        <v>4</v>
      </c>
      <c r="M535">
        <v>98</v>
      </c>
      <c r="N535">
        <v>102</v>
      </c>
    </row>
    <row r="536" spans="1:14" x14ac:dyDescent="0.3">
      <c r="A536">
        <v>535</v>
      </c>
      <c r="B536" s="1">
        <v>40567</v>
      </c>
      <c r="C536">
        <v>1</v>
      </c>
      <c r="D536">
        <v>10</v>
      </c>
      <c r="E536" t="b">
        <v>0</v>
      </c>
      <c r="F536">
        <v>1</v>
      </c>
      <c r="G536">
        <v>1</v>
      </c>
      <c r="H536">
        <v>0.1</v>
      </c>
      <c r="I536">
        <v>0.13639999999999999</v>
      </c>
      <c r="J536">
        <v>0.42</v>
      </c>
      <c r="K536">
        <v>0</v>
      </c>
      <c r="L536">
        <v>6</v>
      </c>
      <c r="M536">
        <v>34</v>
      </c>
      <c r="N536">
        <v>40</v>
      </c>
    </row>
    <row r="537" spans="1:14" x14ac:dyDescent="0.3">
      <c r="A537">
        <v>536</v>
      </c>
      <c r="B537" s="1">
        <v>40567</v>
      </c>
      <c r="C537">
        <v>1</v>
      </c>
      <c r="D537">
        <v>11</v>
      </c>
      <c r="E537" t="b">
        <v>0</v>
      </c>
      <c r="F537">
        <v>1</v>
      </c>
      <c r="G537">
        <v>1</v>
      </c>
      <c r="H537">
        <v>0.1</v>
      </c>
      <c r="I537">
        <v>0.1212</v>
      </c>
      <c r="J537">
        <v>0.46</v>
      </c>
      <c r="K537">
        <v>0.1343</v>
      </c>
      <c r="L537">
        <v>3</v>
      </c>
      <c r="M537">
        <v>43</v>
      </c>
      <c r="N537">
        <v>46</v>
      </c>
    </row>
    <row r="538" spans="1:14" x14ac:dyDescent="0.3">
      <c r="A538">
        <v>537</v>
      </c>
      <c r="B538" s="1">
        <v>40567</v>
      </c>
      <c r="C538">
        <v>1</v>
      </c>
      <c r="D538">
        <v>12</v>
      </c>
      <c r="E538" t="b">
        <v>0</v>
      </c>
      <c r="F538">
        <v>1</v>
      </c>
      <c r="G538">
        <v>2</v>
      </c>
      <c r="H538">
        <v>0.12</v>
      </c>
      <c r="I538">
        <v>0.13639999999999999</v>
      </c>
      <c r="J538">
        <v>0.42</v>
      </c>
      <c r="K538">
        <v>0.19400000000000001</v>
      </c>
      <c r="L538">
        <v>11</v>
      </c>
      <c r="M538">
        <v>52</v>
      </c>
      <c r="N538">
        <v>63</v>
      </c>
    </row>
    <row r="539" spans="1:14" x14ac:dyDescent="0.3">
      <c r="A539">
        <v>538</v>
      </c>
      <c r="B539" s="1">
        <v>40567</v>
      </c>
      <c r="C539">
        <v>1</v>
      </c>
      <c r="D539">
        <v>13</v>
      </c>
      <c r="E539" t="b">
        <v>0</v>
      </c>
      <c r="F539">
        <v>1</v>
      </c>
      <c r="G539">
        <v>2</v>
      </c>
      <c r="H539">
        <v>0.14000000000000001</v>
      </c>
      <c r="I539">
        <v>0.13639999999999999</v>
      </c>
      <c r="J539">
        <v>0.43</v>
      </c>
      <c r="K539">
        <v>0.22389999999999999</v>
      </c>
      <c r="L539">
        <v>6</v>
      </c>
      <c r="M539">
        <v>54</v>
      </c>
      <c r="N539">
        <v>60</v>
      </c>
    </row>
    <row r="540" spans="1:14" x14ac:dyDescent="0.3">
      <c r="A540">
        <v>539</v>
      </c>
      <c r="B540" s="1">
        <v>40567</v>
      </c>
      <c r="C540">
        <v>1</v>
      </c>
      <c r="D540">
        <v>14</v>
      </c>
      <c r="E540" t="b">
        <v>0</v>
      </c>
      <c r="F540">
        <v>1</v>
      </c>
      <c r="G540">
        <v>2</v>
      </c>
      <c r="H540">
        <v>0.14000000000000001</v>
      </c>
      <c r="I540">
        <v>0.13639999999999999</v>
      </c>
      <c r="J540">
        <v>0.46</v>
      </c>
      <c r="K540">
        <v>0.22389999999999999</v>
      </c>
      <c r="L540">
        <v>2</v>
      </c>
      <c r="M540">
        <v>43</v>
      </c>
      <c r="N540">
        <v>45</v>
      </c>
    </row>
    <row r="541" spans="1:14" x14ac:dyDescent="0.3">
      <c r="A541">
        <v>540</v>
      </c>
      <c r="B541" s="1">
        <v>40567</v>
      </c>
      <c r="C541">
        <v>1</v>
      </c>
      <c r="D541">
        <v>15</v>
      </c>
      <c r="E541" t="b">
        <v>0</v>
      </c>
      <c r="F541">
        <v>1</v>
      </c>
      <c r="G541">
        <v>1</v>
      </c>
      <c r="H541">
        <v>0.16</v>
      </c>
      <c r="I541">
        <v>0.16669999999999999</v>
      </c>
      <c r="J541">
        <v>0.4</v>
      </c>
      <c r="K541">
        <v>0.16420000000000001</v>
      </c>
      <c r="L541">
        <v>7</v>
      </c>
      <c r="M541">
        <v>50</v>
      </c>
      <c r="N541">
        <v>57</v>
      </c>
    </row>
    <row r="542" spans="1:14" x14ac:dyDescent="0.3">
      <c r="A542">
        <v>541</v>
      </c>
      <c r="B542" s="1">
        <v>40567</v>
      </c>
      <c r="C542">
        <v>1</v>
      </c>
      <c r="D542">
        <v>16</v>
      </c>
      <c r="E542" t="b">
        <v>0</v>
      </c>
      <c r="F542">
        <v>1</v>
      </c>
      <c r="G542">
        <v>1</v>
      </c>
      <c r="H542">
        <v>0.16</v>
      </c>
      <c r="I542">
        <v>0.1515</v>
      </c>
      <c r="J542">
        <v>0.47</v>
      </c>
      <c r="K542">
        <v>0.25369999999999998</v>
      </c>
      <c r="L542">
        <v>4</v>
      </c>
      <c r="M542">
        <v>66</v>
      </c>
      <c r="N542">
        <v>70</v>
      </c>
    </row>
    <row r="543" spans="1:14" x14ac:dyDescent="0.3">
      <c r="A543">
        <v>542</v>
      </c>
      <c r="B543" s="1">
        <v>40567</v>
      </c>
      <c r="C543">
        <v>1</v>
      </c>
      <c r="D543">
        <v>17</v>
      </c>
      <c r="E543" t="b">
        <v>0</v>
      </c>
      <c r="F543">
        <v>1</v>
      </c>
      <c r="G543">
        <v>1</v>
      </c>
      <c r="H543">
        <v>0.14000000000000001</v>
      </c>
      <c r="I543">
        <v>0.1212</v>
      </c>
      <c r="J543">
        <v>0.5</v>
      </c>
      <c r="K543">
        <v>0.25369999999999998</v>
      </c>
      <c r="L543">
        <v>6</v>
      </c>
      <c r="M543">
        <v>178</v>
      </c>
      <c r="N543">
        <v>184</v>
      </c>
    </row>
    <row r="544" spans="1:14" x14ac:dyDescent="0.3">
      <c r="A544">
        <v>543</v>
      </c>
      <c r="B544" s="1">
        <v>40567</v>
      </c>
      <c r="C544">
        <v>1</v>
      </c>
      <c r="D544">
        <v>18</v>
      </c>
      <c r="E544" t="b">
        <v>0</v>
      </c>
      <c r="F544">
        <v>1</v>
      </c>
      <c r="G544">
        <v>1</v>
      </c>
      <c r="H544">
        <v>0.14000000000000001</v>
      </c>
      <c r="I544">
        <v>0.13639999999999999</v>
      </c>
      <c r="J544">
        <v>0.59</v>
      </c>
      <c r="K544">
        <v>0.19400000000000001</v>
      </c>
      <c r="L544">
        <v>8</v>
      </c>
      <c r="M544">
        <v>145</v>
      </c>
      <c r="N544">
        <v>153</v>
      </c>
    </row>
    <row r="545" spans="1:14" x14ac:dyDescent="0.3">
      <c r="A545">
        <v>544</v>
      </c>
      <c r="B545" s="1">
        <v>40567</v>
      </c>
      <c r="C545">
        <v>1</v>
      </c>
      <c r="D545">
        <v>19</v>
      </c>
      <c r="E545" t="b">
        <v>0</v>
      </c>
      <c r="F545">
        <v>1</v>
      </c>
      <c r="G545">
        <v>1</v>
      </c>
      <c r="H545">
        <v>0.14000000000000001</v>
      </c>
      <c r="I545">
        <v>0.1515</v>
      </c>
      <c r="J545">
        <v>0.54</v>
      </c>
      <c r="K545">
        <v>0.16420000000000001</v>
      </c>
      <c r="L545">
        <v>5</v>
      </c>
      <c r="M545">
        <v>101</v>
      </c>
      <c r="N545">
        <v>106</v>
      </c>
    </row>
    <row r="546" spans="1:14" x14ac:dyDescent="0.3">
      <c r="A546">
        <v>545</v>
      </c>
      <c r="B546" s="1">
        <v>40567</v>
      </c>
      <c r="C546">
        <v>1</v>
      </c>
      <c r="D546">
        <v>20</v>
      </c>
      <c r="E546" t="b">
        <v>0</v>
      </c>
      <c r="F546">
        <v>1</v>
      </c>
      <c r="G546">
        <v>1</v>
      </c>
      <c r="H546">
        <v>0.14000000000000001</v>
      </c>
      <c r="I546">
        <v>0.13639999999999999</v>
      </c>
      <c r="J546">
        <v>0.59</v>
      </c>
      <c r="K546">
        <v>0.19400000000000001</v>
      </c>
      <c r="L546">
        <v>1</v>
      </c>
      <c r="M546">
        <v>80</v>
      </c>
      <c r="N546">
        <v>81</v>
      </c>
    </row>
    <row r="547" spans="1:14" x14ac:dyDescent="0.3">
      <c r="A547">
        <v>546</v>
      </c>
      <c r="B547" s="1">
        <v>40567</v>
      </c>
      <c r="C547">
        <v>1</v>
      </c>
      <c r="D547">
        <v>21</v>
      </c>
      <c r="E547" t="b">
        <v>0</v>
      </c>
      <c r="F547">
        <v>1</v>
      </c>
      <c r="G547">
        <v>1</v>
      </c>
      <c r="H547">
        <v>0.14000000000000001</v>
      </c>
      <c r="I547">
        <v>0.1515</v>
      </c>
      <c r="J547">
        <v>0.63</v>
      </c>
      <c r="K547">
        <v>0.16420000000000001</v>
      </c>
      <c r="L547">
        <v>6</v>
      </c>
      <c r="M547">
        <v>53</v>
      </c>
      <c r="N547">
        <v>59</v>
      </c>
    </row>
    <row r="548" spans="1:14" x14ac:dyDescent="0.3">
      <c r="A548">
        <v>547</v>
      </c>
      <c r="B548" s="1">
        <v>40567</v>
      </c>
      <c r="C548">
        <v>1</v>
      </c>
      <c r="D548">
        <v>22</v>
      </c>
      <c r="E548" t="b">
        <v>0</v>
      </c>
      <c r="F548">
        <v>1</v>
      </c>
      <c r="G548">
        <v>2</v>
      </c>
      <c r="H548">
        <v>0.14000000000000001</v>
      </c>
      <c r="I548">
        <v>0.13639999999999999</v>
      </c>
      <c r="J548">
        <v>0.63</v>
      </c>
      <c r="K548">
        <v>0.22389999999999999</v>
      </c>
      <c r="L548">
        <v>3</v>
      </c>
      <c r="M548">
        <v>32</v>
      </c>
      <c r="N548">
        <v>35</v>
      </c>
    </row>
    <row r="549" spans="1:14" x14ac:dyDescent="0.3">
      <c r="A549">
        <v>548</v>
      </c>
      <c r="B549" s="1">
        <v>40567</v>
      </c>
      <c r="C549">
        <v>1</v>
      </c>
      <c r="D549">
        <v>23</v>
      </c>
      <c r="E549" t="b">
        <v>0</v>
      </c>
      <c r="F549">
        <v>1</v>
      </c>
      <c r="G549">
        <v>2</v>
      </c>
      <c r="H549">
        <v>0.16</v>
      </c>
      <c r="I549">
        <v>0.1515</v>
      </c>
      <c r="J549">
        <v>0.64</v>
      </c>
      <c r="K549">
        <v>0.25369999999999998</v>
      </c>
      <c r="L549">
        <v>3</v>
      </c>
      <c r="M549">
        <v>21</v>
      </c>
      <c r="N549">
        <v>24</v>
      </c>
    </row>
    <row r="550" spans="1:14" x14ac:dyDescent="0.3">
      <c r="A550">
        <v>549</v>
      </c>
      <c r="B550" s="1">
        <v>40568</v>
      </c>
      <c r="C550">
        <v>1</v>
      </c>
      <c r="D550">
        <v>0</v>
      </c>
      <c r="E550" t="b">
        <v>0</v>
      </c>
      <c r="F550">
        <v>2</v>
      </c>
      <c r="G550">
        <v>2</v>
      </c>
      <c r="H550">
        <v>0.16</v>
      </c>
      <c r="I550">
        <v>0.13639999999999999</v>
      </c>
      <c r="J550">
        <v>0.69</v>
      </c>
      <c r="K550">
        <v>0.28360000000000002</v>
      </c>
      <c r="L550">
        <v>3</v>
      </c>
      <c r="M550">
        <v>6</v>
      </c>
      <c r="N550">
        <v>9</v>
      </c>
    </row>
    <row r="551" spans="1:14" x14ac:dyDescent="0.3">
      <c r="A551">
        <v>550</v>
      </c>
      <c r="B551" s="1">
        <v>40568</v>
      </c>
      <c r="C551">
        <v>1</v>
      </c>
      <c r="D551">
        <v>1</v>
      </c>
      <c r="E551" t="b">
        <v>0</v>
      </c>
      <c r="F551">
        <v>2</v>
      </c>
      <c r="G551">
        <v>2</v>
      </c>
      <c r="H551">
        <v>0.16</v>
      </c>
      <c r="I551">
        <v>0.16669999999999999</v>
      </c>
      <c r="J551">
        <v>0.69</v>
      </c>
      <c r="K551">
        <v>0.16420000000000001</v>
      </c>
      <c r="L551">
        <v>0</v>
      </c>
      <c r="M551">
        <v>5</v>
      </c>
      <c r="N551">
        <v>5</v>
      </c>
    </row>
    <row r="552" spans="1:14" x14ac:dyDescent="0.3">
      <c r="A552">
        <v>551</v>
      </c>
      <c r="B552" s="1">
        <v>40568</v>
      </c>
      <c r="C552">
        <v>1</v>
      </c>
      <c r="D552">
        <v>2</v>
      </c>
      <c r="E552" t="b">
        <v>0</v>
      </c>
      <c r="F552">
        <v>2</v>
      </c>
      <c r="G552">
        <v>1</v>
      </c>
      <c r="H552">
        <v>0.16</v>
      </c>
      <c r="I552">
        <v>0.1515</v>
      </c>
      <c r="J552">
        <v>0.69</v>
      </c>
      <c r="K552">
        <v>0.22389999999999999</v>
      </c>
      <c r="L552">
        <v>0</v>
      </c>
      <c r="M552">
        <v>2</v>
      </c>
      <c r="N552">
        <v>2</v>
      </c>
    </row>
    <row r="553" spans="1:14" x14ac:dyDescent="0.3">
      <c r="A553">
        <v>552</v>
      </c>
      <c r="B553" s="1">
        <v>40568</v>
      </c>
      <c r="C553">
        <v>1</v>
      </c>
      <c r="D553">
        <v>4</v>
      </c>
      <c r="E553" t="b">
        <v>0</v>
      </c>
      <c r="F553">
        <v>2</v>
      </c>
      <c r="G553">
        <v>1</v>
      </c>
      <c r="H553">
        <v>0.14000000000000001</v>
      </c>
      <c r="I553">
        <v>0.16669999999999999</v>
      </c>
      <c r="J553">
        <v>0.74</v>
      </c>
      <c r="K553">
        <v>0.1045</v>
      </c>
      <c r="L553">
        <v>0</v>
      </c>
      <c r="M553">
        <v>1</v>
      </c>
      <c r="N553">
        <v>1</v>
      </c>
    </row>
    <row r="554" spans="1:14" x14ac:dyDescent="0.3">
      <c r="A554">
        <v>553</v>
      </c>
      <c r="B554" s="1">
        <v>40568</v>
      </c>
      <c r="C554">
        <v>1</v>
      </c>
      <c r="D554">
        <v>5</v>
      </c>
      <c r="E554" t="b">
        <v>0</v>
      </c>
      <c r="F554">
        <v>2</v>
      </c>
      <c r="G554">
        <v>1</v>
      </c>
      <c r="H554">
        <v>0.14000000000000001</v>
      </c>
      <c r="I554">
        <v>0.13639999999999999</v>
      </c>
      <c r="J554">
        <v>0.74</v>
      </c>
      <c r="K554">
        <v>0.22389999999999999</v>
      </c>
      <c r="L554">
        <v>0</v>
      </c>
      <c r="M554">
        <v>9</v>
      </c>
      <c r="N554">
        <v>9</v>
      </c>
    </row>
    <row r="555" spans="1:14" x14ac:dyDescent="0.3">
      <c r="A555">
        <v>554</v>
      </c>
      <c r="B555" s="1">
        <v>40568</v>
      </c>
      <c r="C555">
        <v>1</v>
      </c>
      <c r="D555">
        <v>6</v>
      </c>
      <c r="E555" t="b">
        <v>0</v>
      </c>
      <c r="F555">
        <v>2</v>
      </c>
      <c r="G555">
        <v>1</v>
      </c>
      <c r="H555">
        <v>0.16</v>
      </c>
      <c r="I555">
        <v>0.18179999999999999</v>
      </c>
      <c r="J555">
        <v>0.74</v>
      </c>
      <c r="K555">
        <v>0.1045</v>
      </c>
      <c r="L555">
        <v>1</v>
      </c>
      <c r="M555">
        <v>35</v>
      </c>
      <c r="N555">
        <v>36</v>
      </c>
    </row>
    <row r="556" spans="1:14" x14ac:dyDescent="0.3">
      <c r="A556">
        <v>555</v>
      </c>
      <c r="B556" s="1">
        <v>40568</v>
      </c>
      <c r="C556">
        <v>1</v>
      </c>
      <c r="D556">
        <v>7</v>
      </c>
      <c r="E556" t="b">
        <v>0</v>
      </c>
      <c r="F556">
        <v>2</v>
      </c>
      <c r="G556">
        <v>1</v>
      </c>
      <c r="H556">
        <v>0.16</v>
      </c>
      <c r="I556">
        <v>0.1515</v>
      </c>
      <c r="J556">
        <v>0.74</v>
      </c>
      <c r="K556">
        <v>0.22389999999999999</v>
      </c>
      <c r="L556">
        <v>5</v>
      </c>
      <c r="M556">
        <v>103</v>
      </c>
      <c r="N556">
        <v>108</v>
      </c>
    </row>
    <row r="557" spans="1:14" x14ac:dyDescent="0.3">
      <c r="A557">
        <v>556</v>
      </c>
      <c r="B557" s="1">
        <v>40568</v>
      </c>
      <c r="C557">
        <v>1</v>
      </c>
      <c r="D557">
        <v>8</v>
      </c>
      <c r="E557" t="b">
        <v>0</v>
      </c>
      <c r="F557">
        <v>2</v>
      </c>
      <c r="G557">
        <v>2</v>
      </c>
      <c r="H557">
        <v>0.16</v>
      </c>
      <c r="I557">
        <v>0.18179999999999999</v>
      </c>
      <c r="J557">
        <v>0.74</v>
      </c>
      <c r="K557">
        <v>0.1343</v>
      </c>
      <c r="L557">
        <v>5</v>
      </c>
      <c r="M557">
        <v>233</v>
      </c>
      <c r="N557">
        <v>238</v>
      </c>
    </row>
    <row r="558" spans="1:14" x14ac:dyDescent="0.3">
      <c r="A558">
        <v>557</v>
      </c>
      <c r="B558" s="1">
        <v>40568</v>
      </c>
      <c r="C558">
        <v>1</v>
      </c>
      <c r="D558">
        <v>9</v>
      </c>
      <c r="E558" t="b">
        <v>0</v>
      </c>
      <c r="F558">
        <v>2</v>
      </c>
      <c r="G558">
        <v>2</v>
      </c>
      <c r="H558">
        <v>0.2</v>
      </c>
      <c r="I558">
        <v>0.2273</v>
      </c>
      <c r="J558">
        <v>0.64</v>
      </c>
      <c r="K558">
        <v>8.9599999999999999E-2</v>
      </c>
      <c r="L558">
        <v>10</v>
      </c>
      <c r="M558">
        <v>134</v>
      </c>
      <c r="N558">
        <v>144</v>
      </c>
    </row>
    <row r="559" spans="1:14" x14ac:dyDescent="0.3">
      <c r="A559">
        <v>558</v>
      </c>
      <c r="B559" s="1">
        <v>40568</v>
      </c>
      <c r="C559">
        <v>1</v>
      </c>
      <c r="D559">
        <v>10</v>
      </c>
      <c r="E559" t="b">
        <v>0</v>
      </c>
      <c r="F559">
        <v>2</v>
      </c>
      <c r="G559">
        <v>2</v>
      </c>
      <c r="H559">
        <v>0.22</v>
      </c>
      <c r="I559">
        <v>0.2424</v>
      </c>
      <c r="J559">
        <v>0.6</v>
      </c>
      <c r="K559">
        <v>0.1045</v>
      </c>
      <c r="L559">
        <v>6</v>
      </c>
      <c r="M559">
        <v>49</v>
      </c>
      <c r="N559">
        <v>55</v>
      </c>
    </row>
    <row r="560" spans="1:14" x14ac:dyDescent="0.3">
      <c r="A560">
        <v>559</v>
      </c>
      <c r="B560" s="1">
        <v>40568</v>
      </c>
      <c r="C560">
        <v>1</v>
      </c>
      <c r="D560">
        <v>11</v>
      </c>
      <c r="E560" t="b">
        <v>0</v>
      </c>
      <c r="F560">
        <v>2</v>
      </c>
      <c r="G560">
        <v>2</v>
      </c>
      <c r="H560">
        <v>0.24</v>
      </c>
      <c r="I560">
        <v>0.2424</v>
      </c>
      <c r="J560">
        <v>0.6</v>
      </c>
      <c r="K560">
        <v>0.1343</v>
      </c>
      <c r="L560">
        <v>6</v>
      </c>
      <c r="M560">
        <v>55</v>
      </c>
      <c r="N560">
        <v>61</v>
      </c>
    </row>
    <row r="561" spans="1:14" x14ac:dyDescent="0.3">
      <c r="A561">
        <v>560</v>
      </c>
      <c r="B561" s="1">
        <v>40568</v>
      </c>
      <c r="C561">
        <v>1</v>
      </c>
      <c r="D561">
        <v>12</v>
      </c>
      <c r="E561" t="b">
        <v>0</v>
      </c>
      <c r="F561">
        <v>2</v>
      </c>
      <c r="G561">
        <v>2</v>
      </c>
      <c r="H561">
        <v>0.26</v>
      </c>
      <c r="I561">
        <v>0.28789999999999999</v>
      </c>
      <c r="J561">
        <v>0.56000000000000005</v>
      </c>
      <c r="K561">
        <v>8.9599999999999999E-2</v>
      </c>
      <c r="L561">
        <v>21</v>
      </c>
      <c r="M561">
        <v>85</v>
      </c>
      <c r="N561">
        <v>106</v>
      </c>
    </row>
    <row r="562" spans="1:14" x14ac:dyDescent="0.3">
      <c r="A562">
        <v>561</v>
      </c>
      <c r="B562" s="1">
        <v>40568</v>
      </c>
      <c r="C562">
        <v>1</v>
      </c>
      <c r="D562">
        <v>13</v>
      </c>
      <c r="E562" t="b">
        <v>0</v>
      </c>
      <c r="F562">
        <v>2</v>
      </c>
      <c r="G562">
        <v>2</v>
      </c>
      <c r="H562">
        <v>0.26</v>
      </c>
      <c r="I562">
        <v>0.2727</v>
      </c>
      <c r="J562">
        <v>0.56000000000000005</v>
      </c>
      <c r="K562">
        <v>0.1343</v>
      </c>
      <c r="L562">
        <v>21</v>
      </c>
      <c r="M562">
        <v>72</v>
      </c>
      <c r="N562">
        <v>93</v>
      </c>
    </row>
    <row r="563" spans="1:14" x14ac:dyDescent="0.3">
      <c r="A563">
        <v>562</v>
      </c>
      <c r="B563" s="1">
        <v>40568</v>
      </c>
      <c r="C563">
        <v>1</v>
      </c>
      <c r="D563">
        <v>14</v>
      </c>
      <c r="E563" t="b">
        <v>0</v>
      </c>
      <c r="F563">
        <v>2</v>
      </c>
      <c r="G563">
        <v>2</v>
      </c>
      <c r="H563">
        <v>0.3</v>
      </c>
      <c r="I563">
        <v>0.33329999999999999</v>
      </c>
      <c r="J563">
        <v>0.45</v>
      </c>
      <c r="K563">
        <v>0</v>
      </c>
      <c r="L563">
        <v>11</v>
      </c>
      <c r="M563">
        <v>57</v>
      </c>
      <c r="N563">
        <v>68</v>
      </c>
    </row>
    <row r="564" spans="1:14" x14ac:dyDescent="0.3">
      <c r="A564">
        <v>563</v>
      </c>
      <c r="B564" s="1">
        <v>40568</v>
      </c>
      <c r="C564">
        <v>1</v>
      </c>
      <c r="D564">
        <v>15</v>
      </c>
      <c r="E564" t="b">
        <v>0</v>
      </c>
      <c r="F564">
        <v>2</v>
      </c>
      <c r="G564">
        <v>2</v>
      </c>
      <c r="H564">
        <v>0.32</v>
      </c>
      <c r="I564">
        <v>0.34849999999999998</v>
      </c>
      <c r="J564">
        <v>0.42</v>
      </c>
      <c r="K564">
        <v>0</v>
      </c>
      <c r="L564">
        <v>21</v>
      </c>
      <c r="M564">
        <v>63</v>
      </c>
      <c r="N564">
        <v>84</v>
      </c>
    </row>
    <row r="565" spans="1:14" x14ac:dyDescent="0.3">
      <c r="A565">
        <v>564</v>
      </c>
      <c r="B565" s="1">
        <v>40568</v>
      </c>
      <c r="C565">
        <v>1</v>
      </c>
      <c r="D565">
        <v>16</v>
      </c>
      <c r="E565" t="b">
        <v>0</v>
      </c>
      <c r="F565">
        <v>2</v>
      </c>
      <c r="G565">
        <v>2</v>
      </c>
      <c r="H565">
        <v>0.32</v>
      </c>
      <c r="I565">
        <v>0.34849999999999998</v>
      </c>
      <c r="J565">
        <v>0.42</v>
      </c>
      <c r="K565">
        <v>0</v>
      </c>
      <c r="L565">
        <v>14</v>
      </c>
      <c r="M565">
        <v>102</v>
      </c>
      <c r="N565">
        <v>116</v>
      </c>
    </row>
    <row r="566" spans="1:14" x14ac:dyDescent="0.3">
      <c r="A566">
        <v>565</v>
      </c>
      <c r="B566" s="1">
        <v>40568</v>
      </c>
      <c r="C566">
        <v>1</v>
      </c>
      <c r="D566">
        <v>17</v>
      </c>
      <c r="E566" t="b">
        <v>0</v>
      </c>
      <c r="F566">
        <v>2</v>
      </c>
      <c r="G566">
        <v>1</v>
      </c>
      <c r="H566">
        <v>0.3</v>
      </c>
      <c r="I566">
        <v>0.33329999999999999</v>
      </c>
      <c r="J566">
        <v>0.45</v>
      </c>
      <c r="K566">
        <v>0</v>
      </c>
      <c r="L566">
        <v>14</v>
      </c>
      <c r="M566">
        <v>208</v>
      </c>
      <c r="N566">
        <v>222</v>
      </c>
    </row>
    <row r="567" spans="1:14" x14ac:dyDescent="0.3">
      <c r="A567">
        <v>566</v>
      </c>
      <c r="B567" s="1">
        <v>40568</v>
      </c>
      <c r="C567">
        <v>1</v>
      </c>
      <c r="D567">
        <v>18</v>
      </c>
      <c r="E567" t="b">
        <v>0</v>
      </c>
      <c r="F567">
        <v>2</v>
      </c>
      <c r="G567">
        <v>2</v>
      </c>
      <c r="H567">
        <v>0.3</v>
      </c>
      <c r="I567">
        <v>0.31819999999999998</v>
      </c>
      <c r="J567">
        <v>0.49</v>
      </c>
      <c r="K567">
        <v>8.9599999999999999E-2</v>
      </c>
      <c r="L567">
        <v>7</v>
      </c>
      <c r="M567">
        <v>218</v>
      </c>
      <c r="N567">
        <v>225</v>
      </c>
    </row>
    <row r="568" spans="1:14" x14ac:dyDescent="0.3">
      <c r="A568">
        <v>567</v>
      </c>
      <c r="B568" s="1">
        <v>40568</v>
      </c>
      <c r="C568">
        <v>1</v>
      </c>
      <c r="D568">
        <v>19</v>
      </c>
      <c r="E568" t="b">
        <v>0</v>
      </c>
      <c r="F568">
        <v>2</v>
      </c>
      <c r="G568">
        <v>2</v>
      </c>
      <c r="H568">
        <v>0.26</v>
      </c>
      <c r="I568">
        <v>0.2576</v>
      </c>
      <c r="J568">
        <v>0.65</v>
      </c>
      <c r="K568">
        <v>0.16420000000000001</v>
      </c>
      <c r="L568">
        <v>13</v>
      </c>
      <c r="M568">
        <v>133</v>
      </c>
      <c r="N568">
        <v>146</v>
      </c>
    </row>
    <row r="569" spans="1:14" x14ac:dyDescent="0.3">
      <c r="A569">
        <v>568</v>
      </c>
      <c r="B569" s="1">
        <v>40568</v>
      </c>
      <c r="C569">
        <v>1</v>
      </c>
      <c r="D569">
        <v>20</v>
      </c>
      <c r="E569" t="b">
        <v>0</v>
      </c>
      <c r="F569">
        <v>2</v>
      </c>
      <c r="G569">
        <v>1</v>
      </c>
      <c r="H569">
        <v>0.24</v>
      </c>
      <c r="I569">
        <v>0.2273</v>
      </c>
      <c r="J569">
        <v>0.65</v>
      </c>
      <c r="K569">
        <v>0.19400000000000001</v>
      </c>
      <c r="L569">
        <v>16</v>
      </c>
      <c r="M569">
        <v>103</v>
      </c>
      <c r="N569">
        <v>119</v>
      </c>
    </row>
    <row r="570" spans="1:14" x14ac:dyDescent="0.3">
      <c r="A570">
        <v>569</v>
      </c>
      <c r="B570" s="1">
        <v>40568</v>
      </c>
      <c r="C570">
        <v>1</v>
      </c>
      <c r="D570">
        <v>21</v>
      </c>
      <c r="E570" t="b">
        <v>0</v>
      </c>
      <c r="F570">
        <v>2</v>
      </c>
      <c r="G570">
        <v>1</v>
      </c>
      <c r="H570">
        <v>0.24</v>
      </c>
      <c r="I570">
        <v>0.2273</v>
      </c>
      <c r="J570">
        <v>0.65</v>
      </c>
      <c r="K570">
        <v>0.19400000000000001</v>
      </c>
      <c r="L570">
        <v>5</v>
      </c>
      <c r="M570">
        <v>40</v>
      </c>
      <c r="N570">
        <v>45</v>
      </c>
    </row>
    <row r="571" spans="1:14" x14ac:dyDescent="0.3">
      <c r="A571">
        <v>570</v>
      </c>
      <c r="B571" s="1">
        <v>40568</v>
      </c>
      <c r="C571">
        <v>1</v>
      </c>
      <c r="D571">
        <v>22</v>
      </c>
      <c r="E571" t="b">
        <v>0</v>
      </c>
      <c r="F571">
        <v>2</v>
      </c>
      <c r="G571">
        <v>1</v>
      </c>
      <c r="H571">
        <v>0.22</v>
      </c>
      <c r="I571">
        <v>0.2273</v>
      </c>
      <c r="J571">
        <v>0.64</v>
      </c>
      <c r="K571">
        <v>0.16420000000000001</v>
      </c>
      <c r="L571">
        <v>4</v>
      </c>
      <c r="M571">
        <v>49</v>
      </c>
      <c r="N571">
        <v>53</v>
      </c>
    </row>
    <row r="572" spans="1:14" x14ac:dyDescent="0.3">
      <c r="A572">
        <v>571</v>
      </c>
      <c r="B572" s="1">
        <v>40568</v>
      </c>
      <c r="C572">
        <v>1</v>
      </c>
      <c r="D572">
        <v>23</v>
      </c>
      <c r="E572" t="b">
        <v>0</v>
      </c>
      <c r="F572">
        <v>2</v>
      </c>
      <c r="G572">
        <v>2</v>
      </c>
      <c r="H572">
        <v>0.22</v>
      </c>
      <c r="I572">
        <v>0.2273</v>
      </c>
      <c r="J572">
        <v>0.64</v>
      </c>
      <c r="K572">
        <v>0.16420000000000001</v>
      </c>
      <c r="L572">
        <v>3</v>
      </c>
      <c r="M572">
        <v>37</v>
      </c>
      <c r="N572">
        <v>40</v>
      </c>
    </row>
    <row r="573" spans="1:14" x14ac:dyDescent="0.3">
      <c r="A573">
        <v>572</v>
      </c>
      <c r="B573" s="1">
        <v>40569</v>
      </c>
      <c r="C573">
        <v>1</v>
      </c>
      <c r="D573">
        <v>0</v>
      </c>
      <c r="E573" t="b">
        <v>0</v>
      </c>
      <c r="F573">
        <v>3</v>
      </c>
      <c r="G573">
        <v>2</v>
      </c>
      <c r="H573">
        <v>0.22</v>
      </c>
      <c r="I573">
        <v>0.2273</v>
      </c>
      <c r="J573">
        <v>0.69</v>
      </c>
      <c r="K573">
        <v>0.1343</v>
      </c>
      <c r="L573">
        <v>3</v>
      </c>
      <c r="M573">
        <v>14</v>
      </c>
      <c r="N573">
        <v>17</v>
      </c>
    </row>
    <row r="574" spans="1:14" x14ac:dyDescent="0.3">
      <c r="A574">
        <v>573</v>
      </c>
      <c r="B574" s="1">
        <v>40569</v>
      </c>
      <c r="C574">
        <v>1</v>
      </c>
      <c r="D574">
        <v>1</v>
      </c>
      <c r="E574" t="b">
        <v>0</v>
      </c>
      <c r="F574">
        <v>3</v>
      </c>
      <c r="G574">
        <v>2</v>
      </c>
      <c r="H574">
        <v>0.24</v>
      </c>
      <c r="I574">
        <v>0.2424</v>
      </c>
      <c r="J574">
        <v>0.65</v>
      </c>
      <c r="K574">
        <v>0.1343</v>
      </c>
      <c r="L574">
        <v>0</v>
      </c>
      <c r="M574">
        <v>5</v>
      </c>
      <c r="N574">
        <v>5</v>
      </c>
    </row>
    <row r="575" spans="1:14" x14ac:dyDescent="0.3">
      <c r="A575">
        <v>574</v>
      </c>
      <c r="B575" s="1">
        <v>40569</v>
      </c>
      <c r="C575">
        <v>1</v>
      </c>
      <c r="D575">
        <v>2</v>
      </c>
      <c r="E575" t="b">
        <v>0</v>
      </c>
      <c r="F575">
        <v>3</v>
      </c>
      <c r="G575">
        <v>3</v>
      </c>
      <c r="H575">
        <v>0.22</v>
      </c>
      <c r="I575">
        <v>0.2273</v>
      </c>
      <c r="J575">
        <v>0.69</v>
      </c>
      <c r="K575">
        <v>0.19400000000000001</v>
      </c>
      <c r="L575">
        <v>3</v>
      </c>
      <c r="M575">
        <v>7</v>
      </c>
      <c r="N575">
        <v>10</v>
      </c>
    </row>
    <row r="576" spans="1:14" x14ac:dyDescent="0.3">
      <c r="A576">
        <v>575</v>
      </c>
      <c r="B576" s="1">
        <v>40569</v>
      </c>
      <c r="C576">
        <v>1</v>
      </c>
      <c r="D576">
        <v>5</v>
      </c>
      <c r="E576" t="b">
        <v>0</v>
      </c>
      <c r="F576">
        <v>3</v>
      </c>
      <c r="G576">
        <v>3</v>
      </c>
      <c r="H576">
        <v>0.2</v>
      </c>
      <c r="I576">
        <v>0.18179999999999999</v>
      </c>
      <c r="J576">
        <v>0.86</v>
      </c>
      <c r="K576">
        <v>0.28360000000000002</v>
      </c>
      <c r="L576">
        <v>0</v>
      </c>
      <c r="M576">
        <v>1</v>
      </c>
      <c r="N576">
        <v>1</v>
      </c>
    </row>
    <row r="577" spans="1:14" x14ac:dyDescent="0.3">
      <c r="A577">
        <v>576</v>
      </c>
      <c r="B577" s="1">
        <v>40569</v>
      </c>
      <c r="C577">
        <v>1</v>
      </c>
      <c r="D577">
        <v>6</v>
      </c>
      <c r="E577" t="b">
        <v>0</v>
      </c>
      <c r="F577">
        <v>3</v>
      </c>
      <c r="G577">
        <v>3</v>
      </c>
      <c r="H577">
        <v>0.2</v>
      </c>
      <c r="I577">
        <v>0.18179999999999999</v>
      </c>
      <c r="J577">
        <v>0.86</v>
      </c>
      <c r="K577">
        <v>0.28360000000000002</v>
      </c>
      <c r="L577">
        <v>0</v>
      </c>
      <c r="M577">
        <v>8</v>
      </c>
      <c r="N577">
        <v>8</v>
      </c>
    </row>
    <row r="578" spans="1:14" x14ac:dyDescent="0.3">
      <c r="A578">
        <v>577</v>
      </c>
      <c r="B578" s="1">
        <v>40569</v>
      </c>
      <c r="C578">
        <v>1</v>
      </c>
      <c r="D578">
        <v>7</v>
      </c>
      <c r="E578" t="b">
        <v>0</v>
      </c>
      <c r="F578">
        <v>3</v>
      </c>
      <c r="G578">
        <v>3</v>
      </c>
      <c r="H578">
        <v>0.22</v>
      </c>
      <c r="I578">
        <v>0.21210000000000001</v>
      </c>
      <c r="J578">
        <v>0.87</v>
      </c>
      <c r="K578">
        <v>0.29849999999999999</v>
      </c>
      <c r="L578">
        <v>1</v>
      </c>
      <c r="M578">
        <v>29</v>
      </c>
      <c r="N578">
        <v>30</v>
      </c>
    </row>
    <row r="579" spans="1:14" x14ac:dyDescent="0.3">
      <c r="A579">
        <v>578</v>
      </c>
      <c r="B579" s="1">
        <v>40569</v>
      </c>
      <c r="C579">
        <v>1</v>
      </c>
      <c r="D579">
        <v>8</v>
      </c>
      <c r="E579" t="b">
        <v>0</v>
      </c>
      <c r="F579">
        <v>3</v>
      </c>
      <c r="G579">
        <v>3</v>
      </c>
      <c r="H579">
        <v>0.22</v>
      </c>
      <c r="I579">
        <v>0.21210000000000001</v>
      </c>
      <c r="J579">
        <v>0.87</v>
      </c>
      <c r="K579">
        <v>0.29849999999999999</v>
      </c>
      <c r="L579">
        <v>3</v>
      </c>
      <c r="M579">
        <v>69</v>
      </c>
      <c r="N579">
        <v>72</v>
      </c>
    </row>
    <row r="580" spans="1:14" x14ac:dyDescent="0.3">
      <c r="A580">
        <v>579</v>
      </c>
      <c r="B580" s="1">
        <v>40569</v>
      </c>
      <c r="C580">
        <v>1</v>
      </c>
      <c r="D580">
        <v>9</v>
      </c>
      <c r="E580" t="b">
        <v>0</v>
      </c>
      <c r="F580">
        <v>3</v>
      </c>
      <c r="G580">
        <v>3</v>
      </c>
      <c r="H580">
        <v>0.22</v>
      </c>
      <c r="I580">
        <v>0.21210000000000001</v>
      </c>
      <c r="J580">
        <v>0.87</v>
      </c>
      <c r="K580">
        <v>0.29849999999999999</v>
      </c>
      <c r="L580">
        <v>3</v>
      </c>
      <c r="M580">
        <v>55</v>
      </c>
      <c r="N580">
        <v>58</v>
      </c>
    </row>
    <row r="581" spans="1:14" x14ac:dyDescent="0.3">
      <c r="A581">
        <v>580</v>
      </c>
      <c r="B581" s="1">
        <v>40569</v>
      </c>
      <c r="C581">
        <v>1</v>
      </c>
      <c r="D581">
        <v>10</v>
      </c>
      <c r="E581" t="b">
        <v>0</v>
      </c>
      <c r="F581">
        <v>3</v>
      </c>
      <c r="G581">
        <v>3</v>
      </c>
      <c r="H581">
        <v>0.22</v>
      </c>
      <c r="I581">
        <v>0.21210000000000001</v>
      </c>
      <c r="J581">
        <v>0.93</v>
      </c>
      <c r="K581">
        <v>0.28360000000000002</v>
      </c>
      <c r="L581">
        <v>2</v>
      </c>
      <c r="M581">
        <v>26</v>
      </c>
      <c r="N581">
        <v>28</v>
      </c>
    </row>
    <row r="582" spans="1:14" x14ac:dyDescent="0.3">
      <c r="A582">
        <v>581</v>
      </c>
      <c r="B582" s="1">
        <v>40569</v>
      </c>
      <c r="C582">
        <v>1</v>
      </c>
      <c r="D582">
        <v>11</v>
      </c>
      <c r="E582" t="b">
        <v>0</v>
      </c>
      <c r="F582">
        <v>3</v>
      </c>
      <c r="G582">
        <v>3</v>
      </c>
      <c r="H582">
        <v>0.22</v>
      </c>
      <c r="I582">
        <v>0.19700000000000001</v>
      </c>
      <c r="J582">
        <v>0.93</v>
      </c>
      <c r="K582">
        <v>0.32840000000000003</v>
      </c>
      <c r="L582">
        <v>6</v>
      </c>
      <c r="M582">
        <v>35</v>
      </c>
      <c r="N582">
        <v>41</v>
      </c>
    </row>
    <row r="583" spans="1:14" x14ac:dyDescent="0.3">
      <c r="A583">
        <v>582</v>
      </c>
      <c r="B583" s="1">
        <v>40569</v>
      </c>
      <c r="C583">
        <v>1</v>
      </c>
      <c r="D583">
        <v>12</v>
      </c>
      <c r="E583" t="b">
        <v>0</v>
      </c>
      <c r="F583">
        <v>3</v>
      </c>
      <c r="G583">
        <v>3</v>
      </c>
      <c r="H583">
        <v>0.22</v>
      </c>
      <c r="I583">
        <v>0.19700000000000001</v>
      </c>
      <c r="J583">
        <v>0.93</v>
      </c>
      <c r="K583">
        <v>0.32840000000000003</v>
      </c>
      <c r="L583">
        <v>7</v>
      </c>
      <c r="M583">
        <v>41</v>
      </c>
      <c r="N583">
        <v>48</v>
      </c>
    </row>
    <row r="584" spans="1:14" x14ac:dyDescent="0.3">
      <c r="A584">
        <v>583</v>
      </c>
      <c r="B584" s="1">
        <v>40569</v>
      </c>
      <c r="C584">
        <v>1</v>
      </c>
      <c r="D584">
        <v>13</v>
      </c>
      <c r="E584" t="b">
        <v>0</v>
      </c>
      <c r="F584">
        <v>3</v>
      </c>
      <c r="G584">
        <v>3</v>
      </c>
      <c r="H584">
        <v>0.22</v>
      </c>
      <c r="I584">
        <v>0.19700000000000001</v>
      </c>
      <c r="J584">
        <v>0.93</v>
      </c>
      <c r="K584">
        <v>0.32840000000000003</v>
      </c>
      <c r="L584">
        <v>4</v>
      </c>
      <c r="M584">
        <v>43</v>
      </c>
      <c r="N584">
        <v>47</v>
      </c>
    </row>
    <row r="585" spans="1:14" x14ac:dyDescent="0.3">
      <c r="A585">
        <v>584</v>
      </c>
      <c r="B585" s="1">
        <v>40569</v>
      </c>
      <c r="C585">
        <v>1</v>
      </c>
      <c r="D585">
        <v>14</v>
      </c>
      <c r="E585" t="b">
        <v>0</v>
      </c>
      <c r="F585">
        <v>3</v>
      </c>
      <c r="G585">
        <v>3</v>
      </c>
      <c r="H585">
        <v>0.22</v>
      </c>
      <c r="I585">
        <v>0.19700000000000001</v>
      </c>
      <c r="J585">
        <v>0.93</v>
      </c>
      <c r="K585">
        <v>0.35820000000000002</v>
      </c>
      <c r="L585">
        <v>0</v>
      </c>
      <c r="M585">
        <v>36</v>
      </c>
      <c r="N585">
        <v>36</v>
      </c>
    </row>
    <row r="586" spans="1:14" x14ac:dyDescent="0.3">
      <c r="A586">
        <v>585</v>
      </c>
      <c r="B586" s="1">
        <v>40569</v>
      </c>
      <c r="C586">
        <v>1</v>
      </c>
      <c r="D586">
        <v>15</v>
      </c>
      <c r="E586" t="b">
        <v>0</v>
      </c>
      <c r="F586">
        <v>3</v>
      </c>
      <c r="G586">
        <v>3</v>
      </c>
      <c r="H586">
        <v>0.22</v>
      </c>
      <c r="I586">
        <v>0.18179999999999999</v>
      </c>
      <c r="J586">
        <v>0.93</v>
      </c>
      <c r="K586">
        <v>0.4627</v>
      </c>
      <c r="L586">
        <v>1</v>
      </c>
      <c r="M586">
        <v>42</v>
      </c>
      <c r="N586">
        <v>43</v>
      </c>
    </row>
    <row r="587" spans="1:14" x14ac:dyDescent="0.3">
      <c r="A587">
        <v>586</v>
      </c>
      <c r="B587" s="1">
        <v>40569</v>
      </c>
      <c r="C587">
        <v>1</v>
      </c>
      <c r="D587">
        <v>16</v>
      </c>
      <c r="E587" t="b">
        <v>0</v>
      </c>
      <c r="F587">
        <v>3</v>
      </c>
      <c r="G587">
        <v>4</v>
      </c>
      <c r="H587">
        <v>0.22</v>
      </c>
      <c r="I587">
        <v>0.19700000000000001</v>
      </c>
      <c r="J587">
        <v>0.93</v>
      </c>
      <c r="K587">
        <v>0.32840000000000003</v>
      </c>
      <c r="L587">
        <v>1</v>
      </c>
      <c r="M587">
        <v>35</v>
      </c>
      <c r="N587">
        <v>36</v>
      </c>
    </row>
    <row r="588" spans="1:14" x14ac:dyDescent="0.3">
      <c r="A588">
        <v>587</v>
      </c>
      <c r="B588" s="1">
        <v>40569</v>
      </c>
      <c r="C588">
        <v>1</v>
      </c>
      <c r="D588">
        <v>17</v>
      </c>
      <c r="E588" t="b">
        <v>0</v>
      </c>
      <c r="F588">
        <v>3</v>
      </c>
      <c r="G588">
        <v>3</v>
      </c>
      <c r="H588">
        <v>0.2</v>
      </c>
      <c r="I588">
        <v>0.18179999999999999</v>
      </c>
      <c r="J588">
        <v>0.93</v>
      </c>
      <c r="K588">
        <v>0.35820000000000002</v>
      </c>
      <c r="L588">
        <v>0</v>
      </c>
      <c r="M588">
        <v>26</v>
      </c>
      <c r="N588">
        <v>26</v>
      </c>
    </row>
    <row r="589" spans="1:14" x14ac:dyDescent="0.3">
      <c r="A589">
        <v>588</v>
      </c>
      <c r="B589" s="1">
        <v>40570</v>
      </c>
      <c r="C589">
        <v>1</v>
      </c>
      <c r="D589">
        <v>16</v>
      </c>
      <c r="E589" t="b">
        <v>0</v>
      </c>
      <c r="F589">
        <v>4</v>
      </c>
      <c r="G589">
        <v>1</v>
      </c>
      <c r="H589">
        <v>0.22</v>
      </c>
      <c r="I589">
        <v>0.2273</v>
      </c>
      <c r="J589">
        <v>0.55000000000000004</v>
      </c>
      <c r="K589">
        <v>0.19400000000000001</v>
      </c>
      <c r="L589">
        <v>1</v>
      </c>
      <c r="M589">
        <v>23</v>
      </c>
      <c r="N589">
        <v>24</v>
      </c>
    </row>
    <row r="590" spans="1:14" x14ac:dyDescent="0.3">
      <c r="A590">
        <v>589</v>
      </c>
      <c r="B590" s="1">
        <v>40570</v>
      </c>
      <c r="C590">
        <v>1</v>
      </c>
      <c r="D590">
        <v>17</v>
      </c>
      <c r="E590" t="b">
        <v>0</v>
      </c>
      <c r="F590">
        <v>4</v>
      </c>
      <c r="G590">
        <v>1</v>
      </c>
      <c r="H590">
        <v>0.22</v>
      </c>
      <c r="I590">
        <v>0.2424</v>
      </c>
      <c r="J590">
        <v>0.55000000000000004</v>
      </c>
      <c r="K590">
        <v>0.1045</v>
      </c>
      <c r="L590">
        <v>2</v>
      </c>
      <c r="M590">
        <v>82</v>
      </c>
      <c r="N590">
        <v>84</v>
      </c>
    </row>
    <row r="591" spans="1:14" x14ac:dyDescent="0.3">
      <c r="A591">
        <v>590</v>
      </c>
      <c r="B591" s="1">
        <v>40570</v>
      </c>
      <c r="C591">
        <v>1</v>
      </c>
      <c r="D591">
        <v>18</v>
      </c>
      <c r="E591" t="b">
        <v>0</v>
      </c>
      <c r="F591">
        <v>4</v>
      </c>
      <c r="G591">
        <v>1</v>
      </c>
      <c r="H591">
        <v>0.2</v>
      </c>
      <c r="I591">
        <v>0.2273</v>
      </c>
      <c r="J591">
        <v>0.69</v>
      </c>
      <c r="K591">
        <v>8.9599999999999999E-2</v>
      </c>
      <c r="L591">
        <v>3</v>
      </c>
      <c r="M591">
        <v>101</v>
      </c>
      <c r="N591">
        <v>104</v>
      </c>
    </row>
    <row r="592" spans="1:14" x14ac:dyDescent="0.3">
      <c r="A592">
        <v>591</v>
      </c>
      <c r="B592" s="1">
        <v>40570</v>
      </c>
      <c r="C592">
        <v>1</v>
      </c>
      <c r="D592">
        <v>19</v>
      </c>
      <c r="E592" t="b">
        <v>0</v>
      </c>
      <c r="F592">
        <v>4</v>
      </c>
      <c r="G592">
        <v>1</v>
      </c>
      <c r="H592">
        <v>0.2</v>
      </c>
      <c r="I592">
        <v>0.2273</v>
      </c>
      <c r="J592">
        <v>0.69</v>
      </c>
      <c r="K592">
        <v>8.9599999999999999E-2</v>
      </c>
      <c r="L592">
        <v>3</v>
      </c>
      <c r="M592">
        <v>76</v>
      </c>
      <c r="N592">
        <v>79</v>
      </c>
    </row>
    <row r="593" spans="1:14" x14ac:dyDescent="0.3">
      <c r="A593">
        <v>592</v>
      </c>
      <c r="B593" s="1">
        <v>40570</v>
      </c>
      <c r="C593">
        <v>1</v>
      </c>
      <c r="D593">
        <v>20</v>
      </c>
      <c r="E593" t="b">
        <v>0</v>
      </c>
      <c r="F593">
        <v>4</v>
      </c>
      <c r="G593">
        <v>1</v>
      </c>
      <c r="H593">
        <v>0.18</v>
      </c>
      <c r="I593">
        <v>0.21210000000000001</v>
      </c>
      <c r="J593">
        <v>0.74</v>
      </c>
      <c r="K593">
        <v>8.9599999999999999E-2</v>
      </c>
      <c r="L593">
        <v>4</v>
      </c>
      <c r="M593">
        <v>55</v>
      </c>
      <c r="N593">
        <v>59</v>
      </c>
    </row>
    <row r="594" spans="1:14" x14ac:dyDescent="0.3">
      <c r="A594">
        <v>593</v>
      </c>
      <c r="B594" s="1">
        <v>40570</v>
      </c>
      <c r="C594">
        <v>1</v>
      </c>
      <c r="D594">
        <v>21</v>
      </c>
      <c r="E594" t="b">
        <v>0</v>
      </c>
      <c r="F594">
        <v>4</v>
      </c>
      <c r="G594">
        <v>1</v>
      </c>
      <c r="H594">
        <v>0.18</v>
      </c>
      <c r="I594">
        <v>0.21210000000000001</v>
      </c>
      <c r="J594">
        <v>0.74</v>
      </c>
      <c r="K594">
        <v>8.9599999999999999E-2</v>
      </c>
      <c r="L594">
        <v>2</v>
      </c>
      <c r="M594">
        <v>36</v>
      </c>
      <c r="N594">
        <v>38</v>
      </c>
    </row>
    <row r="595" spans="1:14" x14ac:dyDescent="0.3">
      <c r="A595">
        <v>594</v>
      </c>
      <c r="B595" s="1">
        <v>40570</v>
      </c>
      <c r="C595">
        <v>1</v>
      </c>
      <c r="D595">
        <v>22</v>
      </c>
      <c r="E595" t="b">
        <v>0</v>
      </c>
      <c r="F595">
        <v>4</v>
      </c>
      <c r="G595">
        <v>1</v>
      </c>
      <c r="H595">
        <v>0.18</v>
      </c>
      <c r="I595">
        <v>0.21210000000000001</v>
      </c>
      <c r="J595">
        <v>0.74</v>
      </c>
      <c r="K595">
        <v>8.9599999999999999E-2</v>
      </c>
      <c r="L595">
        <v>0</v>
      </c>
      <c r="M595">
        <v>27</v>
      </c>
      <c r="N595">
        <v>27</v>
      </c>
    </row>
    <row r="596" spans="1:14" x14ac:dyDescent="0.3">
      <c r="A596">
        <v>595</v>
      </c>
      <c r="B596" s="1">
        <v>40570</v>
      </c>
      <c r="C596">
        <v>1</v>
      </c>
      <c r="D596">
        <v>23</v>
      </c>
      <c r="E596" t="b">
        <v>0</v>
      </c>
      <c r="F596">
        <v>4</v>
      </c>
      <c r="G596">
        <v>1</v>
      </c>
      <c r="H596">
        <v>0.18</v>
      </c>
      <c r="I596">
        <v>0.19700000000000001</v>
      </c>
      <c r="J596">
        <v>0.8</v>
      </c>
      <c r="K596">
        <v>0.16420000000000001</v>
      </c>
      <c r="L596">
        <v>0</v>
      </c>
      <c r="M596">
        <v>16</v>
      </c>
      <c r="N596">
        <v>16</v>
      </c>
    </row>
    <row r="597" spans="1:14" x14ac:dyDescent="0.3">
      <c r="A597">
        <v>596</v>
      </c>
      <c r="B597" s="1">
        <v>40571</v>
      </c>
      <c r="C597">
        <v>1</v>
      </c>
      <c r="D597">
        <v>0</v>
      </c>
      <c r="E597" t="b">
        <v>0</v>
      </c>
      <c r="F597">
        <v>5</v>
      </c>
      <c r="G597">
        <v>2</v>
      </c>
      <c r="H597">
        <v>0.2</v>
      </c>
      <c r="I597">
        <v>0.21210000000000001</v>
      </c>
      <c r="J597">
        <v>0.75</v>
      </c>
      <c r="K597">
        <v>0.1343</v>
      </c>
      <c r="L597">
        <v>0</v>
      </c>
      <c r="M597">
        <v>9</v>
      </c>
      <c r="N597">
        <v>9</v>
      </c>
    </row>
    <row r="598" spans="1:14" x14ac:dyDescent="0.3">
      <c r="A598">
        <v>597</v>
      </c>
      <c r="B598" s="1">
        <v>40571</v>
      </c>
      <c r="C598">
        <v>1</v>
      </c>
      <c r="D598">
        <v>1</v>
      </c>
      <c r="E598" t="b">
        <v>0</v>
      </c>
      <c r="F598">
        <v>5</v>
      </c>
      <c r="G598">
        <v>2</v>
      </c>
      <c r="H598">
        <v>0.2</v>
      </c>
      <c r="I598">
        <v>0.21210000000000001</v>
      </c>
      <c r="J598">
        <v>0.75</v>
      </c>
      <c r="K598">
        <v>0.1343</v>
      </c>
      <c r="L598">
        <v>1</v>
      </c>
      <c r="M598">
        <v>2</v>
      </c>
      <c r="N598">
        <v>3</v>
      </c>
    </row>
    <row r="599" spans="1:14" x14ac:dyDescent="0.3">
      <c r="A599">
        <v>598</v>
      </c>
      <c r="B599" s="1">
        <v>40571</v>
      </c>
      <c r="C599">
        <v>1</v>
      </c>
      <c r="D599">
        <v>2</v>
      </c>
      <c r="E599" t="b">
        <v>0</v>
      </c>
      <c r="F599">
        <v>5</v>
      </c>
      <c r="G599">
        <v>2</v>
      </c>
      <c r="H599">
        <v>0.2</v>
      </c>
      <c r="I599">
        <v>0.21210000000000001</v>
      </c>
      <c r="J599">
        <v>0.75</v>
      </c>
      <c r="K599">
        <v>0.16420000000000001</v>
      </c>
      <c r="L599">
        <v>0</v>
      </c>
      <c r="M599">
        <v>2</v>
      </c>
      <c r="N599">
        <v>2</v>
      </c>
    </row>
    <row r="600" spans="1:14" x14ac:dyDescent="0.3">
      <c r="A600">
        <v>599</v>
      </c>
      <c r="B600" s="1">
        <v>40571</v>
      </c>
      <c r="C600">
        <v>1</v>
      </c>
      <c r="D600">
        <v>3</v>
      </c>
      <c r="E600" t="b">
        <v>0</v>
      </c>
      <c r="F600">
        <v>5</v>
      </c>
      <c r="G600">
        <v>2</v>
      </c>
      <c r="H600">
        <v>0.2</v>
      </c>
      <c r="I600">
        <v>0.2273</v>
      </c>
      <c r="J600">
        <v>0.75</v>
      </c>
      <c r="K600">
        <v>0.1045</v>
      </c>
      <c r="L600">
        <v>1</v>
      </c>
      <c r="M600">
        <v>0</v>
      </c>
      <c r="N600">
        <v>1</v>
      </c>
    </row>
    <row r="601" spans="1:14" x14ac:dyDescent="0.3">
      <c r="A601">
        <v>600</v>
      </c>
      <c r="B601" s="1">
        <v>40571</v>
      </c>
      <c r="C601">
        <v>1</v>
      </c>
      <c r="D601">
        <v>5</v>
      </c>
      <c r="E601" t="b">
        <v>0</v>
      </c>
      <c r="F601">
        <v>5</v>
      </c>
      <c r="G601">
        <v>2</v>
      </c>
      <c r="H601">
        <v>0.18</v>
      </c>
      <c r="I601">
        <v>0.21210000000000001</v>
      </c>
      <c r="J601">
        <v>0.8</v>
      </c>
      <c r="K601">
        <v>0.1045</v>
      </c>
      <c r="L601">
        <v>0</v>
      </c>
      <c r="M601">
        <v>4</v>
      </c>
      <c r="N601">
        <v>4</v>
      </c>
    </row>
    <row r="602" spans="1:14" x14ac:dyDescent="0.3">
      <c r="A602">
        <v>601</v>
      </c>
      <c r="B602" s="1">
        <v>40571</v>
      </c>
      <c r="C602">
        <v>1</v>
      </c>
      <c r="D602">
        <v>6</v>
      </c>
      <c r="E602" t="b">
        <v>0</v>
      </c>
      <c r="F602">
        <v>5</v>
      </c>
      <c r="G602">
        <v>2</v>
      </c>
      <c r="H602">
        <v>0.18</v>
      </c>
      <c r="I602">
        <v>0.19700000000000001</v>
      </c>
      <c r="J602">
        <v>0.8</v>
      </c>
      <c r="K602">
        <v>0.1343</v>
      </c>
      <c r="L602">
        <v>0</v>
      </c>
      <c r="M602">
        <v>16</v>
      </c>
      <c r="N602">
        <v>16</v>
      </c>
    </row>
    <row r="603" spans="1:14" x14ac:dyDescent="0.3">
      <c r="A603">
        <v>602</v>
      </c>
      <c r="B603" s="1">
        <v>40571</v>
      </c>
      <c r="C603">
        <v>1</v>
      </c>
      <c r="D603">
        <v>7</v>
      </c>
      <c r="E603" t="b">
        <v>0</v>
      </c>
      <c r="F603">
        <v>5</v>
      </c>
      <c r="G603">
        <v>2</v>
      </c>
      <c r="H603">
        <v>0.16</v>
      </c>
      <c r="I603">
        <v>0.19700000000000001</v>
      </c>
      <c r="J603">
        <v>0.86</v>
      </c>
      <c r="K603">
        <v>8.9599999999999999E-2</v>
      </c>
      <c r="L603">
        <v>2</v>
      </c>
      <c r="M603">
        <v>58</v>
      </c>
      <c r="N603">
        <v>60</v>
      </c>
    </row>
    <row r="604" spans="1:14" x14ac:dyDescent="0.3">
      <c r="A604">
        <v>603</v>
      </c>
      <c r="B604" s="1">
        <v>40571</v>
      </c>
      <c r="C604">
        <v>1</v>
      </c>
      <c r="D604">
        <v>8</v>
      </c>
      <c r="E604" t="b">
        <v>0</v>
      </c>
      <c r="F604">
        <v>5</v>
      </c>
      <c r="G604">
        <v>2</v>
      </c>
      <c r="H604">
        <v>0.16</v>
      </c>
      <c r="I604">
        <v>0.19700000000000001</v>
      </c>
      <c r="J604">
        <v>0.86</v>
      </c>
      <c r="K604">
        <v>8.9599999999999999E-2</v>
      </c>
      <c r="L604">
        <v>2</v>
      </c>
      <c r="M604">
        <v>155</v>
      </c>
      <c r="N604">
        <v>157</v>
      </c>
    </row>
    <row r="605" spans="1:14" x14ac:dyDescent="0.3">
      <c r="A605">
        <v>604</v>
      </c>
      <c r="B605" s="1">
        <v>40571</v>
      </c>
      <c r="C605">
        <v>1</v>
      </c>
      <c r="D605">
        <v>9</v>
      </c>
      <c r="E605" t="b">
        <v>0</v>
      </c>
      <c r="F605">
        <v>5</v>
      </c>
      <c r="G605">
        <v>3</v>
      </c>
      <c r="H605">
        <v>0.18</v>
      </c>
      <c r="I605">
        <v>0.21210000000000001</v>
      </c>
      <c r="J605">
        <v>0.86</v>
      </c>
      <c r="K605">
        <v>8.9599999999999999E-2</v>
      </c>
      <c r="L605">
        <v>6</v>
      </c>
      <c r="M605">
        <v>95</v>
      </c>
      <c r="N605">
        <v>101</v>
      </c>
    </row>
    <row r="606" spans="1:14" x14ac:dyDescent="0.3">
      <c r="A606">
        <v>605</v>
      </c>
      <c r="B606" s="1">
        <v>40571</v>
      </c>
      <c r="C606">
        <v>1</v>
      </c>
      <c r="D606">
        <v>10</v>
      </c>
      <c r="E606" t="b">
        <v>0</v>
      </c>
      <c r="F606">
        <v>5</v>
      </c>
      <c r="G606">
        <v>3</v>
      </c>
      <c r="H606">
        <v>0.18</v>
      </c>
      <c r="I606">
        <v>0.21210000000000001</v>
      </c>
      <c r="J606">
        <v>0.86</v>
      </c>
      <c r="K606">
        <v>0.1045</v>
      </c>
      <c r="L606">
        <v>0</v>
      </c>
      <c r="M606">
        <v>49</v>
      </c>
      <c r="N606">
        <v>49</v>
      </c>
    </row>
    <row r="607" spans="1:14" x14ac:dyDescent="0.3">
      <c r="A607">
        <v>606</v>
      </c>
      <c r="B607" s="1">
        <v>40571</v>
      </c>
      <c r="C607">
        <v>1</v>
      </c>
      <c r="D607">
        <v>11</v>
      </c>
      <c r="E607" t="b">
        <v>0</v>
      </c>
      <c r="F607">
        <v>5</v>
      </c>
      <c r="G607">
        <v>3</v>
      </c>
      <c r="H607">
        <v>0.18</v>
      </c>
      <c r="I607">
        <v>0.21210000000000001</v>
      </c>
      <c r="J607">
        <v>0.93</v>
      </c>
      <c r="K607">
        <v>0.1045</v>
      </c>
      <c r="L607">
        <v>0</v>
      </c>
      <c r="M607">
        <v>30</v>
      </c>
      <c r="N607">
        <v>30</v>
      </c>
    </row>
    <row r="608" spans="1:14" x14ac:dyDescent="0.3">
      <c r="A608">
        <v>607</v>
      </c>
      <c r="B608" s="1">
        <v>40571</v>
      </c>
      <c r="C608">
        <v>1</v>
      </c>
      <c r="D608">
        <v>12</v>
      </c>
      <c r="E608" t="b">
        <v>0</v>
      </c>
      <c r="F608">
        <v>5</v>
      </c>
      <c r="G608">
        <v>3</v>
      </c>
      <c r="H608">
        <v>0.18</v>
      </c>
      <c r="I608">
        <v>0.21210000000000001</v>
      </c>
      <c r="J608">
        <v>0.93</v>
      </c>
      <c r="K608">
        <v>0.1045</v>
      </c>
      <c r="L608">
        <v>1</v>
      </c>
      <c r="M608">
        <v>28</v>
      </c>
      <c r="N608">
        <v>29</v>
      </c>
    </row>
    <row r="609" spans="1:14" x14ac:dyDescent="0.3">
      <c r="A609">
        <v>608</v>
      </c>
      <c r="B609" s="1">
        <v>40571</v>
      </c>
      <c r="C609">
        <v>1</v>
      </c>
      <c r="D609">
        <v>13</v>
      </c>
      <c r="E609" t="b">
        <v>0</v>
      </c>
      <c r="F609">
        <v>5</v>
      </c>
      <c r="G609">
        <v>3</v>
      </c>
      <c r="H609">
        <v>0.18</v>
      </c>
      <c r="I609">
        <v>0.21210000000000001</v>
      </c>
      <c r="J609">
        <v>0.93</v>
      </c>
      <c r="K609">
        <v>0.1045</v>
      </c>
      <c r="L609">
        <v>0</v>
      </c>
      <c r="M609">
        <v>31</v>
      </c>
      <c r="N609">
        <v>31</v>
      </c>
    </row>
    <row r="610" spans="1:14" x14ac:dyDescent="0.3">
      <c r="A610">
        <v>609</v>
      </c>
      <c r="B610" s="1">
        <v>40571</v>
      </c>
      <c r="C610">
        <v>1</v>
      </c>
      <c r="D610">
        <v>14</v>
      </c>
      <c r="E610" t="b">
        <v>0</v>
      </c>
      <c r="F610">
        <v>5</v>
      </c>
      <c r="G610">
        <v>3</v>
      </c>
      <c r="H610">
        <v>0.22</v>
      </c>
      <c r="I610">
        <v>0.2727</v>
      </c>
      <c r="J610">
        <v>0.8</v>
      </c>
      <c r="K610">
        <v>0</v>
      </c>
      <c r="L610">
        <v>2</v>
      </c>
      <c r="M610">
        <v>36</v>
      </c>
      <c r="N610">
        <v>38</v>
      </c>
    </row>
    <row r="611" spans="1:14" x14ac:dyDescent="0.3">
      <c r="A611">
        <v>610</v>
      </c>
      <c r="B611" s="1">
        <v>40571</v>
      </c>
      <c r="C611">
        <v>1</v>
      </c>
      <c r="D611">
        <v>15</v>
      </c>
      <c r="E611" t="b">
        <v>0</v>
      </c>
      <c r="F611">
        <v>5</v>
      </c>
      <c r="G611">
        <v>2</v>
      </c>
      <c r="H611">
        <v>0.2</v>
      </c>
      <c r="I611">
        <v>0.2576</v>
      </c>
      <c r="J611">
        <v>0.86</v>
      </c>
      <c r="K611">
        <v>0</v>
      </c>
      <c r="L611">
        <v>1</v>
      </c>
      <c r="M611">
        <v>40</v>
      </c>
      <c r="N611">
        <v>41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18D0F76-DC29-42AE-8FFA-2D7A64E7E3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Dashboard</vt:lpstr>
      <vt:lpstr>Registered &amp; Casual by Date</vt:lpstr>
      <vt:lpstr>Humidity Impact</vt:lpstr>
      <vt:lpstr>Peak Hour Kpi </vt:lpstr>
      <vt:lpstr>KPI</vt:lpstr>
      <vt:lpstr>Total Ride by Hour</vt:lpstr>
      <vt:lpstr>Total Ride by Date</vt:lpstr>
      <vt:lpstr>Heatmap by Day Name</vt:lpstr>
      <vt:lpstr>Casual &amp; Registered by Hum</vt:lpstr>
      <vt:lpstr>Casual &amp; Registered by Day Type</vt:lpstr>
      <vt:lpstr>Total Ride by Day Name</vt:lpstr>
      <vt:lpstr>User Id by Category of Day</vt:lpstr>
      <vt:lpstr>Max Temp by Category of Day</vt:lpstr>
      <vt:lpstr>Finaldataset</vt:lpstr>
      <vt:lpstr>dataset_3</vt:lpstr>
      <vt:lpstr>Dataset 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Nitesh Dahiwale</dc:creator>
  <cp:lastModifiedBy>nites</cp:lastModifiedBy>
  <dcterms:created xsi:type="dcterms:W3CDTF">2026-03-22T04:56:21Z</dcterms:created>
  <dcterms:modified xsi:type="dcterms:W3CDTF">2026-03-25T11:00:27Z</dcterms:modified>
</cp:coreProperties>
</file>